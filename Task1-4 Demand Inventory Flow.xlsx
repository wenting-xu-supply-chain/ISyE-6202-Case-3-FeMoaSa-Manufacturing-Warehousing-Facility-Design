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60" windowHeight="14800" tabRatio="955" firstSheet="6" activeTab="12"/>
  </bookViews>
  <sheets>
    <sheet name="Task1 Y1 Demand" sheetId="17" r:id="rId1"/>
    <sheet name="Task2 Y1 Inventory" sheetId="16" r:id="rId2"/>
    <sheet name="Task3 Y1 Fractal Flow" sheetId="10" r:id="rId3"/>
    <sheet name="Task4 Y2 Demand" sheetId="18" r:id="rId4"/>
    <sheet name="Task4 Y2 Inventory" sheetId="22" r:id="rId5"/>
    <sheet name="Task4 Y2 Fractal Flow" sheetId="11" r:id="rId6"/>
    <sheet name="Task4 Y3 Demand" sheetId="19" r:id="rId7"/>
    <sheet name="Task4 Y3 Inventory" sheetId="23" r:id="rId8"/>
    <sheet name="Task4 Y3 Fractal Flow" sheetId="12" r:id="rId9"/>
    <sheet name="Task4 Y4 Demand" sheetId="20" r:id="rId10"/>
    <sheet name="Task4 Y4 Inventory" sheetId="24" r:id="rId11"/>
    <sheet name="Task4 Y4 Fractal Flow" sheetId="13" r:id="rId12"/>
    <sheet name="Task4 Y5 Demand" sheetId="21" r:id="rId13"/>
    <sheet name="Task4 Y5 Inventory" sheetId="25" r:id="rId14"/>
    <sheet name="Task4 Y5 Fractal Flow" sheetId="14" r:id="rId15"/>
  </sheets>
  <calcPr calcId="144525"/>
</workbook>
</file>

<file path=xl/sharedStrings.xml><?xml version="1.0" encoding="utf-8"?>
<sst xmlns="http://schemas.openxmlformats.org/spreadsheetml/2006/main" count="2581" uniqueCount="147">
  <si>
    <t>Georgia Tech ISYE 6202 + 6336 FALL 2025</t>
  </si>
  <si>
    <t>Professor Benoit Montreuil</t>
  </si>
  <si>
    <t>CASEWORK 3: FaMoaSa FaMoaSa Manufacturing &amp; Warehousing Facility Design</t>
  </si>
  <si>
    <t>Year +1 Product Demand from Client Assembly Factory</t>
  </si>
  <si>
    <t>Year 1</t>
  </si>
  <si>
    <t>Year +1 Demand Forecast for Each Product of Clients A and B</t>
  </si>
  <si>
    <t>A1</t>
  </si>
  <si>
    <t>A2</t>
  </si>
  <si>
    <t>A3</t>
  </si>
  <si>
    <t>B1</t>
  </si>
  <si>
    <t>B2</t>
  </si>
  <si>
    <t>Year</t>
  </si>
  <si>
    <t>Total</t>
  </si>
  <si>
    <t>Std</t>
  </si>
  <si>
    <t>+1</t>
  </si>
  <si>
    <t>Weekly D</t>
  </si>
  <si>
    <t>Hourly D</t>
  </si>
  <si>
    <t>Standard Deviation on Year +1  Demand Forecast for Each Product of Clients A and B</t>
  </si>
  <si>
    <t>Weekly</t>
  </si>
  <si>
    <t>Weekly Robust Demand</t>
  </si>
  <si>
    <t>Total_Minutes_Per_Unit</t>
  </si>
  <si>
    <t>OEE</t>
  </si>
  <si>
    <t>Weekly Transformed_Robust_Machine_Mins</t>
  </si>
  <si>
    <t>Overall</t>
  </si>
  <si>
    <t>P1</t>
  </si>
  <si>
    <t>P2</t>
  </si>
  <si>
    <t>P3</t>
  </si>
  <si>
    <t>P4</t>
  </si>
  <si>
    <t>Year +1  Weekly Demand Forecast for Each Product of Clients A and B</t>
  </si>
  <si>
    <t>P5</t>
  </si>
  <si>
    <t>P6</t>
  </si>
  <si>
    <t>P7</t>
  </si>
  <si>
    <t>P8</t>
  </si>
  <si>
    <t>Expected Coefficient of Variation of Weekly Year +1 Demand for Each Product of Clients A and B</t>
  </si>
  <si>
    <t>P9</t>
  </si>
  <si>
    <t>Average</t>
  </si>
  <si>
    <t>P10</t>
  </si>
  <si>
    <t>P11</t>
  </si>
  <si>
    <t>P12</t>
  </si>
  <si>
    <t>P13</t>
  </si>
  <si>
    <t>Part</t>
  </si>
  <si>
    <t xml:space="preserve">Parts per Assembled Product Unit Demanded in Year +1 </t>
  </si>
  <si>
    <t>P14</t>
  </si>
  <si>
    <t>P15</t>
  </si>
  <si>
    <t>P16</t>
  </si>
  <si>
    <t>P17</t>
  </si>
  <si>
    <t>P18</t>
  </si>
  <si>
    <t>P19</t>
  </si>
  <si>
    <t>P20</t>
  </si>
  <si>
    <t>Hourly</t>
  </si>
  <si>
    <t>Sum_Demand_Units</t>
  </si>
  <si>
    <t>Unadjusted_number_of_production</t>
  </si>
  <si>
    <t>Annual</t>
  </si>
  <si>
    <t>Annual Robust Demand</t>
  </si>
  <si>
    <t>Annual Transformed_Robust_Machine_Mins</t>
  </si>
  <si>
    <t>Parameter</t>
  </si>
  <si>
    <t>Value</t>
  </si>
  <si>
    <t>Weeks Cover SS</t>
  </si>
  <si>
    <t>Holding Rate</t>
  </si>
  <si>
    <t>Internal Height ft</t>
  </si>
  <si>
    <t>Volume Utilization</t>
  </si>
  <si>
    <t>Factory Building Cost ft2</t>
  </si>
  <si>
    <t>wh Building Cost ft2</t>
  </si>
  <si>
    <t>Factory Share</t>
  </si>
  <si>
    <t>Hours per Week</t>
  </si>
  <si>
    <t>Share to A WH</t>
  </si>
  <si>
    <t>Hourly Robust Units</t>
  </si>
  <si>
    <t>Unit Volume ft3</t>
  </si>
  <si>
    <t>Unit Value</t>
  </si>
  <si>
    <t>Total SS Units</t>
  </si>
  <si>
    <t>Total SS Volume ft3</t>
  </si>
  <si>
    <t>Total SS Value</t>
  </si>
  <si>
    <t>Factory SS Units</t>
  </si>
  <si>
    <t>wh SS Units</t>
  </si>
  <si>
    <t>Factory SS Vol ft3</t>
  </si>
  <si>
    <t>wh SS Vol ft3</t>
  </si>
  <si>
    <t>Factory SS Area ft2</t>
  </si>
  <si>
    <t>wh Area ft2</t>
  </si>
  <si>
    <t>Factory Build Cost</t>
  </si>
  <si>
    <t>wh Build Cost</t>
  </si>
  <si>
    <t>Annual Holding Cost</t>
  </si>
  <si>
    <t>A wh SS Units</t>
  </si>
  <si>
    <t>B wh SS Units</t>
  </si>
  <si>
    <t>A wh SS Vol ft3</t>
  </si>
  <si>
    <t>B wh SS Vol ft3</t>
  </si>
  <si>
    <t>A wh Area ft2</t>
  </si>
  <si>
    <t>B wh Area ft2</t>
  </si>
  <si>
    <t>A wh Build Cost</t>
  </si>
  <si>
    <t>B wh Build Cost</t>
  </si>
  <si>
    <t>Sum</t>
  </si>
  <si>
    <t>Dimensions</t>
  </si>
  <si>
    <t>Materials</t>
  </si>
  <si>
    <t>Identifier</t>
  </si>
  <si>
    <t>X (in.)</t>
  </si>
  <si>
    <t>Y (in.)</t>
  </si>
  <si>
    <t>Z (in.)</t>
  </si>
  <si>
    <t>Weight (lbs)</t>
  </si>
  <si>
    <t>Price/unit</t>
  </si>
  <si>
    <t>Step 1</t>
  </si>
  <si>
    <t>Step 2</t>
  </si>
  <si>
    <t>Step 3</t>
  </si>
  <si>
    <t>Step 4</t>
  </si>
  <si>
    <t>Step 5</t>
  </si>
  <si>
    <t>Step 6</t>
  </si>
  <si>
    <t>Step 7</t>
  </si>
  <si>
    <t>1--2</t>
  </si>
  <si>
    <t>2--3</t>
  </si>
  <si>
    <t>3--4</t>
  </si>
  <si>
    <t>4--5</t>
  </si>
  <si>
    <t>5--6</t>
  </si>
  <si>
    <t>6--7</t>
  </si>
  <si>
    <t>from process</t>
  </si>
  <si>
    <t>to process</t>
  </si>
  <si>
    <t>flow/week/center</t>
  </si>
  <si>
    <t>flow/hour/center</t>
  </si>
  <si>
    <t>B</t>
  </si>
  <si>
    <t>A</t>
  </si>
  <si>
    <t>C</t>
  </si>
  <si>
    <t>D</t>
  </si>
  <si>
    <t>I</t>
  </si>
  <si>
    <t>J</t>
  </si>
  <si>
    <t>H</t>
  </si>
  <si>
    <t>G</t>
  </si>
  <si>
    <t>E</t>
  </si>
  <si>
    <t>F</t>
  </si>
  <si>
    <t>K</t>
  </si>
  <si>
    <t>L</t>
  </si>
  <si>
    <t>M</t>
  </si>
  <si>
    <t>Weekly_Robust_Demand_99p5_Units</t>
  </si>
  <si>
    <t>/10 one center</t>
  </si>
  <si>
    <t>hour/center</t>
  </si>
  <si>
    <t>Year 2</t>
  </si>
  <si>
    <t>A4</t>
  </si>
  <si>
    <t>B3</t>
  </si>
  <si>
    <t>B4</t>
  </si>
  <si>
    <t>+2</t>
  </si>
  <si>
    <t>Number of Parts per Assembled Product Unit Planned to be Demanded in 2026-2029 by Clients A and B</t>
  </si>
  <si>
    <t>/15 one center</t>
  </si>
  <si>
    <t>+3</t>
  </si>
  <si>
    <t xml:space="preserve"> Weekly Robust Demand</t>
  </si>
  <si>
    <t xml:space="preserve"> Annual Robust Demand</t>
  </si>
  <si>
    <t>Year 3</t>
  </si>
  <si>
    <t>/17 one center</t>
  </si>
  <si>
    <t>+4</t>
  </si>
  <si>
    <t>/19 one center</t>
  </si>
  <si>
    <t>+5</t>
  </si>
  <si>
    <t>/22 one center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</si>
</sst>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2"/>
      <color rgb="FF000000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i/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9" applyNumberFormat="0" applyAlignment="0" applyProtection="0">
      <alignment vertical="center"/>
    </xf>
    <xf numFmtId="0" fontId="15" fillId="10" borderId="20" applyNumberFormat="0" applyAlignment="0" applyProtection="0">
      <alignment vertical="center"/>
    </xf>
    <xf numFmtId="0" fontId="16" fillId="10" borderId="19" applyNumberFormat="0" applyAlignment="0" applyProtection="0">
      <alignment vertical="center"/>
    </xf>
    <xf numFmtId="0" fontId="17" fillId="11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0" borderId="0" xfId="0" applyFont="1" applyFill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9" fontId="3" fillId="5" borderId="7" xfId="0" applyNumberFormat="1" applyFont="1" applyFill="1" applyBorder="1" applyAlignment="1">
      <alignment horizontal="center"/>
    </xf>
    <xf numFmtId="9" fontId="3" fillId="5" borderId="0" xfId="0" applyNumberFormat="1" applyFont="1" applyFill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5" borderId="13" xfId="0" applyFont="1" applyFill="1" applyBorder="1" applyAlignment="1"/>
    <xf numFmtId="1" fontId="3" fillId="5" borderId="14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9" fontId="2" fillId="7" borderId="13" xfId="0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3" fillId="5" borderId="7" xfId="0" applyNumberFormat="1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5" borderId="13" xfId="0" applyNumberFormat="1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9" fontId="2" fillId="7" borderId="0" xfId="0" applyNumberFormat="1" applyFont="1" applyFill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9" fontId="3" fillId="5" borderId="2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1" fontId="5" fillId="5" borderId="12" xfId="0" applyNumberFormat="1" applyFont="1" applyFill="1" applyBorder="1" applyAlignment="1">
      <alignment horizontal="center"/>
    </xf>
    <xf numFmtId="9" fontId="5" fillId="5" borderId="12" xfId="0" applyNumberFormat="1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3" xfId="0" applyFont="1" applyFill="1" applyBorder="1" applyAlignment="1" quotePrefix="1">
      <alignment horizontal="center"/>
    </xf>
    <xf numFmtId="0" fontId="3" fillId="4" borderId="11" xfId="0" applyFont="1" applyFill="1" applyBorder="1" applyAlignment="1" quotePrefix="1">
      <alignment horizontal="center"/>
    </xf>
    <xf numFmtId="0" fontId="3" fillId="4" borderId="4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7"/>
  <sheetViews>
    <sheetView zoomScale="60" zoomScaleNormal="60" topLeftCell="A52" workbookViewId="0">
      <selection activeCell="J67" sqref="J67:S87"/>
    </sheetView>
  </sheetViews>
  <sheetFormatPr defaultColWidth="8.88888888888889" defaultRowHeight="17.6"/>
  <cols>
    <col min="11" max="15" width="12.5555555555556"/>
    <col min="16" max="16" width="22.2777777777778" customWidth="1"/>
    <col min="17" max="17" width="21.8472222222222" customWidth="1"/>
    <col min="18" max="18" width="12.5555555555556"/>
    <col min="19" max="19" width="34.1388888888889" customWidth="1"/>
  </cols>
  <sheetData>
    <row r="1" spans="1:19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>
      <c r="A15" s="8"/>
      <c r="B15" s="8"/>
      <c r="C15" s="8"/>
      <c r="D15" s="8"/>
      <c r="E15" s="8"/>
      <c r="F15" s="8"/>
      <c r="G15" s="8"/>
      <c r="H15" s="8"/>
      <c r="I15" s="8"/>
      <c r="J15" s="8" t="s">
        <v>4</v>
      </c>
      <c r="K15" s="8"/>
      <c r="L15" s="8"/>
      <c r="M15" s="8"/>
      <c r="N15" s="8"/>
      <c r="O15" s="8"/>
      <c r="P15" s="8"/>
      <c r="Q15" s="8"/>
      <c r="R15" s="8"/>
      <c r="S15" s="8"/>
    </row>
    <row r="16" spans="1:19">
      <c r="A16" s="8"/>
      <c r="B16" s="10" t="s">
        <v>5</v>
      </c>
      <c r="C16" s="11"/>
      <c r="D16" s="11"/>
      <c r="E16" s="11"/>
      <c r="F16" s="11"/>
      <c r="G16" s="11"/>
      <c r="H16" s="34"/>
      <c r="I16" s="8"/>
      <c r="J16" s="45"/>
      <c r="K16" s="45" t="s">
        <v>6</v>
      </c>
      <c r="L16" s="45" t="s">
        <v>7</v>
      </c>
      <c r="M16" s="45" t="s">
        <v>8</v>
      </c>
      <c r="N16" s="45" t="s">
        <v>9</v>
      </c>
      <c r="O16" s="45" t="s">
        <v>10</v>
      </c>
      <c r="P16" s="45"/>
      <c r="Q16" s="45"/>
      <c r="R16" s="45"/>
      <c r="S16" s="45"/>
    </row>
    <row r="17" spans="1:19">
      <c r="A17" s="8"/>
      <c r="B17" s="53" t="s">
        <v>11</v>
      </c>
      <c r="C17" s="54" t="s">
        <v>6</v>
      </c>
      <c r="D17" s="54" t="s">
        <v>7</v>
      </c>
      <c r="E17" s="54" t="s">
        <v>8</v>
      </c>
      <c r="F17" s="54" t="s">
        <v>9</v>
      </c>
      <c r="G17" s="54" t="s">
        <v>10</v>
      </c>
      <c r="H17" s="66" t="s">
        <v>12</v>
      </c>
      <c r="I17" s="8"/>
      <c r="J17" s="45" t="s">
        <v>13</v>
      </c>
      <c r="K17" s="45">
        <f t="shared" ref="K17:O17" si="0">C28*C32</f>
        <v>144.230769230769</v>
      </c>
      <c r="L17" s="45">
        <f t="shared" si="0"/>
        <v>384.615384615385</v>
      </c>
      <c r="M17" s="45">
        <f t="shared" si="0"/>
        <v>500</v>
      </c>
      <c r="N17" s="45">
        <f t="shared" si="0"/>
        <v>138.461538461538</v>
      </c>
      <c r="O17" s="45">
        <f t="shared" si="0"/>
        <v>276.923076923077</v>
      </c>
      <c r="P17" s="45"/>
      <c r="Q17" s="45"/>
      <c r="R17" s="45"/>
      <c r="S17" s="45"/>
    </row>
    <row r="18" spans="1:19">
      <c r="A18" s="8"/>
      <c r="B18" s="71" t="s">
        <v>14</v>
      </c>
      <c r="C18" s="55">
        <v>50000</v>
      </c>
      <c r="D18" s="56">
        <v>100000</v>
      </c>
      <c r="E18" s="56">
        <v>130000</v>
      </c>
      <c r="F18" s="56">
        <v>60000</v>
      </c>
      <c r="G18" s="56">
        <v>80000</v>
      </c>
      <c r="H18" s="67">
        <f>SUM(C18:G18)</f>
        <v>420000</v>
      </c>
      <c r="I18" s="8"/>
      <c r="J18" s="45" t="s">
        <v>15</v>
      </c>
      <c r="K18" s="45">
        <f t="shared" ref="K18:O18" si="1">C28+2.575*K17</f>
        <v>1332.93269230769</v>
      </c>
      <c r="L18" s="45">
        <f t="shared" si="1"/>
        <v>2913.46153846154</v>
      </c>
      <c r="M18" s="45">
        <f t="shared" si="1"/>
        <v>3787.5</v>
      </c>
      <c r="N18" s="45">
        <f t="shared" si="1"/>
        <v>1510.38461538462</v>
      </c>
      <c r="O18" s="45">
        <f t="shared" si="1"/>
        <v>2251.53846153846</v>
      </c>
      <c r="P18" s="45"/>
      <c r="Q18" s="45"/>
      <c r="R18" s="45"/>
      <c r="S18" s="45"/>
    </row>
    <row r="19" spans="1:15">
      <c r="A19" s="8"/>
      <c r="B19" s="17"/>
      <c r="C19" s="17"/>
      <c r="D19" s="17"/>
      <c r="E19" s="17"/>
      <c r="F19" s="17"/>
      <c r="G19" s="17"/>
      <c r="H19" s="8"/>
      <c r="I19" s="8"/>
      <c r="J19" s="45" t="s">
        <v>16</v>
      </c>
      <c r="K19" s="45">
        <f t="shared" ref="K19:O19" si="2">K18/(16*5)</f>
        <v>16.6616586538462</v>
      </c>
      <c r="L19" s="45">
        <f t="shared" si="2"/>
        <v>36.4182692307692</v>
      </c>
      <c r="M19" s="45">
        <f t="shared" si="2"/>
        <v>47.34375</v>
      </c>
      <c r="N19" s="45">
        <f t="shared" si="2"/>
        <v>18.8798076923077</v>
      </c>
      <c r="O19" s="45">
        <f t="shared" si="2"/>
        <v>28.1442307692308</v>
      </c>
    </row>
    <row r="20" spans="1:9">
      <c r="A20" s="8"/>
      <c r="B20" s="17"/>
      <c r="C20" s="17"/>
      <c r="D20" s="17"/>
      <c r="E20" s="17"/>
      <c r="F20" s="17"/>
      <c r="G20" s="17"/>
      <c r="H20" s="8"/>
      <c r="I20" s="8"/>
    </row>
    <row r="21" spans="1:19">
      <c r="A21" s="8"/>
      <c r="B21" s="10" t="s">
        <v>17</v>
      </c>
      <c r="C21" s="11"/>
      <c r="D21" s="11"/>
      <c r="E21" s="11"/>
      <c r="F21" s="11"/>
      <c r="G21" s="11"/>
      <c r="H21" s="34"/>
      <c r="I21" s="8"/>
      <c r="J21" s="47" t="s">
        <v>18</v>
      </c>
      <c r="K21" s="47" t="s">
        <v>6</v>
      </c>
      <c r="L21" s="47" t="s">
        <v>7</v>
      </c>
      <c r="M21" s="47" t="s">
        <v>8</v>
      </c>
      <c r="N21" s="47" t="s">
        <v>9</v>
      </c>
      <c r="O21" s="47" t="s">
        <v>10</v>
      </c>
      <c r="P21" s="45" t="s">
        <v>19</v>
      </c>
      <c r="Q21" s="45" t="s">
        <v>20</v>
      </c>
      <c r="R21" s="45" t="s">
        <v>21</v>
      </c>
      <c r="S21" s="45" t="s">
        <v>22</v>
      </c>
    </row>
    <row r="22" spans="1:19">
      <c r="A22" s="17"/>
      <c r="B22" s="53" t="s">
        <v>11</v>
      </c>
      <c r="C22" s="18" t="s">
        <v>6</v>
      </c>
      <c r="D22" s="13" t="s">
        <v>7</v>
      </c>
      <c r="E22" s="13" t="s">
        <v>8</v>
      </c>
      <c r="F22" s="54" t="s">
        <v>9</v>
      </c>
      <c r="G22" s="54" t="s">
        <v>10</v>
      </c>
      <c r="H22" s="36" t="s">
        <v>23</v>
      </c>
      <c r="I22" s="17"/>
      <c r="J22" s="45" t="s">
        <v>24</v>
      </c>
      <c r="K22" s="45">
        <f t="shared" ref="K22:K41" si="3">$K$18*C37</f>
        <v>1332.93269230769</v>
      </c>
      <c r="L22" s="45">
        <f t="shared" ref="L22:L41" si="4">$L$18*D37</f>
        <v>5826.92307692308</v>
      </c>
      <c r="M22" s="45">
        <f t="shared" ref="M22:M41" si="5">$M$18*E37</f>
        <v>15150</v>
      </c>
      <c r="N22" s="45">
        <f t="shared" ref="N22:N41" si="6">$N$18*F37</f>
        <v>6041.53846153846</v>
      </c>
      <c r="O22" s="45">
        <f t="shared" ref="O22:O41" si="7">$O$18*G37</f>
        <v>2251.53846153846</v>
      </c>
      <c r="P22" s="45">
        <f t="shared" ref="P22:P41" si="8">SUM(K22:O22)</f>
        <v>30602.9326923077</v>
      </c>
      <c r="Q22" s="45">
        <v>12.75</v>
      </c>
      <c r="R22" s="45">
        <f t="shared" ref="R22:R41" si="9">0.98*0.9</f>
        <v>0.882</v>
      </c>
      <c r="S22" s="45">
        <f t="shared" ref="S22:S41" si="10">P22*Q22/R22</f>
        <v>442389.333137101</v>
      </c>
    </row>
    <row r="23" spans="1:19">
      <c r="A23" s="8"/>
      <c r="B23" s="71" t="s">
        <v>14</v>
      </c>
      <c r="C23" s="57">
        <v>721.110255092798</v>
      </c>
      <c r="D23" s="58">
        <v>1442.2205101856</v>
      </c>
      <c r="E23" s="58">
        <v>2163.33076527839</v>
      </c>
      <c r="F23" s="58">
        <v>1442.2205101856</v>
      </c>
      <c r="G23" s="58">
        <v>721.110255092798</v>
      </c>
      <c r="H23" s="67">
        <v>447</v>
      </c>
      <c r="I23" s="8"/>
      <c r="J23" s="45" t="s">
        <v>25</v>
      </c>
      <c r="K23" s="45">
        <f t="shared" si="3"/>
        <v>5331.73076923077</v>
      </c>
      <c r="L23" s="45">
        <f t="shared" si="4"/>
        <v>0</v>
      </c>
      <c r="M23" s="45">
        <f t="shared" si="5"/>
        <v>7575</v>
      </c>
      <c r="N23" s="45">
        <f t="shared" si="6"/>
        <v>3020.76923076923</v>
      </c>
      <c r="O23" s="45">
        <f t="shared" si="7"/>
        <v>0</v>
      </c>
      <c r="P23" s="45">
        <f t="shared" si="8"/>
        <v>15927.5</v>
      </c>
      <c r="Q23" s="45">
        <v>7.75</v>
      </c>
      <c r="R23" s="45">
        <f t="shared" si="9"/>
        <v>0.882</v>
      </c>
      <c r="S23" s="45">
        <f t="shared" si="10"/>
        <v>139952.522675737</v>
      </c>
    </row>
    <row r="24" spans="1:19">
      <c r="A24" s="8"/>
      <c r="B24" s="8"/>
      <c r="C24" s="8"/>
      <c r="D24" s="8"/>
      <c r="E24" s="8"/>
      <c r="F24" s="8"/>
      <c r="G24" s="8"/>
      <c r="H24" s="8"/>
      <c r="I24" s="8"/>
      <c r="J24" s="45" t="s">
        <v>26</v>
      </c>
      <c r="K24" s="45">
        <f t="shared" si="3"/>
        <v>0</v>
      </c>
      <c r="L24" s="45">
        <f t="shared" si="4"/>
        <v>0</v>
      </c>
      <c r="M24" s="45">
        <f t="shared" si="5"/>
        <v>0</v>
      </c>
      <c r="N24" s="45">
        <f t="shared" si="6"/>
        <v>6041.53846153846</v>
      </c>
      <c r="O24" s="45">
        <f t="shared" si="7"/>
        <v>2251.53846153846</v>
      </c>
      <c r="P24" s="45">
        <f t="shared" si="8"/>
        <v>8293.07692307692</v>
      </c>
      <c r="Q24" s="45">
        <v>9.5</v>
      </c>
      <c r="R24" s="45">
        <f t="shared" si="9"/>
        <v>0.882</v>
      </c>
      <c r="S24" s="45">
        <f t="shared" si="10"/>
        <v>89324.5246816675</v>
      </c>
    </row>
    <row r="25" spans="1:19">
      <c r="A25" s="8"/>
      <c r="B25" s="8"/>
      <c r="C25" s="8"/>
      <c r="D25" s="8"/>
      <c r="E25" s="8"/>
      <c r="F25" s="8"/>
      <c r="G25" s="8"/>
      <c r="H25" s="8"/>
      <c r="I25" s="8"/>
      <c r="J25" s="45" t="s">
        <v>27</v>
      </c>
      <c r="K25" s="45">
        <f t="shared" si="3"/>
        <v>0</v>
      </c>
      <c r="L25" s="45">
        <f t="shared" si="4"/>
        <v>2913.46153846154</v>
      </c>
      <c r="M25" s="45">
        <f t="shared" si="5"/>
        <v>7575</v>
      </c>
      <c r="N25" s="45">
        <f t="shared" si="6"/>
        <v>3020.76923076923</v>
      </c>
      <c r="O25" s="45">
        <f t="shared" si="7"/>
        <v>0</v>
      </c>
      <c r="P25" s="45">
        <f t="shared" si="8"/>
        <v>13509.2307692308</v>
      </c>
      <c r="Q25" s="45">
        <v>7.5</v>
      </c>
      <c r="R25" s="45">
        <f t="shared" si="9"/>
        <v>0.882</v>
      </c>
      <c r="S25" s="45">
        <f t="shared" si="10"/>
        <v>114874.411302983</v>
      </c>
    </row>
    <row r="26" spans="1:19">
      <c r="A26" s="8"/>
      <c r="B26" s="10" t="s">
        <v>28</v>
      </c>
      <c r="C26" s="11"/>
      <c r="D26" s="11"/>
      <c r="E26" s="11"/>
      <c r="F26" s="11"/>
      <c r="G26" s="11"/>
      <c r="H26" s="34"/>
      <c r="I26" s="8"/>
      <c r="J26" s="45" t="s">
        <v>29</v>
      </c>
      <c r="K26" s="45">
        <f t="shared" si="3"/>
        <v>0</v>
      </c>
      <c r="L26" s="45">
        <f t="shared" si="4"/>
        <v>2913.46153846154</v>
      </c>
      <c r="M26" s="45">
        <f t="shared" si="5"/>
        <v>7575</v>
      </c>
      <c r="N26" s="45">
        <f t="shared" si="6"/>
        <v>0</v>
      </c>
      <c r="O26" s="45">
        <f t="shared" si="7"/>
        <v>0</v>
      </c>
      <c r="P26" s="45">
        <f t="shared" si="8"/>
        <v>10488.4615384615</v>
      </c>
      <c r="Q26" s="45">
        <v>7.5</v>
      </c>
      <c r="R26" s="45">
        <f t="shared" si="9"/>
        <v>0.882</v>
      </c>
      <c r="S26" s="45">
        <f t="shared" si="10"/>
        <v>89187.5981161696</v>
      </c>
    </row>
    <row r="27" spans="1:19">
      <c r="A27" s="8"/>
      <c r="B27" s="53" t="s">
        <v>11</v>
      </c>
      <c r="C27" s="54" t="s">
        <v>6</v>
      </c>
      <c r="D27" s="54" t="s">
        <v>7</v>
      </c>
      <c r="E27" s="54" t="s">
        <v>8</v>
      </c>
      <c r="F27" s="54" t="s">
        <v>9</v>
      </c>
      <c r="G27" s="54" t="s">
        <v>10</v>
      </c>
      <c r="H27" s="66" t="s">
        <v>12</v>
      </c>
      <c r="I27" s="8"/>
      <c r="J27" s="45" t="s">
        <v>30</v>
      </c>
      <c r="K27" s="45">
        <f t="shared" si="3"/>
        <v>1332.93269230769</v>
      </c>
      <c r="L27" s="45">
        <f t="shared" si="4"/>
        <v>0</v>
      </c>
      <c r="M27" s="45">
        <f t="shared" si="5"/>
        <v>0</v>
      </c>
      <c r="N27" s="45">
        <f t="shared" si="6"/>
        <v>0</v>
      </c>
      <c r="O27" s="45">
        <f t="shared" si="7"/>
        <v>4503.07692307692</v>
      </c>
      <c r="P27" s="45">
        <f t="shared" si="8"/>
        <v>5836.00961538462</v>
      </c>
      <c r="Q27" s="45">
        <v>10.5</v>
      </c>
      <c r="R27" s="45">
        <f t="shared" si="9"/>
        <v>0.882</v>
      </c>
      <c r="S27" s="45">
        <f t="shared" si="10"/>
        <v>69476.304945055</v>
      </c>
    </row>
    <row r="28" spans="1:19">
      <c r="A28" s="8"/>
      <c r="B28" s="71" t="s">
        <v>14</v>
      </c>
      <c r="C28" s="57">
        <f t="shared" ref="C28:G28" si="11">C18/52</f>
        <v>961.538461538462</v>
      </c>
      <c r="D28" s="58">
        <f t="shared" si="11"/>
        <v>1923.07692307692</v>
      </c>
      <c r="E28" s="58">
        <f t="shared" si="11"/>
        <v>2500</v>
      </c>
      <c r="F28" s="58">
        <f t="shared" si="11"/>
        <v>1153.84615384615</v>
      </c>
      <c r="G28" s="58">
        <f t="shared" si="11"/>
        <v>1538.46153846154</v>
      </c>
      <c r="H28" s="68">
        <f>SUM(C28:G28)</f>
        <v>8076.92307692308</v>
      </c>
      <c r="I28" s="8"/>
      <c r="J28" s="45" t="s">
        <v>31</v>
      </c>
      <c r="K28" s="45">
        <f t="shared" si="3"/>
        <v>0</v>
      </c>
      <c r="L28" s="45">
        <f t="shared" si="4"/>
        <v>11653.8461538462</v>
      </c>
      <c r="M28" s="45">
        <f t="shared" si="5"/>
        <v>0</v>
      </c>
      <c r="N28" s="45">
        <f t="shared" si="6"/>
        <v>0</v>
      </c>
      <c r="O28" s="45">
        <f t="shared" si="7"/>
        <v>9006.15384615385</v>
      </c>
      <c r="P28" s="45">
        <f t="shared" si="8"/>
        <v>20660</v>
      </c>
      <c r="Q28" s="45">
        <v>10</v>
      </c>
      <c r="R28" s="45">
        <f t="shared" si="9"/>
        <v>0.882</v>
      </c>
      <c r="S28" s="45">
        <f t="shared" si="10"/>
        <v>234240.362811791</v>
      </c>
    </row>
    <row r="29" spans="1:19">
      <c r="A29" s="8"/>
      <c r="B29" s="17"/>
      <c r="C29" s="17"/>
      <c r="D29" s="17"/>
      <c r="E29" s="17"/>
      <c r="F29" s="17"/>
      <c r="G29" s="17"/>
      <c r="H29" s="8"/>
      <c r="I29" s="8"/>
      <c r="J29" s="45" t="s">
        <v>32</v>
      </c>
      <c r="K29" s="45">
        <f t="shared" si="3"/>
        <v>0</v>
      </c>
      <c r="L29" s="45">
        <f t="shared" si="4"/>
        <v>0</v>
      </c>
      <c r="M29" s="45">
        <f t="shared" si="5"/>
        <v>0</v>
      </c>
      <c r="N29" s="45">
        <f t="shared" si="6"/>
        <v>6041.53846153846</v>
      </c>
      <c r="O29" s="45">
        <f t="shared" si="7"/>
        <v>0</v>
      </c>
      <c r="P29" s="45">
        <f t="shared" si="8"/>
        <v>6041.53846153846</v>
      </c>
      <c r="Q29" s="45">
        <v>4.75</v>
      </c>
      <c r="R29" s="45">
        <f t="shared" si="9"/>
        <v>0.882</v>
      </c>
      <c r="S29" s="45">
        <f t="shared" si="10"/>
        <v>32536.63003663</v>
      </c>
    </row>
    <row r="30" spans="1:19">
      <c r="A30" s="8"/>
      <c r="B30" s="10" t="s">
        <v>33</v>
      </c>
      <c r="C30" s="11"/>
      <c r="D30" s="11"/>
      <c r="E30" s="11"/>
      <c r="F30" s="11"/>
      <c r="G30" s="11"/>
      <c r="H30" s="34"/>
      <c r="I30" s="8"/>
      <c r="J30" s="45" t="s">
        <v>34</v>
      </c>
      <c r="K30" s="45">
        <f t="shared" si="3"/>
        <v>0</v>
      </c>
      <c r="L30" s="45">
        <f t="shared" si="4"/>
        <v>5826.92307692308</v>
      </c>
      <c r="M30" s="45">
        <f t="shared" si="5"/>
        <v>7575</v>
      </c>
      <c r="N30" s="45">
        <f t="shared" si="6"/>
        <v>0</v>
      </c>
      <c r="O30" s="45">
        <f t="shared" si="7"/>
        <v>0</v>
      </c>
      <c r="P30" s="45">
        <f t="shared" si="8"/>
        <v>13401.9230769231</v>
      </c>
      <c r="Q30" s="45">
        <v>8.5</v>
      </c>
      <c r="R30" s="45">
        <f t="shared" si="9"/>
        <v>0.882</v>
      </c>
      <c r="S30" s="45">
        <f t="shared" si="10"/>
        <v>129156.855049712</v>
      </c>
    </row>
    <row r="31" spans="1:19">
      <c r="A31" s="8"/>
      <c r="B31" s="53" t="s">
        <v>11</v>
      </c>
      <c r="C31" s="59" t="s">
        <v>6</v>
      </c>
      <c r="D31" s="54" t="s">
        <v>7</v>
      </c>
      <c r="E31" s="54" t="s">
        <v>8</v>
      </c>
      <c r="F31" s="54" t="s">
        <v>9</v>
      </c>
      <c r="G31" s="54" t="s">
        <v>10</v>
      </c>
      <c r="H31" s="66" t="s">
        <v>35</v>
      </c>
      <c r="I31" s="8"/>
      <c r="J31" s="45" t="s">
        <v>36</v>
      </c>
      <c r="K31" s="45">
        <f t="shared" si="3"/>
        <v>1332.93269230769</v>
      </c>
      <c r="L31" s="45">
        <f t="shared" si="4"/>
        <v>0</v>
      </c>
      <c r="M31" s="45">
        <f t="shared" si="5"/>
        <v>3787.5</v>
      </c>
      <c r="N31" s="45">
        <f t="shared" si="6"/>
        <v>1510.38461538462</v>
      </c>
      <c r="O31" s="45">
        <f t="shared" si="7"/>
        <v>0</v>
      </c>
      <c r="P31" s="45">
        <f t="shared" si="8"/>
        <v>6630.81730769231</v>
      </c>
      <c r="Q31" s="45">
        <v>6.5</v>
      </c>
      <c r="R31" s="45">
        <f t="shared" si="9"/>
        <v>0.882</v>
      </c>
      <c r="S31" s="45">
        <f t="shared" si="10"/>
        <v>48866.5674603175</v>
      </c>
    </row>
    <row r="32" spans="1:19">
      <c r="A32" s="8"/>
      <c r="B32" s="71" t="s">
        <v>14</v>
      </c>
      <c r="C32" s="60">
        <v>0.15</v>
      </c>
      <c r="D32" s="61">
        <v>0.2</v>
      </c>
      <c r="E32" s="61">
        <v>0.2</v>
      </c>
      <c r="F32" s="61">
        <v>0.12</v>
      </c>
      <c r="G32" s="61">
        <v>0.18</v>
      </c>
      <c r="H32" s="69">
        <f>AVERAGE(C32:G32)</f>
        <v>0.17</v>
      </c>
      <c r="I32" s="8"/>
      <c r="J32" s="45" t="s">
        <v>37</v>
      </c>
      <c r="K32" s="45">
        <f t="shared" si="3"/>
        <v>2665.86538461538</v>
      </c>
      <c r="L32" s="45">
        <f t="shared" si="4"/>
        <v>0</v>
      </c>
      <c r="M32" s="45">
        <f t="shared" si="5"/>
        <v>0</v>
      </c>
      <c r="N32" s="45">
        <f t="shared" si="6"/>
        <v>0</v>
      </c>
      <c r="O32" s="45">
        <f t="shared" si="7"/>
        <v>9006.15384615385</v>
      </c>
      <c r="P32" s="45">
        <f t="shared" si="8"/>
        <v>11672.0192307692</v>
      </c>
      <c r="Q32" s="45">
        <v>4</v>
      </c>
      <c r="R32" s="45">
        <f t="shared" si="9"/>
        <v>0.882</v>
      </c>
      <c r="S32" s="45">
        <f t="shared" si="10"/>
        <v>52934.3275771847</v>
      </c>
    </row>
    <row r="33" spans="1:19">
      <c r="A33" s="8"/>
      <c r="B33" s="8"/>
      <c r="C33" s="8"/>
      <c r="D33" s="8"/>
      <c r="E33" s="8"/>
      <c r="F33" s="8"/>
      <c r="G33" s="8"/>
      <c r="H33" s="8"/>
      <c r="I33" s="8"/>
      <c r="J33" s="45" t="s">
        <v>38</v>
      </c>
      <c r="K33" s="45">
        <f t="shared" si="3"/>
        <v>5331.73076923077</v>
      </c>
      <c r="L33" s="45">
        <f t="shared" si="4"/>
        <v>0</v>
      </c>
      <c r="M33" s="45">
        <f t="shared" si="5"/>
        <v>0</v>
      </c>
      <c r="N33" s="45">
        <f t="shared" si="6"/>
        <v>0</v>
      </c>
      <c r="O33" s="45">
        <f t="shared" si="7"/>
        <v>9006.15384615385</v>
      </c>
      <c r="P33" s="45">
        <f t="shared" si="8"/>
        <v>14337.8846153846</v>
      </c>
      <c r="Q33" s="45">
        <v>6</v>
      </c>
      <c r="R33" s="45">
        <f t="shared" si="9"/>
        <v>0.882</v>
      </c>
      <c r="S33" s="45">
        <f t="shared" si="10"/>
        <v>97536.63003663</v>
      </c>
    </row>
    <row r="34" spans="1:19">
      <c r="A34" s="8"/>
      <c r="B34" s="8"/>
      <c r="C34" s="8"/>
      <c r="D34" s="8"/>
      <c r="E34" s="8"/>
      <c r="F34" s="8"/>
      <c r="G34" s="8"/>
      <c r="H34" s="8"/>
      <c r="I34" s="8"/>
      <c r="J34" s="45" t="s">
        <v>39</v>
      </c>
      <c r="K34" s="45">
        <f t="shared" si="3"/>
        <v>2665.86538461538</v>
      </c>
      <c r="L34" s="45">
        <f t="shared" si="4"/>
        <v>0</v>
      </c>
      <c r="M34" s="45">
        <f t="shared" si="5"/>
        <v>0</v>
      </c>
      <c r="N34" s="45">
        <f t="shared" si="6"/>
        <v>0</v>
      </c>
      <c r="O34" s="45">
        <f t="shared" si="7"/>
        <v>4503.07692307692</v>
      </c>
      <c r="P34" s="45">
        <f t="shared" si="8"/>
        <v>7168.94230769231</v>
      </c>
      <c r="Q34" s="45">
        <v>7.5</v>
      </c>
      <c r="R34" s="45">
        <f t="shared" si="9"/>
        <v>0.882</v>
      </c>
      <c r="S34" s="45">
        <f t="shared" si="10"/>
        <v>60960.3937728938</v>
      </c>
    </row>
    <row r="35" spans="1:19">
      <c r="A35" s="8"/>
      <c r="B35" s="62" t="s">
        <v>40</v>
      </c>
      <c r="C35" s="26" t="s">
        <v>41</v>
      </c>
      <c r="D35" s="27"/>
      <c r="E35" s="27"/>
      <c r="F35" s="27"/>
      <c r="G35" s="42"/>
      <c r="H35" s="8"/>
      <c r="I35" s="8"/>
      <c r="J35" s="45" t="s">
        <v>42</v>
      </c>
      <c r="K35" s="45">
        <f t="shared" si="3"/>
        <v>0</v>
      </c>
      <c r="L35" s="45">
        <f t="shared" si="4"/>
        <v>11653.8461538462</v>
      </c>
      <c r="M35" s="45">
        <f t="shared" si="5"/>
        <v>7575</v>
      </c>
      <c r="N35" s="45">
        <f t="shared" si="6"/>
        <v>3020.76923076923</v>
      </c>
      <c r="O35" s="45">
        <f t="shared" si="7"/>
        <v>4503.07692307692</v>
      </c>
      <c r="P35" s="45">
        <f t="shared" si="8"/>
        <v>26752.6923076923</v>
      </c>
      <c r="Q35" s="45">
        <v>4.75</v>
      </c>
      <c r="R35" s="45">
        <f t="shared" si="9"/>
        <v>0.882</v>
      </c>
      <c r="S35" s="45">
        <f t="shared" si="10"/>
        <v>144076.290772719</v>
      </c>
    </row>
    <row r="36" spans="1:19">
      <c r="A36" s="8"/>
      <c r="B36" s="63"/>
      <c r="C36" s="64" t="s">
        <v>6</v>
      </c>
      <c r="D36" s="65" t="s">
        <v>7</v>
      </c>
      <c r="E36" s="65" t="s">
        <v>8</v>
      </c>
      <c r="F36" s="65" t="s">
        <v>9</v>
      </c>
      <c r="G36" s="70" t="s">
        <v>10</v>
      </c>
      <c r="H36" s="8"/>
      <c r="I36" s="8"/>
      <c r="J36" s="45" t="s">
        <v>43</v>
      </c>
      <c r="K36" s="45">
        <f t="shared" si="3"/>
        <v>0</v>
      </c>
      <c r="L36" s="45">
        <f t="shared" si="4"/>
        <v>0</v>
      </c>
      <c r="M36" s="45">
        <f t="shared" si="5"/>
        <v>0</v>
      </c>
      <c r="N36" s="45">
        <f t="shared" si="6"/>
        <v>3020.76923076923</v>
      </c>
      <c r="O36" s="45">
        <f t="shared" si="7"/>
        <v>0</v>
      </c>
      <c r="P36" s="45">
        <f t="shared" si="8"/>
        <v>3020.76923076923</v>
      </c>
      <c r="Q36" s="45">
        <v>7.5</v>
      </c>
      <c r="R36" s="45">
        <f t="shared" si="9"/>
        <v>0.882</v>
      </c>
      <c r="S36" s="45">
        <f t="shared" si="10"/>
        <v>25686.8131868132</v>
      </c>
    </row>
    <row r="37" spans="1:19">
      <c r="A37" s="8"/>
      <c r="B37" s="28" t="s">
        <v>24</v>
      </c>
      <c r="C37" s="30">
        <v>1</v>
      </c>
      <c r="D37" s="31">
        <v>2</v>
      </c>
      <c r="E37" s="31">
        <v>4</v>
      </c>
      <c r="F37" s="31">
        <v>4</v>
      </c>
      <c r="G37" s="43">
        <v>1</v>
      </c>
      <c r="H37" s="8"/>
      <c r="I37" s="8"/>
      <c r="J37" s="45" t="s">
        <v>44</v>
      </c>
      <c r="K37" s="45">
        <f t="shared" si="3"/>
        <v>0</v>
      </c>
      <c r="L37" s="45">
        <f t="shared" si="4"/>
        <v>2913.46153846154</v>
      </c>
      <c r="M37" s="45">
        <f t="shared" si="5"/>
        <v>15150</v>
      </c>
      <c r="N37" s="45">
        <f t="shared" si="6"/>
        <v>0</v>
      </c>
      <c r="O37" s="45">
        <f t="shared" si="7"/>
        <v>0</v>
      </c>
      <c r="P37" s="45">
        <f t="shared" si="8"/>
        <v>18063.4615384615</v>
      </c>
      <c r="Q37" s="45">
        <v>10</v>
      </c>
      <c r="R37" s="45">
        <f t="shared" si="9"/>
        <v>0.882</v>
      </c>
      <c r="S37" s="45">
        <f t="shared" si="10"/>
        <v>204801.151229723</v>
      </c>
    </row>
    <row r="38" spans="1:19">
      <c r="A38" s="8"/>
      <c r="B38" s="28" t="s">
        <v>25</v>
      </c>
      <c r="C38" s="32">
        <v>4</v>
      </c>
      <c r="D38" s="33"/>
      <c r="E38" s="33">
        <v>2</v>
      </c>
      <c r="F38" s="33">
        <v>2</v>
      </c>
      <c r="G38" s="39"/>
      <c r="H38" s="8"/>
      <c r="I38" s="8"/>
      <c r="J38" s="45" t="s">
        <v>45</v>
      </c>
      <c r="K38" s="45">
        <f t="shared" si="3"/>
        <v>2665.86538461538</v>
      </c>
      <c r="L38" s="45">
        <f t="shared" si="4"/>
        <v>0</v>
      </c>
      <c r="M38" s="45">
        <f t="shared" si="5"/>
        <v>0</v>
      </c>
      <c r="N38" s="45">
        <f t="shared" si="6"/>
        <v>0</v>
      </c>
      <c r="O38" s="45">
        <f t="shared" si="7"/>
        <v>4503.07692307692</v>
      </c>
      <c r="P38" s="45">
        <f t="shared" si="8"/>
        <v>7168.94230769231</v>
      </c>
      <c r="Q38" s="45">
        <v>7.25</v>
      </c>
      <c r="R38" s="45">
        <f t="shared" si="9"/>
        <v>0.882</v>
      </c>
      <c r="S38" s="45">
        <f t="shared" si="10"/>
        <v>58928.3806471307</v>
      </c>
    </row>
    <row r="39" spans="1:19">
      <c r="A39" s="8"/>
      <c r="B39" s="28" t="s">
        <v>26</v>
      </c>
      <c r="C39" s="32"/>
      <c r="D39" s="33"/>
      <c r="E39" s="33"/>
      <c r="F39" s="33">
        <v>4</v>
      </c>
      <c r="G39" s="39">
        <v>1</v>
      </c>
      <c r="H39" s="8"/>
      <c r="I39" s="8"/>
      <c r="J39" s="45" t="s">
        <v>46</v>
      </c>
      <c r="K39" s="45">
        <f t="shared" si="3"/>
        <v>5331.73076923077</v>
      </c>
      <c r="L39" s="45">
        <f t="shared" si="4"/>
        <v>2913.46153846154</v>
      </c>
      <c r="M39" s="45">
        <f t="shared" si="5"/>
        <v>0</v>
      </c>
      <c r="N39" s="45">
        <f t="shared" si="6"/>
        <v>0</v>
      </c>
      <c r="O39" s="45">
        <f t="shared" si="7"/>
        <v>9006.15384615385</v>
      </c>
      <c r="P39" s="45">
        <f t="shared" si="8"/>
        <v>17251.3461538462</v>
      </c>
      <c r="Q39" s="45">
        <v>6.25</v>
      </c>
      <c r="R39" s="45">
        <f t="shared" si="9"/>
        <v>0.882</v>
      </c>
      <c r="S39" s="45">
        <f t="shared" si="10"/>
        <v>122245.933629862</v>
      </c>
    </row>
    <row r="40" spans="1:19">
      <c r="A40" s="8"/>
      <c r="B40" s="28" t="s">
        <v>27</v>
      </c>
      <c r="C40" s="32"/>
      <c r="D40" s="33">
        <v>1</v>
      </c>
      <c r="E40" s="33">
        <v>2</v>
      </c>
      <c r="F40" s="33">
        <v>2</v>
      </c>
      <c r="G40" s="39"/>
      <c r="H40" s="8"/>
      <c r="I40" s="8"/>
      <c r="J40" s="45" t="s">
        <v>47</v>
      </c>
      <c r="K40" s="45">
        <f t="shared" si="3"/>
        <v>0</v>
      </c>
      <c r="L40" s="45">
        <f t="shared" si="4"/>
        <v>5826.92307692308</v>
      </c>
      <c r="M40" s="45">
        <f t="shared" si="5"/>
        <v>15150</v>
      </c>
      <c r="N40" s="45">
        <f t="shared" si="6"/>
        <v>6041.53846153846</v>
      </c>
      <c r="O40" s="45">
        <f t="shared" si="7"/>
        <v>2251.53846153846</v>
      </c>
      <c r="P40" s="45">
        <f t="shared" si="8"/>
        <v>29270</v>
      </c>
      <c r="Q40" s="45">
        <v>10.5</v>
      </c>
      <c r="R40" s="45">
        <f t="shared" si="9"/>
        <v>0.882</v>
      </c>
      <c r="S40" s="45">
        <f t="shared" si="10"/>
        <v>348452.380952381</v>
      </c>
    </row>
    <row r="41" spans="1:19">
      <c r="A41" s="8"/>
      <c r="B41" s="28" t="s">
        <v>29</v>
      </c>
      <c r="C41" s="32"/>
      <c r="D41" s="33">
        <v>1</v>
      </c>
      <c r="E41" s="33">
        <v>2</v>
      </c>
      <c r="F41" s="33"/>
      <c r="G41" s="39"/>
      <c r="H41" s="8"/>
      <c r="I41" s="8"/>
      <c r="J41" s="45" t="s">
        <v>48</v>
      </c>
      <c r="K41" s="45">
        <f t="shared" si="3"/>
        <v>0</v>
      </c>
      <c r="L41" s="45">
        <f t="shared" si="4"/>
        <v>5826.92307692308</v>
      </c>
      <c r="M41" s="45">
        <f t="shared" si="5"/>
        <v>11362.5</v>
      </c>
      <c r="N41" s="45">
        <f t="shared" si="6"/>
        <v>4531.15384615385</v>
      </c>
      <c r="O41" s="45">
        <f t="shared" si="7"/>
        <v>0</v>
      </c>
      <c r="P41" s="45">
        <f t="shared" si="8"/>
        <v>21720.5769230769</v>
      </c>
      <c r="Q41" s="45">
        <v>5.75</v>
      </c>
      <c r="R41" s="45">
        <f t="shared" si="9"/>
        <v>0.882</v>
      </c>
      <c r="S41" s="45">
        <f t="shared" si="10"/>
        <v>141602.400575615</v>
      </c>
    </row>
    <row r="42" spans="1:19">
      <c r="A42" s="8"/>
      <c r="B42" s="28" t="s">
        <v>30</v>
      </c>
      <c r="C42" s="32">
        <v>1</v>
      </c>
      <c r="D42" s="33"/>
      <c r="E42" s="33"/>
      <c r="F42" s="33"/>
      <c r="G42" s="39">
        <v>2</v>
      </c>
      <c r="H42" s="8"/>
      <c r="I42" s="8"/>
      <c r="J42" s="45"/>
      <c r="K42" s="45"/>
      <c r="L42" s="45"/>
      <c r="M42" s="45"/>
      <c r="N42" s="45"/>
      <c r="O42" s="45"/>
      <c r="P42" s="45"/>
      <c r="Q42" s="45"/>
      <c r="R42" s="45"/>
      <c r="S42" s="45"/>
    </row>
    <row r="43" spans="1:19">
      <c r="A43" s="8"/>
      <c r="B43" s="28" t="s">
        <v>31</v>
      </c>
      <c r="C43" s="32"/>
      <c r="D43" s="33">
        <v>4</v>
      </c>
      <c r="E43" s="33"/>
      <c r="F43" s="33"/>
      <c r="G43" s="39">
        <v>4</v>
      </c>
      <c r="H43" s="8"/>
      <c r="I43" s="8"/>
      <c r="J43" s="45"/>
      <c r="K43" s="45"/>
      <c r="L43" s="45"/>
      <c r="M43" s="45"/>
      <c r="N43" s="45"/>
      <c r="O43" s="45"/>
      <c r="P43" s="45"/>
      <c r="Q43" s="45"/>
      <c r="R43" s="45"/>
      <c r="S43" s="45"/>
    </row>
    <row r="44" spans="1:19">
      <c r="A44" s="8"/>
      <c r="B44" s="28" t="s">
        <v>32</v>
      </c>
      <c r="C44" s="32"/>
      <c r="D44" s="33"/>
      <c r="E44" s="33"/>
      <c r="F44" s="33">
        <v>4</v>
      </c>
      <c r="G44" s="39"/>
      <c r="H44" s="8"/>
      <c r="I44" s="8"/>
      <c r="J44" s="45" t="s">
        <v>49</v>
      </c>
      <c r="K44" s="45" t="s">
        <v>6</v>
      </c>
      <c r="L44" s="45" t="s">
        <v>7</v>
      </c>
      <c r="M44" s="45" t="s">
        <v>8</v>
      </c>
      <c r="N44" s="45" t="s">
        <v>9</v>
      </c>
      <c r="O44" s="45" t="s">
        <v>10</v>
      </c>
      <c r="P44" s="45" t="s">
        <v>50</v>
      </c>
      <c r="Q44" s="45" t="s">
        <v>51</v>
      </c>
      <c r="R44" s="45"/>
      <c r="S44" s="45"/>
    </row>
    <row r="45" spans="1:19">
      <c r="A45" s="8"/>
      <c r="B45" s="28" t="s">
        <v>34</v>
      </c>
      <c r="C45" s="32"/>
      <c r="D45" s="33">
        <v>2</v>
      </c>
      <c r="E45" s="33">
        <v>2</v>
      </c>
      <c r="F45" s="33"/>
      <c r="G45" s="39"/>
      <c r="H45" s="8"/>
      <c r="I45" s="8"/>
      <c r="J45" s="45" t="s">
        <v>24</v>
      </c>
      <c r="K45" s="45">
        <f t="shared" ref="K45:K64" si="12">$K$19*C37</f>
        <v>16.6616586538462</v>
      </c>
      <c r="L45" s="45">
        <f t="shared" ref="L45:L64" si="13">$L$19*D37</f>
        <v>72.8365384615385</v>
      </c>
      <c r="M45" s="45">
        <f t="shared" ref="M45:M64" si="14">$M$19*E37</f>
        <v>189.375</v>
      </c>
      <c r="N45" s="45">
        <f t="shared" ref="N45:N64" si="15">$N$19*F37</f>
        <v>75.5192307692308</v>
      </c>
      <c r="O45" s="45">
        <f t="shared" ref="O45:O64" si="16">$O$19*G37</f>
        <v>28.1442307692308</v>
      </c>
      <c r="P45" s="45">
        <f t="shared" ref="P45:P64" si="17">SUM(K45:O45)</f>
        <v>382.536658653846</v>
      </c>
      <c r="Q45" s="45">
        <v>444</v>
      </c>
      <c r="R45" s="45">
        <f t="shared" ref="R45:R64" si="18">Q45*R22</f>
        <v>391.608</v>
      </c>
      <c r="S45" s="45">
        <f t="shared" ref="S45:S64" si="19">R45-P45</f>
        <v>9.07134134615382</v>
      </c>
    </row>
    <row r="46" spans="1:19">
      <c r="A46" s="8"/>
      <c r="B46" s="28" t="s">
        <v>36</v>
      </c>
      <c r="C46" s="32">
        <v>1</v>
      </c>
      <c r="D46" s="33"/>
      <c r="E46" s="33">
        <v>1</v>
      </c>
      <c r="F46" s="33">
        <v>1</v>
      </c>
      <c r="G46" s="39"/>
      <c r="H46" s="8"/>
      <c r="I46" s="8"/>
      <c r="J46" s="45" t="s">
        <v>25</v>
      </c>
      <c r="K46" s="45">
        <f t="shared" si="12"/>
        <v>66.6466346153846</v>
      </c>
      <c r="L46" s="45">
        <f t="shared" si="13"/>
        <v>0</v>
      </c>
      <c r="M46" s="45">
        <f t="shared" si="14"/>
        <v>94.6875</v>
      </c>
      <c r="N46" s="45">
        <f t="shared" si="15"/>
        <v>37.7596153846154</v>
      </c>
      <c r="O46" s="45">
        <f t="shared" si="16"/>
        <v>0</v>
      </c>
      <c r="P46" s="45">
        <f t="shared" si="17"/>
        <v>199.09375</v>
      </c>
      <c r="Q46" s="45">
        <v>240</v>
      </c>
      <c r="R46" s="45">
        <f t="shared" si="18"/>
        <v>211.68</v>
      </c>
      <c r="S46" s="45">
        <f t="shared" si="19"/>
        <v>12.58625</v>
      </c>
    </row>
    <row r="47" spans="1:19">
      <c r="A47" s="8"/>
      <c r="B47" s="28" t="s">
        <v>37</v>
      </c>
      <c r="C47" s="32">
        <v>2</v>
      </c>
      <c r="D47" s="33"/>
      <c r="E47" s="33"/>
      <c r="F47" s="33"/>
      <c r="G47" s="39">
        <v>4</v>
      </c>
      <c r="H47" s="8"/>
      <c r="I47" s="8"/>
      <c r="J47" s="45" t="s">
        <v>26</v>
      </c>
      <c r="K47" s="45">
        <f t="shared" si="12"/>
        <v>0</v>
      </c>
      <c r="L47" s="45">
        <f t="shared" si="13"/>
        <v>0</v>
      </c>
      <c r="M47" s="45">
        <f t="shared" si="14"/>
        <v>0</v>
      </c>
      <c r="N47" s="45">
        <f t="shared" si="15"/>
        <v>75.5192307692308</v>
      </c>
      <c r="O47" s="45">
        <f t="shared" si="16"/>
        <v>28.1442307692308</v>
      </c>
      <c r="P47" s="45">
        <f t="shared" si="17"/>
        <v>103.663461538462</v>
      </c>
      <c r="Q47" s="45">
        <v>120</v>
      </c>
      <c r="R47" s="45">
        <f t="shared" si="18"/>
        <v>105.84</v>
      </c>
      <c r="S47" s="45">
        <f t="shared" si="19"/>
        <v>2.17653846153847</v>
      </c>
    </row>
    <row r="48" spans="1:19">
      <c r="A48" s="8"/>
      <c r="B48" s="28" t="s">
        <v>38</v>
      </c>
      <c r="C48" s="32">
        <v>4</v>
      </c>
      <c r="D48" s="33"/>
      <c r="E48" s="33"/>
      <c r="F48" s="33"/>
      <c r="G48" s="39">
        <v>4</v>
      </c>
      <c r="H48" s="8"/>
      <c r="I48" s="8"/>
      <c r="J48" s="45" t="s">
        <v>27</v>
      </c>
      <c r="K48" s="45">
        <f t="shared" si="12"/>
        <v>0</v>
      </c>
      <c r="L48" s="45">
        <f t="shared" si="13"/>
        <v>36.4182692307692</v>
      </c>
      <c r="M48" s="45">
        <f t="shared" si="14"/>
        <v>94.6875</v>
      </c>
      <c r="N48" s="45">
        <f t="shared" si="15"/>
        <v>37.7596153846154</v>
      </c>
      <c r="O48" s="45">
        <f t="shared" si="16"/>
        <v>0</v>
      </c>
      <c r="P48" s="45">
        <f t="shared" si="17"/>
        <v>168.865384615385</v>
      </c>
      <c r="Q48" s="45">
        <v>192</v>
      </c>
      <c r="R48" s="45">
        <f t="shared" si="18"/>
        <v>169.344</v>
      </c>
      <c r="S48" s="45">
        <f t="shared" si="19"/>
        <v>0.478615384615381</v>
      </c>
    </row>
    <row r="49" spans="1:19">
      <c r="A49" s="8"/>
      <c r="B49" s="28" t="s">
        <v>39</v>
      </c>
      <c r="C49" s="32">
        <v>2</v>
      </c>
      <c r="D49" s="33"/>
      <c r="E49" s="33"/>
      <c r="F49" s="33"/>
      <c r="G49" s="39">
        <v>2</v>
      </c>
      <c r="H49" s="8"/>
      <c r="I49" s="8"/>
      <c r="J49" s="45" t="s">
        <v>29</v>
      </c>
      <c r="K49" s="45">
        <f t="shared" si="12"/>
        <v>0</v>
      </c>
      <c r="L49" s="45">
        <f t="shared" si="13"/>
        <v>36.4182692307692</v>
      </c>
      <c r="M49" s="45">
        <f t="shared" si="14"/>
        <v>94.6875</v>
      </c>
      <c r="N49" s="45">
        <f t="shared" si="15"/>
        <v>0</v>
      </c>
      <c r="O49" s="45">
        <f t="shared" si="16"/>
        <v>0</v>
      </c>
      <c r="P49" s="45">
        <f t="shared" si="17"/>
        <v>131.105769230769</v>
      </c>
      <c r="Q49" s="45">
        <v>154.285714285714</v>
      </c>
      <c r="R49" s="45">
        <f t="shared" si="18"/>
        <v>136.08</v>
      </c>
      <c r="S49" s="45">
        <f t="shared" si="19"/>
        <v>4.97423076923076</v>
      </c>
    </row>
    <row r="50" spans="1:19">
      <c r="A50" s="8"/>
      <c r="B50" s="28" t="s">
        <v>42</v>
      </c>
      <c r="C50" s="32"/>
      <c r="D50" s="33">
        <v>4</v>
      </c>
      <c r="E50" s="33">
        <v>2</v>
      </c>
      <c r="F50" s="33">
        <v>2</v>
      </c>
      <c r="G50" s="39">
        <v>2</v>
      </c>
      <c r="H50" s="8"/>
      <c r="I50" s="8"/>
      <c r="J50" s="45" t="s">
        <v>30</v>
      </c>
      <c r="K50" s="45">
        <f t="shared" si="12"/>
        <v>16.6616586538462</v>
      </c>
      <c r="L50" s="45">
        <f t="shared" si="13"/>
        <v>0</v>
      </c>
      <c r="M50" s="45">
        <f t="shared" si="14"/>
        <v>0</v>
      </c>
      <c r="N50" s="45">
        <f t="shared" si="15"/>
        <v>0</v>
      </c>
      <c r="O50" s="45">
        <f t="shared" si="16"/>
        <v>56.2884615384615</v>
      </c>
      <c r="P50" s="45">
        <f t="shared" si="17"/>
        <v>72.9501201923077</v>
      </c>
      <c r="Q50" s="45">
        <v>87.2727272727273</v>
      </c>
      <c r="R50" s="45">
        <f t="shared" si="18"/>
        <v>76.9745454545454</v>
      </c>
      <c r="S50" s="45">
        <f t="shared" si="19"/>
        <v>4.02442526223774</v>
      </c>
    </row>
    <row r="51" spans="1:19">
      <c r="A51" s="8"/>
      <c r="B51" s="28" t="s">
        <v>43</v>
      </c>
      <c r="C51" s="32"/>
      <c r="D51" s="33"/>
      <c r="E51" s="33"/>
      <c r="F51" s="33">
        <v>2</v>
      </c>
      <c r="G51" s="39"/>
      <c r="H51" s="8"/>
      <c r="I51" s="8"/>
      <c r="J51" s="45" t="s">
        <v>31</v>
      </c>
      <c r="K51" s="45">
        <f t="shared" si="12"/>
        <v>0</v>
      </c>
      <c r="L51" s="45">
        <f t="shared" si="13"/>
        <v>145.673076923077</v>
      </c>
      <c r="M51" s="45">
        <f t="shared" si="14"/>
        <v>0</v>
      </c>
      <c r="N51" s="45">
        <f t="shared" si="15"/>
        <v>0</v>
      </c>
      <c r="O51" s="45">
        <f t="shared" si="16"/>
        <v>112.576923076923</v>
      </c>
      <c r="P51" s="45">
        <f t="shared" si="17"/>
        <v>258.25</v>
      </c>
      <c r="Q51" s="45">
        <v>300</v>
      </c>
      <c r="R51" s="45">
        <f t="shared" si="18"/>
        <v>264.6</v>
      </c>
      <c r="S51" s="45">
        <f t="shared" si="19"/>
        <v>6.35000000000002</v>
      </c>
    </row>
    <row r="52" spans="1:19">
      <c r="A52" s="8"/>
      <c r="B52" s="28" t="s">
        <v>44</v>
      </c>
      <c r="C52" s="32"/>
      <c r="D52" s="33">
        <v>1</v>
      </c>
      <c r="E52" s="33">
        <v>4</v>
      </c>
      <c r="F52" s="33"/>
      <c r="G52" s="39"/>
      <c r="H52" s="8"/>
      <c r="I52" s="8"/>
      <c r="J52" s="45" t="s">
        <v>32</v>
      </c>
      <c r="K52" s="45">
        <f t="shared" si="12"/>
        <v>0</v>
      </c>
      <c r="L52" s="45">
        <f t="shared" si="13"/>
        <v>0</v>
      </c>
      <c r="M52" s="45">
        <f t="shared" si="14"/>
        <v>0</v>
      </c>
      <c r="N52" s="45">
        <f t="shared" si="15"/>
        <v>75.5192307692308</v>
      </c>
      <c r="O52" s="45">
        <f t="shared" si="16"/>
        <v>0</v>
      </c>
      <c r="P52" s="45">
        <f t="shared" si="17"/>
        <v>75.5192307692308</v>
      </c>
      <c r="Q52" s="45">
        <v>90</v>
      </c>
      <c r="R52" s="45">
        <f t="shared" si="18"/>
        <v>79.38</v>
      </c>
      <c r="S52" s="45">
        <f t="shared" si="19"/>
        <v>3.86076923076924</v>
      </c>
    </row>
    <row r="53" spans="1:19">
      <c r="A53" s="8"/>
      <c r="B53" s="28" t="s">
        <v>45</v>
      </c>
      <c r="C53" s="32">
        <v>2</v>
      </c>
      <c r="D53" s="33"/>
      <c r="E53" s="33"/>
      <c r="F53" s="33"/>
      <c r="G53" s="39">
        <v>2</v>
      </c>
      <c r="H53" s="8"/>
      <c r="I53" s="8"/>
      <c r="J53" s="45" t="s">
        <v>34</v>
      </c>
      <c r="K53" s="45">
        <f t="shared" si="12"/>
        <v>0</v>
      </c>
      <c r="L53" s="45">
        <f t="shared" si="13"/>
        <v>72.8365384615385</v>
      </c>
      <c r="M53" s="45">
        <f t="shared" si="14"/>
        <v>94.6875</v>
      </c>
      <c r="N53" s="45">
        <f t="shared" si="15"/>
        <v>0</v>
      </c>
      <c r="O53" s="45">
        <f t="shared" si="16"/>
        <v>0</v>
      </c>
      <c r="P53" s="45">
        <f t="shared" si="17"/>
        <v>167.524038461538</v>
      </c>
      <c r="Q53" s="45">
        <v>192</v>
      </c>
      <c r="R53" s="45">
        <f t="shared" si="18"/>
        <v>169.344</v>
      </c>
      <c r="S53" s="45">
        <f t="shared" si="19"/>
        <v>1.81996153846154</v>
      </c>
    </row>
    <row r="54" spans="1:19">
      <c r="A54" s="8"/>
      <c r="B54" s="28" t="s">
        <v>46</v>
      </c>
      <c r="C54" s="32">
        <v>4</v>
      </c>
      <c r="D54" s="33">
        <v>1</v>
      </c>
      <c r="E54" s="33"/>
      <c r="F54" s="33"/>
      <c r="G54" s="39">
        <v>4</v>
      </c>
      <c r="H54" s="8"/>
      <c r="I54" s="8"/>
      <c r="J54" s="45" t="s">
        <v>36</v>
      </c>
      <c r="K54" s="45">
        <f t="shared" si="12"/>
        <v>16.6616586538462</v>
      </c>
      <c r="L54" s="45">
        <f t="shared" si="13"/>
        <v>0</v>
      </c>
      <c r="M54" s="45">
        <f t="shared" si="14"/>
        <v>47.34375</v>
      </c>
      <c r="N54" s="45">
        <f t="shared" si="15"/>
        <v>18.8798076923077</v>
      </c>
      <c r="O54" s="45">
        <f t="shared" si="16"/>
        <v>0</v>
      </c>
      <c r="P54" s="45">
        <f t="shared" si="17"/>
        <v>82.8852163461539</v>
      </c>
      <c r="Q54" s="45">
        <v>96</v>
      </c>
      <c r="R54" s="45">
        <f t="shared" si="18"/>
        <v>84.672</v>
      </c>
      <c r="S54" s="45">
        <f t="shared" si="19"/>
        <v>1.78678365384614</v>
      </c>
    </row>
    <row r="55" spans="1:19">
      <c r="A55" s="8"/>
      <c r="B55" s="28" t="s">
        <v>47</v>
      </c>
      <c r="C55" s="32"/>
      <c r="D55" s="33">
        <v>2</v>
      </c>
      <c r="E55" s="33">
        <v>4</v>
      </c>
      <c r="F55" s="33">
        <v>4</v>
      </c>
      <c r="G55" s="39">
        <v>1</v>
      </c>
      <c r="H55" s="8"/>
      <c r="I55" s="8"/>
      <c r="J55" s="45" t="s">
        <v>37</v>
      </c>
      <c r="K55" s="45">
        <f t="shared" si="12"/>
        <v>33.3233173076923</v>
      </c>
      <c r="L55" s="45">
        <f t="shared" si="13"/>
        <v>0</v>
      </c>
      <c r="M55" s="45">
        <f t="shared" si="14"/>
        <v>0</v>
      </c>
      <c r="N55" s="45">
        <f t="shared" si="15"/>
        <v>0</v>
      </c>
      <c r="O55" s="45">
        <f t="shared" si="16"/>
        <v>112.576923076923</v>
      </c>
      <c r="P55" s="45">
        <f t="shared" si="17"/>
        <v>145.900240384615</v>
      </c>
      <c r="Q55" s="45">
        <v>168</v>
      </c>
      <c r="R55" s="45">
        <f t="shared" si="18"/>
        <v>148.176</v>
      </c>
      <c r="S55" s="45">
        <f t="shared" si="19"/>
        <v>2.27575961538457</v>
      </c>
    </row>
    <row r="56" spans="1:19">
      <c r="A56" s="8"/>
      <c r="B56" s="14" t="s">
        <v>48</v>
      </c>
      <c r="C56" s="15"/>
      <c r="D56" s="16">
        <v>2</v>
      </c>
      <c r="E56" s="16">
        <v>3</v>
      </c>
      <c r="F56" s="16">
        <v>3</v>
      </c>
      <c r="G56" s="44"/>
      <c r="H56" s="8"/>
      <c r="I56" s="8"/>
      <c r="J56" s="45" t="s">
        <v>38</v>
      </c>
      <c r="K56" s="45">
        <f t="shared" si="12"/>
        <v>66.6466346153846</v>
      </c>
      <c r="L56" s="45">
        <f t="shared" si="13"/>
        <v>0</v>
      </c>
      <c r="M56" s="45">
        <f t="shared" si="14"/>
        <v>0</v>
      </c>
      <c r="N56" s="45">
        <f t="shared" si="15"/>
        <v>0</v>
      </c>
      <c r="O56" s="45">
        <f t="shared" si="16"/>
        <v>112.576923076923</v>
      </c>
      <c r="P56" s="45">
        <f t="shared" si="17"/>
        <v>179.223557692308</v>
      </c>
      <c r="Q56" s="45">
        <v>213.333333333333</v>
      </c>
      <c r="R56" s="45">
        <f t="shared" si="18"/>
        <v>188.16</v>
      </c>
      <c r="S56" s="45">
        <f t="shared" si="19"/>
        <v>8.93644230769229</v>
      </c>
    </row>
    <row r="57" spans="1:19">
      <c r="A57" s="8"/>
      <c r="B57" s="8"/>
      <c r="C57" s="8"/>
      <c r="D57" s="8"/>
      <c r="E57" s="8"/>
      <c r="F57" s="8"/>
      <c r="G57" s="8"/>
      <c r="H57" s="8"/>
      <c r="I57" s="8"/>
      <c r="J57" s="45" t="s">
        <v>39</v>
      </c>
      <c r="K57" s="45">
        <f t="shared" si="12"/>
        <v>33.3233173076923</v>
      </c>
      <c r="L57" s="45">
        <f t="shared" si="13"/>
        <v>0</v>
      </c>
      <c r="M57" s="45">
        <f t="shared" si="14"/>
        <v>0</v>
      </c>
      <c r="N57" s="45">
        <f t="shared" si="15"/>
        <v>0</v>
      </c>
      <c r="O57" s="45">
        <f t="shared" si="16"/>
        <v>56.2884615384615</v>
      </c>
      <c r="P57" s="45">
        <f t="shared" si="17"/>
        <v>89.6117788461539</v>
      </c>
      <c r="Q57" s="45">
        <v>106.666666666667</v>
      </c>
      <c r="R57" s="45">
        <f t="shared" si="18"/>
        <v>94.08</v>
      </c>
      <c r="S57" s="45">
        <f t="shared" si="19"/>
        <v>4.46822115384614</v>
      </c>
    </row>
    <row r="58" spans="1:19">
      <c r="A58" s="8"/>
      <c r="B58" s="8"/>
      <c r="C58" s="8"/>
      <c r="D58" s="8"/>
      <c r="E58" s="8"/>
      <c r="F58" s="8"/>
      <c r="G58" s="8"/>
      <c r="H58" s="8"/>
      <c r="I58" s="8"/>
      <c r="J58" s="45" t="s">
        <v>42</v>
      </c>
      <c r="K58" s="45">
        <f t="shared" si="12"/>
        <v>0</v>
      </c>
      <c r="L58" s="45">
        <f t="shared" si="13"/>
        <v>145.673076923077</v>
      </c>
      <c r="M58" s="45">
        <f t="shared" si="14"/>
        <v>94.6875</v>
      </c>
      <c r="N58" s="45">
        <f t="shared" si="15"/>
        <v>37.7596153846154</v>
      </c>
      <c r="O58" s="45">
        <f t="shared" si="16"/>
        <v>56.2884615384615</v>
      </c>
      <c r="P58" s="45">
        <f t="shared" si="17"/>
        <v>334.408653846154</v>
      </c>
      <c r="Q58" s="45">
        <v>400</v>
      </c>
      <c r="R58" s="45">
        <f t="shared" si="18"/>
        <v>352.8</v>
      </c>
      <c r="S58" s="45">
        <f t="shared" si="19"/>
        <v>18.3913461538461</v>
      </c>
    </row>
    <row r="59" spans="1:19">
      <c r="A59" s="8"/>
      <c r="B59" s="8"/>
      <c r="C59" s="8"/>
      <c r="D59" s="8"/>
      <c r="E59" s="8"/>
      <c r="F59" s="8"/>
      <c r="G59" s="8"/>
      <c r="H59" s="8"/>
      <c r="I59" s="8"/>
      <c r="J59" s="45" t="s">
        <v>43</v>
      </c>
      <c r="K59" s="45">
        <f t="shared" si="12"/>
        <v>0</v>
      </c>
      <c r="L59" s="45">
        <f t="shared" si="13"/>
        <v>0</v>
      </c>
      <c r="M59" s="45">
        <f t="shared" si="14"/>
        <v>0</v>
      </c>
      <c r="N59" s="45">
        <f t="shared" si="15"/>
        <v>37.7596153846154</v>
      </c>
      <c r="O59" s="45">
        <f t="shared" si="16"/>
        <v>0</v>
      </c>
      <c r="P59" s="45">
        <f t="shared" si="17"/>
        <v>37.7596153846154</v>
      </c>
      <c r="Q59" s="45">
        <v>48</v>
      </c>
      <c r="R59" s="45">
        <f t="shared" si="18"/>
        <v>42.336</v>
      </c>
      <c r="S59" s="45">
        <f t="shared" si="19"/>
        <v>4.57638461538462</v>
      </c>
    </row>
    <row r="60" spans="1:19">
      <c r="A60" s="8"/>
      <c r="B60" s="8"/>
      <c r="C60" s="8"/>
      <c r="D60" s="8"/>
      <c r="E60" s="8"/>
      <c r="F60" s="8"/>
      <c r="G60" s="8"/>
      <c r="H60" s="8"/>
      <c r="I60" s="8"/>
      <c r="J60" s="45" t="s">
        <v>44</v>
      </c>
      <c r="K60" s="45">
        <f t="shared" si="12"/>
        <v>0</v>
      </c>
      <c r="L60" s="45">
        <f t="shared" si="13"/>
        <v>36.4182692307692</v>
      </c>
      <c r="M60" s="45">
        <f t="shared" si="14"/>
        <v>189.375</v>
      </c>
      <c r="N60" s="45">
        <f t="shared" si="15"/>
        <v>0</v>
      </c>
      <c r="O60" s="45">
        <f t="shared" si="16"/>
        <v>0</v>
      </c>
      <c r="P60" s="45">
        <f t="shared" si="17"/>
        <v>225.793269230769</v>
      </c>
      <c r="Q60" s="45">
        <v>264</v>
      </c>
      <c r="R60" s="45">
        <f t="shared" si="18"/>
        <v>232.848</v>
      </c>
      <c r="S60" s="45">
        <f t="shared" si="19"/>
        <v>7.05473076923079</v>
      </c>
    </row>
    <row r="61" spans="1:19">
      <c r="A61" s="8"/>
      <c r="B61" s="8"/>
      <c r="C61" s="8"/>
      <c r="D61" s="8"/>
      <c r="E61" s="8"/>
      <c r="F61" s="8"/>
      <c r="G61" s="8"/>
      <c r="H61" s="8"/>
      <c r="I61" s="8"/>
      <c r="J61" s="45" t="s">
        <v>45</v>
      </c>
      <c r="K61" s="45">
        <f t="shared" si="12"/>
        <v>33.3233173076923</v>
      </c>
      <c r="L61" s="45">
        <f t="shared" si="13"/>
        <v>0</v>
      </c>
      <c r="M61" s="45">
        <f t="shared" si="14"/>
        <v>0</v>
      </c>
      <c r="N61" s="45">
        <f t="shared" si="15"/>
        <v>0</v>
      </c>
      <c r="O61" s="45">
        <f t="shared" si="16"/>
        <v>56.2884615384615</v>
      </c>
      <c r="P61" s="45">
        <f t="shared" si="17"/>
        <v>89.6117788461539</v>
      </c>
      <c r="Q61" s="45">
        <v>102.857142857143</v>
      </c>
      <c r="R61" s="45">
        <f t="shared" si="18"/>
        <v>90.72</v>
      </c>
      <c r="S61" s="45">
        <f t="shared" si="19"/>
        <v>1.10822115384615</v>
      </c>
    </row>
    <row r="62" spans="1:19">
      <c r="A62" s="8"/>
      <c r="B62" s="8"/>
      <c r="C62" s="8"/>
      <c r="D62" s="8"/>
      <c r="E62" s="8"/>
      <c r="F62" s="8"/>
      <c r="G62" s="8"/>
      <c r="H62" s="8"/>
      <c r="I62" s="8"/>
      <c r="J62" s="45" t="s">
        <v>46</v>
      </c>
      <c r="K62" s="45">
        <f t="shared" si="12"/>
        <v>66.6466346153846</v>
      </c>
      <c r="L62" s="45">
        <f t="shared" si="13"/>
        <v>36.4182692307692</v>
      </c>
      <c r="M62" s="45">
        <f t="shared" si="14"/>
        <v>0</v>
      </c>
      <c r="N62" s="45">
        <f t="shared" si="15"/>
        <v>0</v>
      </c>
      <c r="O62" s="45">
        <f t="shared" si="16"/>
        <v>112.576923076923</v>
      </c>
      <c r="P62" s="45">
        <f t="shared" si="17"/>
        <v>215.641826923077</v>
      </c>
      <c r="Q62" s="45">
        <v>256</v>
      </c>
      <c r="R62" s="45">
        <f t="shared" si="18"/>
        <v>225.792</v>
      </c>
      <c r="S62" s="45">
        <f t="shared" si="19"/>
        <v>10.1501730769231</v>
      </c>
    </row>
    <row r="63" spans="10:19">
      <c r="J63" s="45" t="s">
        <v>47</v>
      </c>
      <c r="K63" s="45">
        <f t="shared" si="12"/>
        <v>0</v>
      </c>
      <c r="L63" s="45">
        <f t="shared" si="13"/>
        <v>72.8365384615385</v>
      </c>
      <c r="M63" s="45">
        <f t="shared" si="14"/>
        <v>189.375</v>
      </c>
      <c r="N63" s="45">
        <f t="shared" si="15"/>
        <v>75.5192307692308</v>
      </c>
      <c r="O63" s="45">
        <f t="shared" si="16"/>
        <v>28.1442307692308</v>
      </c>
      <c r="P63" s="45">
        <f t="shared" si="17"/>
        <v>365.875</v>
      </c>
      <c r="Q63" s="45">
        <v>422.4</v>
      </c>
      <c r="R63" s="45">
        <f t="shared" si="18"/>
        <v>372.5568</v>
      </c>
      <c r="S63" s="45">
        <f t="shared" si="19"/>
        <v>6.68180000000001</v>
      </c>
    </row>
    <row r="64" spans="10:19">
      <c r="J64" s="45" t="s">
        <v>48</v>
      </c>
      <c r="K64" s="45">
        <f t="shared" si="12"/>
        <v>0</v>
      </c>
      <c r="L64" s="45">
        <f t="shared" si="13"/>
        <v>72.8365384615385</v>
      </c>
      <c r="M64" s="45">
        <f t="shared" si="14"/>
        <v>142.03125</v>
      </c>
      <c r="N64" s="45">
        <f t="shared" si="15"/>
        <v>56.6394230769231</v>
      </c>
      <c r="O64" s="45">
        <f t="shared" si="16"/>
        <v>0</v>
      </c>
      <c r="P64" s="45">
        <f t="shared" si="17"/>
        <v>271.507211538462</v>
      </c>
      <c r="Q64" s="45">
        <v>320</v>
      </c>
      <c r="R64" s="45">
        <f t="shared" si="18"/>
        <v>282.24</v>
      </c>
      <c r="S64" s="45">
        <f t="shared" si="19"/>
        <v>10.7327884615385</v>
      </c>
    </row>
    <row r="67" spans="10:19">
      <c r="J67" s="47" t="s">
        <v>52</v>
      </c>
      <c r="K67" s="47" t="s">
        <v>6</v>
      </c>
      <c r="L67" s="47" t="s">
        <v>7</v>
      </c>
      <c r="M67" s="47" t="s">
        <v>8</v>
      </c>
      <c r="N67" s="47" t="s">
        <v>9</v>
      </c>
      <c r="O67" s="47" t="s">
        <v>10</v>
      </c>
      <c r="P67" s="47" t="s">
        <v>53</v>
      </c>
      <c r="Q67" s="47" t="s">
        <v>20</v>
      </c>
      <c r="R67" s="47" t="s">
        <v>21</v>
      </c>
      <c r="S67" s="47" t="s">
        <v>54</v>
      </c>
    </row>
    <row r="68" spans="10:19">
      <c r="J68" s="47" t="s">
        <v>24</v>
      </c>
      <c r="K68" s="47">
        <f>($C$18+2.576*$C$23)*C37</f>
        <v>51857.580017119</v>
      </c>
      <c r="L68" s="47">
        <f>($D$18+2.576*$D$23)*D37</f>
        <v>207430.320068476</v>
      </c>
      <c r="M68" s="47">
        <f>($E$18+2.576*$E$23)*E37</f>
        <v>542290.960205429</v>
      </c>
      <c r="N68" s="47">
        <f>($F$18+2.576*$F$23)*F37</f>
        <v>254860.640136952</v>
      </c>
      <c r="O68" s="47">
        <f>($G$18+2.576*$G$23)*G37</f>
        <v>81857.580017119</v>
      </c>
      <c r="P68" s="47">
        <f>SUM(K68:O68)</f>
        <v>1138297.08044509</v>
      </c>
      <c r="Q68" s="47">
        <v>12.75</v>
      </c>
      <c r="R68" s="47">
        <f>0.98*0.9</f>
        <v>0.882</v>
      </c>
      <c r="S68" s="47">
        <f>P68*Q68/R68</f>
        <v>16454974.8023526</v>
      </c>
    </row>
    <row r="69" spans="10:19">
      <c r="J69" s="47" t="s">
        <v>25</v>
      </c>
      <c r="K69" s="47">
        <f t="shared" ref="K69:K87" si="20">($C$18+2.576*$C$23)*C38</f>
        <v>207430.320068476</v>
      </c>
      <c r="L69" s="47">
        <f t="shared" ref="L69:L87" si="21">($D$18+2.576*$D$23)*D38</f>
        <v>0</v>
      </c>
      <c r="M69" s="47">
        <f t="shared" ref="M69:M87" si="22">($E$18+2.576*$E$23)*E38</f>
        <v>271145.480102714</v>
      </c>
      <c r="N69" s="47">
        <f t="shared" ref="N69:N87" si="23">($F$18+2.576*$F$23)*F38</f>
        <v>127430.320068476</v>
      </c>
      <c r="O69" s="47">
        <f t="shared" ref="O69:O87" si="24">($G$18+2.576*$G$23)*G38</f>
        <v>0</v>
      </c>
      <c r="P69" s="47">
        <f t="shared" ref="P69:P87" si="25">SUM(K69:O69)</f>
        <v>606006.120239667</v>
      </c>
      <c r="Q69" s="47">
        <v>7.75</v>
      </c>
      <c r="R69" s="47">
        <f t="shared" ref="R69:R78" si="26">0.98*0.9</f>
        <v>0.882</v>
      </c>
      <c r="S69" s="47">
        <f t="shared" ref="S69:S87" si="27">P69*Q69/R69</f>
        <v>5324883.70958891</v>
      </c>
    </row>
    <row r="70" spans="10:19">
      <c r="J70" s="47" t="s">
        <v>26</v>
      </c>
      <c r="K70" s="47">
        <f t="shared" si="20"/>
        <v>0</v>
      </c>
      <c r="L70" s="47">
        <f t="shared" si="21"/>
        <v>0</v>
      </c>
      <c r="M70" s="47">
        <f t="shared" si="22"/>
        <v>0</v>
      </c>
      <c r="N70" s="47">
        <f t="shared" si="23"/>
        <v>254860.640136952</v>
      </c>
      <c r="O70" s="47">
        <f t="shared" si="24"/>
        <v>81857.580017119</v>
      </c>
      <c r="P70" s="47">
        <f t="shared" si="25"/>
        <v>336718.220154071</v>
      </c>
      <c r="Q70" s="47">
        <v>9.5</v>
      </c>
      <c r="R70" s="47">
        <f t="shared" si="26"/>
        <v>0.882</v>
      </c>
      <c r="S70" s="47">
        <f t="shared" si="27"/>
        <v>3626783.55041233</v>
      </c>
    </row>
    <row r="71" spans="10:19">
      <c r="J71" s="47" t="s">
        <v>27</v>
      </c>
      <c r="K71" s="47">
        <f t="shared" si="20"/>
        <v>0</v>
      </c>
      <c r="L71" s="47">
        <f t="shared" si="21"/>
        <v>103715.160034238</v>
      </c>
      <c r="M71" s="47">
        <f t="shared" si="22"/>
        <v>271145.480102714</v>
      </c>
      <c r="N71" s="47">
        <f t="shared" si="23"/>
        <v>127430.320068476</v>
      </c>
      <c r="O71" s="47">
        <f t="shared" si="24"/>
        <v>0</v>
      </c>
      <c r="P71" s="47">
        <f t="shared" si="25"/>
        <v>502290.960205429</v>
      </c>
      <c r="Q71" s="47">
        <v>7.5</v>
      </c>
      <c r="R71" s="47">
        <f t="shared" si="26"/>
        <v>0.882</v>
      </c>
      <c r="S71" s="47">
        <f t="shared" si="27"/>
        <v>4271181.6343999</v>
      </c>
    </row>
    <row r="72" spans="10:19">
      <c r="J72" s="47" t="s">
        <v>29</v>
      </c>
      <c r="K72" s="47">
        <f t="shared" si="20"/>
        <v>0</v>
      </c>
      <c r="L72" s="47">
        <f t="shared" si="21"/>
        <v>103715.160034238</v>
      </c>
      <c r="M72" s="47">
        <f t="shared" si="22"/>
        <v>271145.480102714</v>
      </c>
      <c r="N72" s="47">
        <f t="shared" si="23"/>
        <v>0</v>
      </c>
      <c r="O72" s="47">
        <f t="shared" si="24"/>
        <v>0</v>
      </c>
      <c r="P72" s="47">
        <f t="shared" si="25"/>
        <v>374860.640136952</v>
      </c>
      <c r="Q72" s="47">
        <v>7.5</v>
      </c>
      <c r="R72" s="47">
        <f t="shared" si="26"/>
        <v>0.882</v>
      </c>
      <c r="S72" s="47">
        <f t="shared" si="27"/>
        <v>3187590.47735504</v>
      </c>
    </row>
    <row r="73" spans="10:19">
      <c r="J73" s="47" t="s">
        <v>30</v>
      </c>
      <c r="K73" s="47">
        <f t="shared" si="20"/>
        <v>51857.580017119</v>
      </c>
      <c r="L73" s="47">
        <f t="shared" si="21"/>
        <v>0</v>
      </c>
      <c r="M73" s="47">
        <f t="shared" si="22"/>
        <v>0</v>
      </c>
      <c r="N73" s="47">
        <f t="shared" si="23"/>
        <v>0</v>
      </c>
      <c r="O73" s="47">
        <f t="shared" si="24"/>
        <v>163715.160034238</v>
      </c>
      <c r="P73" s="47">
        <f t="shared" si="25"/>
        <v>215572.740051357</v>
      </c>
      <c r="Q73" s="47">
        <v>10.5</v>
      </c>
      <c r="R73" s="47">
        <f t="shared" si="26"/>
        <v>0.882</v>
      </c>
      <c r="S73" s="47">
        <f t="shared" si="27"/>
        <v>2566342.14346854</v>
      </c>
    </row>
    <row r="74" spans="10:19">
      <c r="J74" s="47" t="s">
        <v>31</v>
      </c>
      <c r="K74" s="47">
        <f t="shared" si="20"/>
        <v>0</v>
      </c>
      <c r="L74" s="47">
        <f t="shared" si="21"/>
        <v>414860.640136952</v>
      </c>
      <c r="M74" s="47">
        <f t="shared" si="22"/>
        <v>0</v>
      </c>
      <c r="N74" s="47">
        <f t="shared" si="23"/>
        <v>0</v>
      </c>
      <c r="O74" s="47">
        <f t="shared" si="24"/>
        <v>327430.320068476</v>
      </c>
      <c r="P74" s="47">
        <f t="shared" si="25"/>
        <v>742290.960205429</v>
      </c>
      <c r="Q74" s="47">
        <v>10</v>
      </c>
      <c r="R74" s="47">
        <f t="shared" si="26"/>
        <v>0.882</v>
      </c>
      <c r="S74" s="47">
        <f t="shared" si="27"/>
        <v>8415997.28124068</v>
      </c>
    </row>
    <row r="75" spans="10:19">
      <c r="J75" s="47" t="s">
        <v>32</v>
      </c>
      <c r="K75" s="47">
        <f t="shared" si="20"/>
        <v>0</v>
      </c>
      <c r="L75" s="47">
        <f t="shared" si="21"/>
        <v>0</v>
      </c>
      <c r="M75" s="47">
        <f t="shared" si="22"/>
        <v>0</v>
      </c>
      <c r="N75" s="47">
        <f t="shared" si="23"/>
        <v>254860.640136952</v>
      </c>
      <c r="O75" s="47">
        <f t="shared" si="24"/>
        <v>0</v>
      </c>
      <c r="P75" s="47">
        <f t="shared" si="25"/>
        <v>254860.640136952</v>
      </c>
      <c r="Q75" s="47">
        <v>4.75</v>
      </c>
      <c r="R75" s="47">
        <f t="shared" si="26"/>
        <v>0.882</v>
      </c>
      <c r="S75" s="47">
        <f t="shared" si="27"/>
        <v>1372548.7989235</v>
      </c>
    </row>
    <row r="76" spans="10:19">
      <c r="J76" s="47" t="s">
        <v>34</v>
      </c>
      <c r="K76" s="47">
        <f t="shared" si="20"/>
        <v>0</v>
      </c>
      <c r="L76" s="47">
        <f t="shared" si="21"/>
        <v>207430.320068476</v>
      </c>
      <c r="M76" s="47">
        <f t="shared" si="22"/>
        <v>271145.480102714</v>
      </c>
      <c r="N76" s="47">
        <f t="shared" si="23"/>
        <v>0</v>
      </c>
      <c r="O76" s="47">
        <f t="shared" si="24"/>
        <v>0</v>
      </c>
      <c r="P76" s="47">
        <f t="shared" si="25"/>
        <v>478575.80017119</v>
      </c>
      <c r="Q76" s="47">
        <v>8.5</v>
      </c>
      <c r="R76" s="47">
        <f t="shared" si="26"/>
        <v>0.882</v>
      </c>
      <c r="S76" s="47">
        <f t="shared" si="27"/>
        <v>4612125.05833914</v>
      </c>
    </row>
    <row r="77" spans="10:19">
      <c r="J77" s="47" t="s">
        <v>36</v>
      </c>
      <c r="K77" s="47">
        <f t="shared" si="20"/>
        <v>51857.580017119</v>
      </c>
      <c r="L77" s="47">
        <f t="shared" si="21"/>
        <v>0</v>
      </c>
      <c r="M77" s="47">
        <f t="shared" si="22"/>
        <v>135572.740051357</v>
      </c>
      <c r="N77" s="47">
        <f t="shared" si="23"/>
        <v>63715.1600342381</v>
      </c>
      <c r="O77" s="47">
        <f t="shared" si="24"/>
        <v>0</v>
      </c>
      <c r="P77" s="47">
        <f t="shared" si="25"/>
        <v>251145.480102714</v>
      </c>
      <c r="Q77" s="47">
        <v>6.5</v>
      </c>
      <c r="R77" s="47">
        <f t="shared" si="26"/>
        <v>0.882</v>
      </c>
      <c r="S77" s="47">
        <f t="shared" si="27"/>
        <v>1850845.37490662</v>
      </c>
    </row>
    <row r="78" spans="10:19">
      <c r="J78" s="47" t="s">
        <v>37</v>
      </c>
      <c r="K78" s="47">
        <f t="shared" si="20"/>
        <v>103715.160034238</v>
      </c>
      <c r="L78" s="47">
        <f t="shared" si="21"/>
        <v>0</v>
      </c>
      <c r="M78" s="47">
        <f t="shared" si="22"/>
        <v>0</v>
      </c>
      <c r="N78" s="47">
        <f t="shared" si="23"/>
        <v>0</v>
      </c>
      <c r="O78" s="47">
        <f t="shared" si="24"/>
        <v>327430.320068476</v>
      </c>
      <c r="P78" s="47">
        <f t="shared" si="25"/>
        <v>431145.480102714</v>
      </c>
      <c r="Q78" s="47">
        <v>4</v>
      </c>
      <c r="R78" s="47">
        <f t="shared" si="26"/>
        <v>0.882</v>
      </c>
      <c r="S78" s="47">
        <f t="shared" si="27"/>
        <v>1955308.29978555</v>
      </c>
    </row>
    <row r="79" spans="10:19">
      <c r="J79" s="47" t="s">
        <v>38</v>
      </c>
      <c r="K79" s="47">
        <f t="shared" si="20"/>
        <v>207430.320068476</v>
      </c>
      <c r="L79" s="47">
        <f t="shared" si="21"/>
        <v>0</v>
      </c>
      <c r="M79" s="47">
        <f t="shared" si="22"/>
        <v>0</v>
      </c>
      <c r="N79" s="47">
        <f t="shared" si="23"/>
        <v>0</v>
      </c>
      <c r="O79" s="47">
        <f t="shared" si="24"/>
        <v>327430.320068476</v>
      </c>
      <c r="P79" s="47">
        <f t="shared" si="25"/>
        <v>534860.640136952</v>
      </c>
      <c r="Q79" s="47">
        <v>6</v>
      </c>
      <c r="R79" s="47">
        <f t="shared" ref="R79:R87" si="28">0.98*0.9</f>
        <v>0.882</v>
      </c>
      <c r="S79" s="47">
        <f t="shared" si="27"/>
        <v>3638507.75603369</v>
      </c>
    </row>
    <row r="80" spans="10:19">
      <c r="J80" s="47" t="s">
        <v>39</v>
      </c>
      <c r="K80" s="47">
        <f t="shared" si="20"/>
        <v>103715.160034238</v>
      </c>
      <c r="L80" s="47">
        <f t="shared" si="21"/>
        <v>0</v>
      </c>
      <c r="M80" s="47">
        <f t="shared" si="22"/>
        <v>0</v>
      </c>
      <c r="N80" s="47">
        <f t="shared" si="23"/>
        <v>0</v>
      </c>
      <c r="O80" s="47">
        <f t="shared" si="24"/>
        <v>163715.160034238</v>
      </c>
      <c r="P80" s="47">
        <f t="shared" si="25"/>
        <v>267430.320068476</v>
      </c>
      <c r="Q80" s="47">
        <v>7.5</v>
      </c>
      <c r="R80" s="47">
        <f t="shared" si="28"/>
        <v>0.882</v>
      </c>
      <c r="S80" s="47">
        <f t="shared" si="27"/>
        <v>2274067.34752106</v>
      </c>
    </row>
    <row r="81" spans="10:19">
      <c r="J81" s="47" t="s">
        <v>42</v>
      </c>
      <c r="K81" s="47">
        <f t="shared" si="20"/>
        <v>0</v>
      </c>
      <c r="L81" s="47">
        <f t="shared" si="21"/>
        <v>414860.640136952</v>
      </c>
      <c r="M81" s="47">
        <f t="shared" si="22"/>
        <v>271145.480102714</v>
      </c>
      <c r="N81" s="47">
        <f t="shared" si="23"/>
        <v>127430.320068476</v>
      </c>
      <c r="O81" s="47">
        <f t="shared" si="24"/>
        <v>163715.160034238</v>
      </c>
      <c r="P81" s="47">
        <f t="shared" si="25"/>
        <v>977151.600342381</v>
      </c>
      <c r="Q81" s="47">
        <v>4.75</v>
      </c>
      <c r="R81" s="47">
        <f t="shared" si="28"/>
        <v>0.882</v>
      </c>
      <c r="S81" s="47">
        <f t="shared" si="27"/>
        <v>5262437.75694593</v>
      </c>
    </row>
    <row r="82" spans="10:19">
      <c r="J82" s="47" t="s">
        <v>43</v>
      </c>
      <c r="K82" s="47">
        <f t="shared" si="20"/>
        <v>0</v>
      </c>
      <c r="L82" s="47">
        <f t="shared" si="21"/>
        <v>0</v>
      </c>
      <c r="M82" s="47">
        <f t="shared" si="22"/>
        <v>0</v>
      </c>
      <c r="N82" s="47">
        <f t="shared" si="23"/>
        <v>127430.320068476</v>
      </c>
      <c r="O82" s="47">
        <f t="shared" si="24"/>
        <v>0</v>
      </c>
      <c r="P82" s="47">
        <f t="shared" si="25"/>
        <v>127430.320068476</v>
      </c>
      <c r="Q82" s="47">
        <v>7.5</v>
      </c>
      <c r="R82" s="47">
        <f t="shared" si="28"/>
        <v>0.882</v>
      </c>
      <c r="S82" s="47">
        <f t="shared" si="27"/>
        <v>1083591.15704487</v>
      </c>
    </row>
    <row r="83" spans="10:19">
      <c r="J83" s="47" t="s">
        <v>44</v>
      </c>
      <c r="K83" s="47">
        <f t="shared" si="20"/>
        <v>0</v>
      </c>
      <c r="L83" s="47">
        <f t="shared" si="21"/>
        <v>103715.160034238</v>
      </c>
      <c r="M83" s="47">
        <f t="shared" si="22"/>
        <v>542290.960205429</v>
      </c>
      <c r="N83" s="47">
        <f t="shared" si="23"/>
        <v>0</v>
      </c>
      <c r="O83" s="47">
        <f t="shared" si="24"/>
        <v>0</v>
      </c>
      <c r="P83" s="47">
        <f t="shared" si="25"/>
        <v>646006.120239667</v>
      </c>
      <c r="Q83" s="47">
        <v>10</v>
      </c>
      <c r="R83" s="47">
        <f t="shared" si="28"/>
        <v>0.882</v>
      </c>
      <c r="S83" s="47">
        <f t="shared" si="27"/>
        <v>7324332.42902116</v>
      </c>
    </row>
    <row r="84" spans="10:19">
      <c r="J84" s="47" t="s">
        <v>45</v>
      </c>
      <c r="K84" s="47">
        <f t="shared" si="20"/>
        <v>103715.160034238</v>
      </c>
      <c r="L84" s="47">
        <f t="shared" si="21"/>
        <v>0</v>
      </c>
      <c r="M84" s="47">
        <f t="shared" si="22"/>
        <v>0</v>
      </c>
      <c r="N84" s="47">
        <f t="shared" si="23"/>
        <v>0</v>
      </c>
      <c r="O84" s="47">
        <f t="shared" si="24"/>
        <v>163715.160034238</v>
      </c>
      <c r="P84" s="47">
        <f t="shared" si="25"/>
        <v>267430.320068476</v>
      </c>
      <c r="Q84" s="47">
        <v>7.25</v>
      </c>
      <c r="R84" s="47">
        <f t="shared" si="28"/>
        <v>0.882</v>
      </c>
      <c r="S84" s="47">
        <f t="shared" si="27"/>
        <v>2198265.10260369</v>
      </c>
    </row>
    <row r="85" spans="10:19">
      <c r="J85" s="47" t="s">
        <v>46</v>
      </c>
      <c r="K85" s="47">
        <f t="shared" si="20"/>
        <v>207430.320068476</v>
      </c>
      <c r="L85" s="47">
        <f t="shared" si="21"/>
        <v>103715.160034238</v>
      </c>
      <c r="M85" s="47">
        <f t="shared" si="22"/>
        <v>0</v>
      </c>
      <c r="N85" s="47">
        <f t="shared" si="23"/>
        <v>0</v>
      </c>
      <c r="O85" s="47">
        <f t="shared" si="24"/>
        <v>327430.320068476</v>
      </c>
      <c r="P85" s="47">
        <f t="shared" si="25"/>
        <v>638575.80017119</v>
      </c>
      <c r="Q85" s="47">
        <v>6.25</v>
      </c>
      <c r="R85" s="47">
        <f t="shared" si="28"/>
        <v>0.882</v>
      </c>
      <c r="S85" s="47">
        <f t="shared" si="27"/>
        <v>4525055.27332193</v>
      </c>
    </row>
    <row r="86" spans="10:19">
      <c r="J86" s="47" t="s">
        <v>47</v>
      </c>
      <c r="K86" s="47">
        <f t="shared" si="20"/>
        <v>0</v>
      </c>
      <c r="L86" s="47">
        <f t="shared" si="21"/>
        <v>207430.320068476</v>
      </c>
      <c r="M86" s="47">
        <f t="shared" si="22"/>
        <v>542290.960205429</v>
      </c>
      <c r="N86" s="47">
        <f t="shared" si="23"/>
        <v>254860.640136952</v>
      </c>
      <c r="O86" s="47">
        <f t="shared" si="24"/>
        <v>81857.580017119</v>
      </c>
      <c r="P86" s="47">
        <f t="shared" si="25"/>
        <v>1086439.50042798</v>
      </c>
      <c r="Q86" s="47">
        <v>10.5</v>
      </c>
      <c r="R86" s="47">
        <f t="shared" si="28"/>
        <v>0.882</v>
      </c>
      <c r="S86" s="47">
        <f t="shared" si="27"/>
        <v>12933803.5765235</v>
      </c>
    </row>
    <row r="87" spans="10:19">
      <c r="J87" s="47" t="s">
        <v>48</v>
      </c>
      <c r="K87" s="47">
        <f t="shared" si="20"/>
        <v>0</v>
      </c>
      <c r="L87" s="47">
        <f t="shared" si="21"/>
        <v>207430.320068476</v>
      </c>
      <c r="M87" s="47">
        <f t="shared" si="22"/>
        <v>406718.220154071</v>
      </c>
      <c r="N87" s="47">
        <f t="shared" si="23"/>
        <v>191145.480102714</v>
      </c>
      <c r="O87" s="47">
        <f t="shared" si="24"/>
        <v>0</v>
      </c>
      <c r="P87" s="47">
        <f t="shared" si="25"/>
        <v>805294.020325262</v>
      </c>
      <c r="Q87" s="47">
        <v>5.75</v>
      </c>
      <c r="R87" s="47">
        <f t="shared" si="28"/>
        <v>0.882</v>
      </c>
      <c r="S87" s="47">
        <f t="shared" si="27"/>
        <v>5249932.6721885</v>
      </c>
    </row>
  </sheetData>
  <mergeCells count="6">
    <mergeCell ref="B16:H16"/>
    <mergeCell ref="B21:H21"/>
    <mergeCell ref="B26:H26"/>
    <mergeCell ref="B30:H30"/>
    <mergeCell ref="C35:G35"/>
    <mergeCell ref="B35:B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zoomScale="50" zoomScaleNormal="50" workbookViewId="0">
      <selection activeCell="F62" sqref="F62"/>
    </sheetView>
  </sheetViews>
  <sheetFormatPr defaultColWidth="8.88888888888889" defaultRowHeight="17.6"/>
  <cols>
    <col min="1" max="1" width="22.4513888888889" customWidth="1"/>
    <col min="2" max="2" width="21.4097222222222" customWidth="1"/>
    <col min="3" max="3" width="14" customWidth="1"/>
    <col min="5" max="5" width="13.1944444444444" customWidth="1"/>
    <col min="6" max="6" width="18.4027777777778" customWidth="1"/>
    <col min="7" max="7" width="14.8125" customWidth="1"/>
    <col min="8" max="8" width="15.2777777777778" customWidth="1"/>
    <col min="9" max="9" width="10.2986111111111" customWidth="1"/>
    <col min="10" max="10" width="15.9652777777778" customWidth="1"/>
    <col min="11" max="11" width="11.5694444444444" customWidth="1"/>
    <col min="12" max="12" width="16.8958333333333" customWidth="1"/>
    <col min="13" max="13" width="10.2986111111111" customWidth="1"/>
    <col min="14" max="14" width="15.9375" customWidth="1"/>
    <col min="15" max="15" width="11.8263888888889" customWidth="1"/>
    <col min="16" max="16" width="17.4861111111111" customWidth="1"/>
    <col min="17" max="17" width="12.7222222222222" customWidth="1"/>
    <col min="18" max="18" width="12.9583333333333" customWidth="1"/>
    <col min="19" max="19" width="14.1180555555556" customWidth="1"/>
    <col min="20" max="20" width="14.3472222222222" customWidth="1"/>
    <col min="21" max="21" width="13.1875" customWidth="1"/>
    <col min="22" max="22" width="12.2638888888889" customWidth="1"/>
    <col min="23" max="23" width="14.8125" customWidth="1"/>
    <col min="24" max="24" width="15.0416666666667" customWidth="1"/>
  </cols>
  <sheetData>
    <row r="1" spans="1:2">
      <c r="A1" t="s">
        <v>55</v>
      </c>
      <c r="B1" t="s">
        <v>56</v>
      </c>
    </row>
    <row r="2" spans="1:2">
      <c r="A2" t="s">
        <v>57</v>
      </c>
      <c r="B2">
        <v>2</v>
      </c>
    </row>
    <row r="3" spans="1:2">
      <c r="A3" t="s">
        <v>58</v>
      </c>
      <c r="B3">
        <v>0.1</v>
      </c>
    </row>
    <row r="4" spans="1:2">
      <c r="A4" t="s">
        <v>59</v>
      </c>
      <c r="B4">
        <v>20</v>
      </c>
    </row>
    <row r="5" spans="1:2">
      <c r="A5" t="s">
        <v>60</v>
      </c>
      <c r="B5">
        <v>0.35</v>
      </c>
    </row>
    <row r="6" spans="1:2">
      <c r="A6" t="s">
        <v>61</v>
      </c>
      <c r="B6">
        <v>250</v>
      </c>
    </row>
    <row r="7" spans="1:2">
      <c r="A7" t="s">
        <v>62</v>
      </c>
      <c r="B7">
        <v>200</v>
      </c>
    </row>
    <row r="8" spans="1:2">
      <c r="A8" t="s">
        <v>63</v>
      </c>
      <c r="B8">
        <v>0.4</v>
      </c>
    </row>
    <row r="9" spans="1:2">
      <c r="A9" t="s">
        <v>64</v>
      </c>
      <c r="B9">
        <v>80</v>
      </c>
    </row>
    <row r="10" spans="1:2">
      <c r="A10" t="s">
        <v>65</v>
      </c>
      <c r="B10">
        <v>0.6</v>
      </c>
    </row>
    <row r="11" spans="1:24">
      <c r="A11" t="s">
        <v>40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s="5" t="s">
        <v>76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s="5" t="s">
        <v>85</v>
      </c>
      <c r="V11" s="5" t="s">
        <v>86</v>
      </c>
      <c r="W11" t="s">
        <v>87</v>
      </c>
      <c r="X11" t="s">
        <v>88</v>
      </c>
    </row>
    <row r="12" spans="1:24">
      <c r="A12" t="s">
        <v>24</v>
      </c>
      <c r="B12">
        <v>382.536658653846</v>
      </c>
      <c r="C12">
        <f>INDEX($G$43:$G$62,MATCH($A12,$A$43:$A$62,0))</f>
        <v>0.0416666666666667</v>
      </c>
      <c r="D12">
        <f>INDEX($F$43:$F$62,MATCH($A12,$A$43:$A$62,0))</f>
        <v>12</v>
      </c>
      <c r="E12">
        <f>B12*$B$2*$B$9</f>
        <v>61205.8653846154</v>
      </c>
      <c r="F12">
        <f>E12*C12</f>
        <v>2550.24439102564</v>
      </c>
      <c r="G12">
        <f>E12*D12</f>
        <v>734470.384615385</v>
      </c>
      <c r="H12">
        <f>E12*$B$8</f>
        <v>24482.3461538462</v>
      </c>
      <c r="I12">
        <f>E12-H12</f>
        <v>36723.5192307692</v>
      </c>
      <c r="J12">
        <f>H12*C12</f>
        <v>1020.09775641026</v>
      </c>
      <c r="K12">
        <f>I12*C12</f>
        <v>1530.14663461538</v>
      </c>
      <c r="L12" s="5">
        <f>J12/($B$4*$B$5)</f>
        <v>145.728250915751</v>
      </c>
      <c r="M12">
        <f>K12/($B$4*$B$5)</f>
        <v>218.592376373626</v>
      </c>
      <c r="N12">
        <f>L12*$B$6</f>
        <v>36432.0627289377</v>
      </c>
      <c r="O12">
        <f>M12*$B$7</f>
        <v>43718.4752747253</v>
      </c>
      <c r="P12">
        <f>E12*D12*$B$3</f>
        <v>73447.0384615385</v>
      </c>
      <c r="Q12" s="3">
        <f>I12*IF(INDEX($P$43:$P$62,MATCH($A12,$A$43:$A$62,0))=0,1,IF(INDEX($O$43:$O$62,MATCH($A12,$A$43:$A$62,0))=0,0,$B$10))</f>
        <v>22034.1115384615</v>
      </c>
      <c r="R12" s="3">
        <f>I12-Q12</f>
        <v>14689.4076923077</v>
      </c>
      <c r="S12" s="3">
        <f>Q12*C12</f>
        <v>918.087980769231</v>
      </c>
      <c r="T12" s="3">
        <f>R12*C12</f>
        <v>612.058653846154</v>
      </c>
      <c r="U12" s="6">
        <f>S12/($B$4*$B$5)</f>
        <v>131.155425824176</v>
      </c>
      <c r="V12" s="6">
        <f>T12/($B$4*$B$5)</f>
        <v>87.4369505494505</v>
      </c>
      <c r="W12" s="3">
        <f>U12*$B$7</f>
        <v>26231.0851648352</v>
      </c>
      <c r="X12" s="3">
        <f>V12*$B$7</f>
        <v>17487.3901098901</v>
      </c>
    </row>
    <row r="13" spans="1:24">
      <c r="A13" t="s">
        <v>25</v>
      </c>
      <c r="B13">
        <v>199.09375</v>
      </c>
      <c r="C13">
        <f t="shared" ref="C13:C31" si="0">INDEX($G$43:$G$62,MATCH($A13,$A$43:$A$62,0))</f>
        <v>0.148148148148148</v>
      </c>
      <c r="D13">
        <f t="shared" ref="D13:D31" si="1">INDEX($F$43:$F$62,MATCH($A13,$A$43:$A$62,0))</f>
        <v>100</v>
      </c>
      <c r="E13">
        <f t="shared" ref="E13:E31" si="2">B13*$B$2*$B$9</f>
        <v>31855</v>
      </c>
      <c r="F13">
        <f t="shared" ref="F13:F31" si="3">E13*C13</f>
        <v>4719.25925925926</v>
      </c>
      <c r="G13">
        <f t="shared" ref="G13:G31" si="4">E13*D13</f>
        <v>3185500</v>
      </c>
      <c r="H13">
        <f t="shared" ref="H13:H31" si="5">E13*$B$8</f>
        <v>12742</v>
      </c>
      <c r="I13">
        <f t="shared" ref="I13:I31" si="6">E13-H13</f>
        <v>19113</v>
      </c>
      <c r="J13">
        <f t="shared" ref="J13:J31" si="7">H13*C13</f>
        <v>1887.7037037037</v>
      </c>
      <c r="K13">
        <f t="shared" ref="K13:K31" si="8">I13*C13</f>
        <v>2831.55555555556</v>
      </c>
      <c r="L13" s="5">
        <f t="shared" ref="L13:L31" si="9">J13/($B$4*$B$5)</f>
        <v>269.671957671958</v>
      </c>
      <c r="M13">
        <f t="shared" ref="M13:M31" si="10">K13/($B$4*$B$5)</f>
        <v>404.507936507936</v>
      </c>
      <c r="N13">
        <f t="shared" ref="N13:N31" si="11">L13*$B$6</f>
        <v>67417.9894179894</v>
      </c>
      <c r="O13">
        <f t="shared" ref="O13:O31" si="12">M13*$B$7</f>
        <v>80901.5873015873</v>
      </c>
      <c r="P13">
        <f t="shared" ref="P13:P31" si="13">E13*D13*$B$3</f>
        <v>318550</v>
      </c>
      <c r="Q13" s="3">
        <f t="shared" ref="Q13:Q32" si="14">I13*IF(INDEX($P$43:$P$62,MATCH($A13,$A$43:$A$62,0))=0,1,IF(INDEX($O$43:$O$62,MATCH($A13,$A$43:$A$62,0))=0,0,$B$10))</f>
        <v>11467.8</v>
      </c>
      <c r="R13" s="3">
        <f t="shared" ref="R13:R32" si="15">I13-Q13</f>
        <v>7645.2</v>
      </c>
      <c r="S13" s="3">
        <f t="shared" ref="S13:S32" si="16">Q13*C13</f>
        <v>1698.93333333333</v>
      </c>
      <c r="T13" s="3">
        <f t="shared" ref="T13:T32" si="17">R13*C13</f>
        <v>1132.62222222222</v>
      </c>
      <c r="U13" s="6">
        <f t="shared" ref="U13:U32" si="18">S13/($B$4*$B$5)</f>
        <v>242.704761904762</v>
      </c>
      <c r="V13" s="6">
        <f t="shared" ref="V13:V32" si="19">T13/($B$4*$B$5)</f>
        <v>161.803174603175</v>
      </c>
      <c r="W13" s="3">
        <f t="shared" ref="W13:W32" si="20">U13*$B$7</f>
        <v>48540.9523809524</v>
      </c>
      <c r="X13" s="3">
        <f t="shared" ref="X13:X32" si="21">V13*$B$7</f>
        <v>32360.6349206349</v>
      </c>
    </row>
    <row r="14" spans="1:24">
      <c r="A14" t="s">
        <v>26</v>
      </c>
      <c r="B14">
        <v>103.663461538462</v>
      </c>
      <c r="C14">
        <f t="shared" si="0"/>
        <v>0.125</v>
      </c>
      <c r="D14">
        <f t="shared" si="1"/>
        <v>50</v>
      </c>
      <c r="E14">
        <f t="shared" si="2"/>
        <v>16586.1538461538</v>
      </c>
      <c r="F14">
        <f t="shared" si="3"/>
        <v>2073.26923076923</v>
      </c>
      <c r="G14">
        <f t="shared" si="4"/>
        <v>829307.692307692</v>
      </c>
      <c r="H14">
        <f t="shared" si="5"/>
        <v>6634.46153846154</v>
      </c>
      <c r="I14">
        <f t="shared" si="6"/>
        <v>9951.6923076923</v>
      </c>
      <c r="J14">
        <f t="shared" si="7"/>
        <v>829.307692307692</v>
      </c>
      <c r="K14">
        <f t="shared" si="8"/>
        <v>1243.96153846154</v>
      </c>
      <c r="L14" s="5">
        <f t="shared" si="9"/>
        <v>118.472527472527</v>
      </c>
      <c r="M14">
        <f t="shared" si="10"/>
        <v>177.708791208791</v>
      </c>
      <c r="N14">
        <f t="shared" si="11"/>
        <v>29618.1318681319</v>
      </c>
      <c r="O14">
        <f t="shared" si="12"/>
        <v>35541.7582417582</v>
      </c>
      <c r="P14">
        <f t="shared" si="13"/>
        <v>82930.7692307692</v>
      </c>
      <c r="Q14" s="3">
        <f t="shared" si="14"/>
        <v>0</v>
      </c>
      <c r="R14" s="3">
        <f t="shared" si="15"/>
        <v>9951.6923076923</v>
      </c>
      <c r="S14" s="3">
        <f t="shared" si="16"/>
        <v>0</v>
      </c>
      <c r="T14" s="3">
        <f t="shared" si="17"/>
        <v>1243.96153846154</v>
      </c>
      <c r="U14" s="6">
        <f t="shared" si="18"/>
        <v>0</v>
      </c>
      <c r="V14" s="6">
        <f t="shared" si="19"/>
        <v>177.708791208791</v>
      </c>
      <c r="W14" s="3">
        <f t="shared" si="20"/>
        <v>0</v>
      </c>
      <c r="X14" s="3">
        <f t="shared" si="21"/>
        <v>35541.7582417582</v>
      </c>
    </row>
    <row r="15" spans="1:24">
      <c r="A15" t="s">
        <v>27</v>
      </c>
      <c r="B15">
        <v>168.865384615385</v>
      </c>
      <c r="C15">
        <f t="shared" si="0"/>
        <v>0.166666666666667</v>
      </c>
      <c r="D15">
        <f t="shared" si="1"/>
        <v>120</v>
      </c>
      <c r="E15">
        <f t="shared" si="2"/>
        <v>27018.4615384615</v>
      </c>
      <c r="F15">
        <f t="shared" si="3"/>
        <v>4503.07692307692</v>
      </c>
      <c r="G15">
        <f t="shared" si="4"/>
        <v>3242215.38461538</v>
      </c>
      <c r="H15">
        <f t="shared" si="5"/>
        <v>10807.3846153846</v>
      </c>
      <c r="I15">
        <f t="shared" si="6"/>
        <v>16211.0769230769</v>
      </c>
      <c r="J15">
        <f t="shared" si="7"/>
        <v>1801.23076923077</v>
      </c>
      <c r="K15">
        <f t="shared" si="8"/>
        <v>2701.84615384615</v>
      </c>
      <c r="L15" s="5">
        <f t="shared" si="9"/>
        <v>257.318681318681</v>
      </c>
      <c r="M15">
        <f t="shared" si="10"/>
        <v>385.978021978022</v>
      </c>
      <c r="N15">
        <f t="shared" si="11"/>
        <v>64329.6703296703</v>
      </c>
      <c r="O15">
        <f t="shared" si="12"/>
        <v>77195.6043956044</v>
      </c>
      <c r="P15">
        <f t="shared" si="13"/>
        <v>324221.538461538</v>
      </c>
      <c r="Q15" s="3">
        <f t="shared" si="14"/>
        <v>9726.64615384615</v>
      </c>
      <c r="R15" s="3">
        <f t="shared" si="15"/>
        <v>6484.43076923077</v>
      </c>
      <c r="S15" s="3">
        <f t="shared" si="16"/>
        <v>1621.10769230769</v>
      </c>
      <c r="T15" s="3">
        <f t="shared" si="17"/>
        <v>1080.73846153846</v>
      </c>
      <c r="U15" s="6">
        <f t="shared" si="18"/>
        <v>231.586813186813</v>
      </c>
      <c r="V15" s="6">
        <f t="shared" si="19"/>
        <v>154.391208791209</v>
      </c>
      <c r="W15" s="3">
        <f t="shared" si="20"/>
        <v>46317.3626373626</v>
      </c>
      <c r="X15" s="3">
        <f t="shared" si="21"/>
        <v>30878.2417582418</v>
      </c>
    </row>
    <row r="16" spans="1:24">
      <c r="A16" t="s">
        <v>29</v>
      </c>
      <c r="B16">
        <v>131.105769230769</v>
      </c>
      <c r="C16">
        <f t="shared" si="0"/>
        <v>0.111111111111111</v>
      </c>
      <c r="D16">
        <f t="shared" si="1"/>
        <v>50</v>
      </c>
      <c r="E16">
        <f t="shared" si="2"/>
        <v>20976.9230769231</v>
      </c>
      <c r="F16">
        <f t="shared" si="3"/>
        <v>2330.76923076923</v>
      </c>
      <c r="G16">
        <f t="shared" si="4"/>
        <v>1048846.15384615</v>
      </c>
      <c r="H16">
        <f t="shared" si="5"/>
        <v>8390.76923076923</v>
      </c>
      <c r="I16">
        <f t="shared" si="6"/>
        <v>12586.1538461538</v>
      </c>
      <c r="J16">
        <f t="shared" si="7"/>
        <v>932.307692307692</v>
      </c>
      <c r="K16">
        <f t="shared" si="8"/>
        <v>1398.46153846154</v>
      </c>
      <c r="L16" s="5">
        <f t="shared" si="9"/>
        <v>133.186813186813</v>
      </c>
      <c r="M16">
        <f t="shared" si="10"/>
        <v>199.78021978022</v>
      </c>
      <c r="N16">
        <f t="shared" si="11"/>
        <v>33296.7032967033</v>
      </c>
      <c r="O16">
        <f t="shared" si="12"/>
        <v>39956.043956044</v>
      </c>
      <c r="P16">
        <f t="shared" si="13"/>
        <v>104884.615384615</v>
      </c>
      <c r="Q16" s="3">
        <f t="shared" si="14"/>
        <v>12586.1538461538</v>
      </c>
      <c r="R16" s="3">
        <f t="shared" si="15"/>
        <v>0</v>
      </c>
      <c r="S16" s="3">
        <f t="shared" si="16"/>
        <v>1398.46153846154</v>
      </c>
      <c r="T16" s="3">
        <f t="shared" si="17"/>
        <v>0</v>
      </c>
      <c r="U16" s="6">
        <f t="shared" si="18"/>
        <v>199.78021978022</v>
      </c>
      <c r="V16" s="6">
        <f t="shared" si="19"/>
        <v>0</v>
      </c>
      <c r="W16" s="3">
        <f t="shared" si="20"/>
        <v>39956.043956044</v>
      </c>
      <c r="X16" s="3">
        <f t="shared" si="21"/>
        <v>0</v>
      </c>
    </row>
    <row r="17" spans="1:24">
      <c r="A17" t="s">
        <v>30</v>
      </c>
      <c r="B17">
        <v>72.9501201923077</v>
      </c>
      <c r="C17">
        <f t="shared" si="0"/>
        <v>0.0555555555555556</v>
      </c>
      <c r="D17">
        <f t="shared" si="1"/>
        <v>15</v>
      </c>
      <c r="E17">
        <f t="shared" si="2"/>
        <v>11672.0192307692</v>
      </c>
      <c r="F17">
        <f t="shared" si="3"/>
        <v>648.445512820513</v>
      </c>
      <c r="G17">
        <f t="shared" si="4"/>
        <v>175080.288461538</v>
      </c>
      <c r="H17">
        <f t="shared" si="5"/>
        <v>4668.80769230769</v>
      </c>
      <c r="I17">
        <f t="shared" si="6"/>
        <v>7003.21153846154</v>
      </c>
      <c r="J17">
        <f t="shared" si="7"/>
        <v>259.378205128205</v>
      </c>
      <c r="K17">
        <f t="shared" si="8"/>
        <v>389.067307692308</v>
      </c>
      <c r="L17" s="5">
        <f t="shared" si="9"/>
        <v>37.0540293040293</v>
      </c>
      <c r="M17">
        <f t="shared" si="10"/>
        <v>55.581043956044</v>
      </c>
      <c r="N17">
        <f t="shared" si="11"/>
        <v>9263.50732600733</v>
      </c>
      <c r="O17">
        <f t="shared" si="12"/>
        <v>11116.2087912088</v>
      </c>
      <c r="P17">
        <f t="shared" si="13"/>
        <v>17508.0288461539</v>
      </c>
      <c r="Q17" s="3">
        <f t="shared" si="14"/>
        <v>4201.92692307692</v>
      </c>
      <c r="R17" s="3">
        <f t="shared" si="15"/>
        <v>2801.28461538462</v>
      </c>
      <c r="S17" s="3">
        <f t="shared" si="16"/>
        <v>233.440384615385</v>
      </c>
      <c r="T17" s="3">
        <f t="shared" si="17"/>
        <v>155.626923076923</v>
      </c>
      <c r="U17" s="6">
        <f t="shared" si="18"/>
        <v>33.3486263736264</v>
      </c>
      <c r="V17" s="6">
        <f t="shared" si="19"/>
        <v>22.2324175824176</v>
      </c>
      <c r="W17" s="3">
        <f t="shared" si="20"/>
        <v>6669.72527472528</v>
      </c>
      <c r="X17" s="3">
        <f t="shared" si="21"/>
        <v>4446.48351648352</v>
      </c>
    </row>
    <row r="18" spans="1:24">
      <c r="A18" t="s">
        <v>31</v>
      </c>
      <c r="B18">
        <v>258.25</v>
      </c>
      <c r="C18">
        <f t="shared" si="0"/>
        <v>0.0277777777777778</v>
      </c>
      <c r="D18">
        <f t="shared" si="1"/>
        <v>25</v>
      </c>
      <c r="E18">
        <f t="shared" si="2"/>
        <v>41320</v>
      </c>
      <c r="F18">
        <f t="shared" si="3"/>
        <v>1147.77777777778</v>
      </c>
      <c r="G18">
        <f t="shared" si="4"/>
        <v>1033000</v>
      </c>
      <c r="H18">
        <f t="shared" si="5"/>
        <v>16528</v>
      </c>
      <c r="I18">
        <f t="shared" si="6"/>
        <v>24792</v>
      </c>
      <c r="J18">
        <f t="shared" si="7"/>
        <v>459.111111111111</v>
      </c>
      <c r="K18">
        <f t="shared" si="8"/>
        <v>688.666666666667</v>
      </c>
      <c r="L18" s="5">
        <f t="shared" si="9"/>
        <v>65.5873015873016</v>
      </c>
      <c r="M18">
        <f t="shared" si="10"/>
        <v>98.3809523809524</v>
      </c>
      <c r="N18">
        <f t="shared" si="11"/>
        <v>16396.8253968254</v>
      </c>
      <c r="O18">
        <f t="shared" si="12"/>
        <v>19676.1904761905</v>
      </c>
      <c r="P18">
        <f t="shared" si="13"/>
        <v>103300</v>
      </c>
      <c r="Q18" s="3">
        <f t="shared" si="14"/>
        <v>14875.2</v>
      </c>
      <c r="R18" s="3">
        <f t="shared" si="15"/>
        <v>9916.8</v>
      </c>
      <c r="S18" s="3">
        <f t="shared" si="16"/>
        <v>413.2</v>
      </c>
      <c r="T18" s="3">
        <f t="shared" si="17"/>
        <v>275.466666666667</v>
      </c>
      <c r="U18" s="6">
        <f t="shared" si="18"/>
        <v>59.0285714285714</v>
      </c>
      <c r="V18" s="6">
        <f t="shared" si="19"/>
        <v>39.352380952381</v>
      </c>
      <c r="W18" s="3">
        <f t="shared" si="20"/>
        <v>11805.7142857143</v>
      </c>
      <c r="X18" s="3">
        <f t="shared" si="21"/>
        <v>7870.47619047619</v>
      </c>
    </row>
    <row r="19" spans="1:24">
      <c r="A19" t="s">
        <v>32</v>
      </c>
      <c r="B19">
        <v>75.5192307692308</v>
      </c>
      <c r="C19">
        <f t="shared" si="0"/>
        <v>0.037037037037037</v>
      </c>
      <c r="D19">
        <f t="shared" si="1"/>
        <v>20</v>
      </c>
      <c r="E19">
        <f t="shared" si="2"/>
        <v>12083.0769230769</v>
      </c>
      <c r="F19">
        <f t="shared" si="3"/>
        <v>447.521367521367</v>
      </c>
      <c r="G19">
        <f t="shared" si="4"/>
        <v>241661.538461538</v>
      </c>
      <c r="H19">
        <f t="shared" si="5"/>
        <v>4833.23076923077</v>
      </c>
      <c r="I19">
        <f t="shared" si="6"/>
        <v>7249.84615384615</v>
      </c>
      <c r="J19">
        <f t="shared" si="7"/>
        <v>179.008547008547</v>
      </c>
      <c r="K19">
        <f t="shared" si="8"/>
        <v>268.51282051282</v>
      </c>
      <c r="L19" s="5">
        <f t="shared" si="9"/>
        <v>25.5726495726496</v>
      </c>
      <c r="M19">
        <f t="shared" si="10"/>
        <v>38.3589743589744</v>
      </c>
      <c r="N19">
        <f t="shared" si="11"/>
        <v>6393.16239316239</v>
      </c>
      <c r="O19">
        <f t="shared" si="12"/>
        <v>7671.79487179487</v>
      </c>
      <c r="P19">
        <f t="shared" si="13"/>
        <v>24166.1538461538</v>
      </c>
      <c r="Q19" s="3">
        <f t="shared" si="14"/>
        <v>0</v>
      </c>
      <c r="R19" s="3">
        <f t="shared" si="15"/>
        <v>7249.84615384615</v>
      </c>
      <c r="S19" s="3">
        <f t="shared" si="16"/>
        <v>0</v>
      </c>
      <c r="T19" s="3">
        <f t="shared" si="17"/>
        <v>268.51282051282</v>
      </c>
      <c r="U19" s="6">
        <f t="shared" si="18"/>
        <v>0</v>
      </c>
      <c r="V19" s="6">
        <f t="shared" si="19"/>
        <v>38.3589743589744</v>
      </c>
      <c r="W19" s="3">
        <f t="shared" si="20"/>
        <v>0</v>
      </c>
      <c r="X19" s="3">
        <f t="shared" si="21"/>
        <v>7671.79487179487</v>
      </c>
    </row>
    <row r="20" spans="1:24">
      <c r="A20" t="s">
        <v>34</v>
      </c>
      <c r="B20">
        <v>167.524038461538</v>
      </c>
      <c r="C20">
        <f t="shared" si="0"/>
        <v>0.0555555555555556</v>
      </c>
      <c r="D20">
        <f t="shared" si="1"/>
        <v>40</v>
      </c>
      <c r="E20">
        <f t="shared" si="2"/>
        <v>26803.8461538462</v>
      </c>
      <c r="F20">
        <f t="shared" si="3"/>
        <v>1489.10256410256</v>
      </c>
      <c r="G20">
        <f t="shared" si="4"/>
        <v>1072153.84615385</v>
      </c>
      <c r="H20">
        <f t="shared" si="5"/>
        <v>10721.5384615385</v>
      </c>
      <c r="I20">
        <f t="shared" si="6"/>
        <v>16082.3076923077</v>
      </c>
      <c r="J20">
        <f t="shared" si="7"/>
        <v>595.641025641026</v>
      </c>
      <c r="K20">
        <f t="shared" si="8"/>
        <v>893.461538461538</v>
      </c>
      <c r="L20" s="5">
        <f t="shared" si="9"/>
        <v>85.0915750915751</v>
      </c>
      <c r="M20">
        <f t="shared" si="10"/>
        <v>127.637362637363</v>
      </c>
      <c r="N20">
        <f t="shared" si="11"/>
        <v>21272.8937728938</v>
      </c>
      <c r="O20">
        <f t="shared" si="12"/>
        <v>25527.4725274725</v>
      </c>
      <c r="P20">
        <f t="shared" si="13"/>
        <v>107215.384615385</v>
      </c>
      <c r="Q20" s="3">
        <f t="shared" si="14"/>
        <v>16082.3076923077</v>
      </c>
      <c r="R20" s="3">
        <f t="shared" si="15"/>
        <v>0</v>
      </c>
      <c r="S20" s="3">
        <f t="shared" si="16"/>
        <v>893.461538461538</v>
      </c>
      <c r="T20" s="3">
        <f t="shared" si="17"/>
        <v>0</v>
      </c>
      <c r="U20" s="6">
        <f t="shared" si="18"/>
        <v>127.637362637363</v>
      </c>
      <c r="V20" s="6">
        <f t="shared" si="19"/>
        <v>0</v>
      </c>
      <c r="W20" s="3">
        <f t="shared" si="20"/>
        <v>25527.4725274725</v>
      </c>
      <c r="X20" s="3">
        <f t="shared" si="21"/>
        <v>0</v>
      </c>
    </row>
    <row r="21" spans="1:24">
      <c r="A21" t="s">
        <v>36</v>
      </c>
      <c r="B21">
        <v>82.8852163461538</v>
      </c>
      <c r="C21">
        <f t="shared" si="0"/>
        <v>0.037037037037037</v>
      </c>
      <c r="D21">
        <f t="shared" si="1"/>
        <v>20</v>
      </c>
      <c r="E21">
        <f t="shared" si="2"/>
        <v>13261.6346153846</v>
      </c>
      <c r="F21">
        <f t="shared" si="3"/>
        <v>491.171652421652</v>
      </c>
      <c r="G21">
        <f t="shared" si="4"/>
        <v>265232.692307692</v>
      </c>
      <c r="H21">
        <f t="shared" si="5"/>
        <v>5304.65384615385</v>
      </c>
      <c r="I21">
        <f t="shared" si="6"/>
        <v>7956.98076923077</v>
      </c>
      <c r="J21">
        <f t="shared" si="7"/>
        <v>196.468660968661</v>
      </c>
      <c r="K21">
        <f t="shared" si="8"/>
        <v>294.702991452991</v>
      </c>
      <c r="L21" s="5">
        <f t="shared" si="9"/>
        <v>28.0669515669516</v>
      </c>
      <c r="M21">
        <f t="shared" si="10"/>
        <v>42.1004273504273</v>
      </c>
      <c r="N21">
        <f t="shared" si="11"/>
        <v>7016.73789173789</v>
      </c>
      <c r="O21">
        <f t="shared" si="12"/>
        <v>8420.08547008547</v>
      </c>
      <c r="P21">
        <f t="shared" si="13"/>
        <v>26523.2692307692</v>
      </c>
      <c r="Q21" s="3">
        <f t="shared" si="14"/>
        <v>4774.18846153846</v>
      </c>
      <c r="R21" s="3">
        <f t="shared" si="15"/>
        <v>3182.79230769231</v>
      </c>
      <c r="S21" s="3">
        <f t="shared" si="16"/>
        <v>176.821794871795</v>
      </c>
      <c r="T21" s="3">
        <f t="shared" si="17"/>
        <v>117.881196581197</v>
      </c>
      <c r="U21" s="6">
        <f t="shared" si="18"/>
        <v>25.2602564102564</v>
      </c>
      <c r="V21" s="6">
        <f t="shared" si="19"/>
        <v>16.8401709401709</v>
      </c>
      <c r="W21" s="3">
        <f t="shared" si="20"/>
        <v>5052.05128205128</v>
      </c>
      <c r="X21" s="3">
        <f t="shared" si="21"/>
        <v>3368.03418803419</v>
      </c>
    </row>
    <row r="22" spans="1:24">
      <c r="A22" t="s">
        <v>37</v>
      </c>
      <c r="B22">
        <v>145.900240384615</v>
      </c>
      <c r="C22">
        <f t="shared" si="0"/>
        <v>0.0555555555555556</v>
      </c>
      <c r="D22">
        <f t="shared" si="1"/>
        <v>30</v>
      </c>
      <c r="E22">
        <f t="shared" si="2"/>
        <v>23344.0384615385</v>
      </c>
      <c r="F22">
        <f t="shared" si="3"/>
        <v>1296.89102564103</v>
      </c>
      <c r="G22">
        <f t="shared" si="4"/>
        <v>700321.153846154</v>
      </c>
      <c r="H22">
        <f t="shared" si="5"/>
        <v>9337.61538461539</v>
      </c>
      <c r="I22">
        <f t="shared" si="6"/>
        <v>14006.4230769231</v>
      </c>
      <c r="J22">
        <f t="shared" si="7"/>
        <v>518.75641025641</v>
      </c>
      <c r="K22">
        <f t="shared" si="8"/>
        <v>778.134615384615</v>
      </c>
      <c r="L22" s="5">
        <f t="shared" si="9"/>
        <v>74.1080586080586</v>
      </c>
      <c r="M22">
        <f t="shared" si="10"/>
        <v>111.162087912088</v>
      </c>
      <c r="N22">
        <f t="shared" si="11"/>
        <v>18527.0146520147</v>
      </c>
      <c r="O22">
        <f t="shared" si="12"/>
        <v>22232.4175824176</v>
      </c>
      <c r="P22">
        <f t="shared" si="13"/>
        <v>70032.1153846154</v>
      </c>
      <c r="Q22" s="3">
        <f t="shared" si="14"/>
        <v>8403.85384615385</v>
      </c>
      <c r="R22" s="3">
        <f t="shared" si="15"/>
        <v>5602.56923076923</v>
      </c>
      <c r="S22" s="3">
        <f t="shared" si="16"/>
        <v>466.880769230769</v>
      </c>
      <c r="T22" s="3">
        <f t="shared" si="17"/>
        <v>311.253846153846</v>
      </c>
      <c r="U22" s="6">
        <f t="shared" si="18"/>
        <v>66.6972527472528</v>
      </c>
      <c r="V22" s="6">
        <f t="shared" si="19"/>
        <v>44.4648351648352</v>
      </c>
      <c r="W22" s="3">
        <f t="shared" si="20"/>
        <v>13339.4505494506</v>
      </c>
      <c r="X22" s="3">
        <f t="shared" si="21"/>
        <v>8892.96703296703</v>
      </c>
    </row>
    <row r="23" spans="1:24">
      <c r="A23" t="s">
        <v>38</v>
      </c>
      <c r="B23">
        <v>179.223557692308</v>
      </c>
      <c r="C23">
        <f t="shared" si="0"/>
        <v>0.0833333333333333</v>
      </c>
      <c r="D23">
        <f t="shared" si="1"/>
        <v>30</v>
      </c>
      <c r="E23">
        <f t="shared" si="2"/>
        <v>28675.7692307692</v>
      </c>
      <c r="F23">
        <f t="shared" si="3"/>
        <v>2389.64743589744</v>
      </c>
      <c r="G23">
        <f t="shared" si="4"/>
        <v>860273.076923077</v>
      </c>
      <c r="H23">
        <f t="shared" si="5"/>
        <v>11470.3076923077</v>
      </c>
      <c r="I23">
        <f t="shared" si="6"/>
        <v>17205.4615384615</v>
      </c>
      <c r="J23">
        <f t="shared" si="7"/>
        <v>955.858974358975</v>
      </c>
      <c r="K23">
        <f t="shared" si="8"/>
        <v>1433.78846153846</v>
      </c>
      <c r="L23" s="5">
        <f t="shared" si="9"/>
        <v>136.551282051282</v>
      </c>
      <c r="M23">
        <f t="shared" si="10"/>
        <v>204.826923076923</v>
      </c>
      <c r="N23">
        <f t="shared" si="11"/>
        <v>34137.8205128205</v>
      </c>
      <c r="O23">
        <f t="shared" si="12"/>
        <v>40965.3846153846</v>
      </c>
      <c r="P23">
        <f t="shared" si="13"/>
        <v>86027.3076923077</v>
      </c>
      <c r="Q23" s="3">
        <f t="shared" si="14"/>
        <v>10323.2769230769</v>
      </c>
      <c r="R23" s="3">
        <f t="shared" si="15"/>
        <v>6882.18461538462</v>
      </c>
      <c r="S23" s="3">
        <f t="shared" si="16"/>
        <v>860.273076923077</v>
      </c>
      <c r="T23" s="3">
        <f t="shared" si="17"/>
        <v>573.515384615385</v>
      </c>
      <c r="U23" s="6">
        <f t="shared" si="18"/>
        <v>122.896153846154</v>
      </c>
      <c r="V23" s="6">
        <f t="shared" si="19"/>
        <v>81.9307692307692</v>
      </c>
      <c r="W23" s="3">
        <f t="shared" si="20"/>
        <v>24579.2307692308</v>
      </c>
      <c r="X23" s="3">
        <f t="shared" si="21"/>
        <v>16386.1538461538</v>
      </c>
    </row>
    <row r="24" spans="1:24">
      <c r="A24" t="s">
        <v>39</v>
      </c>
      <c r="B24">
        <v>89.6117788461539</v>
      </c>
      <c r="C24">
        <f t="shared" si="0"/>
        <v>0.0277777777777778</v>
      </c>
      <c r="D24">
        <f t="shared" si="1"/>
        <v>25</v>
      </c>
      <c r="E24">
        <f t="shared" si="2"/>
        <v>14337.8846153846</v>
      </c>
      <c r="F24">
        <f t="shared" si="3"/>
        <v>398.274572649573</v>
      </c>
      <c r="G24">
        <f t="shared" si="4"/>
        <v>358447.115384615</v>
      </c>
      <c r="H24">
        <f t="shared" si="5"/>
        <v>5735.15384615385</v>
      </c>
      <c r="I24">
        <f t="shared" si="6"/>
        <v>8602.73076923077</v>
      </c>
      <c r="J24">
        <f t="shared" si="7"/>
        <v>159.309829059829</v>
      </c>
      <c r="K24">
        <f t="shared" si="8"/>
        <v>238.964743589744</v>
      </c>
      <c r="L24" s="5">
        <f t="shared" si="9"/>
        <v>22.758547008547</v>
      </c>
      <c r="M24">
        <f t="shared" si="10"/>
        <v>34.1378205128205</v>
      </c>
      <c r="N24">
        <f t="shared" si="11"/>
        <v>5689.63675213675</v>
      </c>
      <c r="O24">
        <f t="shared" si="12"/>
        <v>6827.5641025641</v>
      </c>
      <c r="P24">
        <f t="shared" si="13"/>
        <v>35844.7115384615</v>
      </c>
      <c r="Q24" s="3">
        <f t="shared" si="14"/>
        <v>5161.63846153846</v>
      </c>
      <c r="R24" s="3">
        <f t="shared" si="15"/>
        <v>3441.09230769231</v>
      </c>
      <c r="S24" s="3">
        <f t="shared" si="16"/>
        <v>143.378846153846</v>
      </c>
      <c r="T24" s="3">
        <f t="shared" si="17"/>
        <v>95.5858974358975</v>
      </c>
      <c r="U24" s="6">
        <f t="shared" si="18"/>
        <v>20.4826923076923</v>
      </c>
      <c r="V24" s="6">
        <f t="shared" si="19"/>
        <v>13.6551282051282</v>
      </c>
      <c r="W24" s="3">
        <f t="shared" si="20"/>
        <v>4096.53846153846</v>
      </c>
      <c r="X24" s="3">
        <f t="shared" si="21"/>
        <v>2731.02564102564</v>
      </c>
    </row>
    <row r="25" spans="1:24">
      <c r="A25" t="s">
        <v>42</v>
      </c>
      <c r="B25">
        <v>334.408653846154</v>
      </c>
      <c r="C25">
        <f t="shared" si="0"/>
        <v>0.0277777777777778</v>
      </c>
      <c r="D25">
        <f t="shared" si="1"/>
        <v>20</v>
      </c>
      <c r="E25">
        <f t="shared" si="2"/>
        <v>53505.3846153846</v>
      </c>
      <c r="F25">
        <f t="shared" si="3"/>
        <v>1486.26068376068</v>
      </c>
      <c r="G25">
        <f t="shared" si="4"/>
        <v>1070107.69230769</v>
      </c>
      <c r="H25">
        <f t="shared" si="5"/>
        <v>21402.1538461539</v>
      </c>
      <c r="I25">
        <f t="shared" si="6"/>
        <v>32103.2307692308</v>
      </c>
      <c r="J25">
        <f t="shared" si="7"/>
        <v>594.504273504274</v>
      </c>
      <c r="K25">
        <f t="shared" si="8"/>
        <v>891.75641025641</v>
      </c>
      <c r="L25" s="5">
        <f t="shared" si="9"/>
        <v>84.9291819291819</v>
      </c>
      <c r="M25">
        <f t="shared" si="10"/>
        <v>127.393772893773</v>
      </c>
      <c r="N25">
        <f t="shared" si="11"/>
        <v>21232.2954822955</v>
      </c>
      <c r="O25">
        <f t="shared" si="12"/>
        <v>25478.7545787546</v>
      </c>
      <c r="P25">
        <f t="shared" si="13"/>
        <v>107010.769230769</v>
      </c>
      <c r="Q25" s="3">
        <f t="shared" si="14"/>
        <v>19261.9384615385</v>
      </c>
      <c r="R25" s="3">
        <f t="shared" si="15"/>
        <v>12841.2923076923</v>
      </c>
      <c r="S25" s="3">
        <f t="shared" si="16"/>
        <v>535.053846153846</v>
      </c>
      <c r="T25" s="3">
        <f t="shared" si="17"/>
        <v>356.702564102564</v>
      </c>
      <c r="U25" s="6">
        <f t="shared" si="18"/>
        <v>76.4362637362637</v>
      </c>
      <c r="V25" s="6">
        <f t="shared" si="19"/>
        <v>50.9575091575092</v>
      </c>
      <c r="W25" s="3">
        <f t="shared" si="20"/>
        <v>15287.2527472527</v>
      </c>
      <c r="X25" s="3">
        <f t="shared" si="21"/>
        <v>10191.5018315018</v>
      </c>
    </row>
    <row r="26" spans="1:24">
      <c r="A26" t="s">
        <v>43</v>
      </c>
      <c r="B26">
        <v>37.7596153846154</v>
      </c>
      <c r="C26">
        <f t="shared" si="0"/>
        <v>0.0555555555555556</v>
      </c>
      <c r="D26">
        <f t="shared" si="1"/>
        <v>25</v>
      </c>
      <c r="E26">
        <f t="shared" si="2"/>
        <v>6041.53846153846</v>
      </c>
      <c r="F26">
        <f t="shared" si="3"/>
        <v>335.641025641026</v>
      </c>
      <c r="G26">
        <f t="shared" si="4"/>
        <v>151038.461538462</v>
      </c>
      <c r="H26">
        <f t="shared" si="5"/>
        <v>2416.61538461538</v>
      </c>
      <c r="I26">
        <f t="shared" si="6"/>
        <v>3624.92307692308</v>
      </c>
      <c r="J26">
        <f t="shared" si="7"/>
        <v>134.25641025641</v>
      </c>
      <c r="K26">
        <f t="shared" si="8"/>
        <v>201.384615384615</v>
      </c>
      <c r="L26" s="5">
        <f t="shared" si="9"/>
        <v>19.1794871794872</v>
      </c>
      <c r="M26">
        <f t="shared" si="10"/>
        <v>28.7692307692308</v>
      </c>
      <c r="N26">
        <f t="shared" si="11"/>
        <v>4794.87179487179</v>
      </c>
      <c r="O26">
        <f t="shared" si="12"/>
        <v>5753.84615384615</v>
      </c>
      <c r="P26">
        <f t="shared" si="13"/>
        <v>15103.8461538462</v>
      </c>
      <c r="Q26" s="3">
        <f t="shared" si="14"/>
        <v>0</v>
      </c>
      <c r="R26" s="3">
        <f t="shared" si="15"/>
        <v>3624.92307692308</v>
      </c>
      <c r="S26" s="3">
        <f t="shared" si="16"/>
        <v>0</v>
      </c>
      <c r="T26" s="3">
        <f t="shared" si="17"/>
        <v>201.384615384615</v>
      </c>
      <c r="U26" s="6">
        <f t="shared" si="18"/>
        <v>0</v>
      </c>
      <c r="V26" s="6">
        <f t="shared" si="19"/>
        <v>28.7692307692308</v>
      </c>
      <c r="W26" s="3">
        <f t="shared" si="20"/>
        <v>0</v>
      </c>
      <c r="X26" s="3">
        <f t="shared" si="21"/>
        <v>5753.84615384615</v>
      </c>
    </row>
    <row r="27" spans="1:24">
      <c r="A27" t="s">
        <v>44</v>
      </c>
      <c r="B27">
        <v>225.793269230769</v>
      </c>
      <c r="C27">
        <f t="shared" si="0"/>
        <v>0.037037037037037</v>
      </c>
      <c r="D27">
        <f t="shared" si="1"/>
        <v>20</v>
      </c>
      <c r="E27">
        <f t="shared" si="2"/>
        <v>36126.9230769231</v>
      </c>
      <c r="F27">
        <f t="shared" si="3"/>
        <v>1338.03418803419</v>
      </c>
      <c r="G27">
        <f t="shared" si="4"/>
        <v>722538.461538461</v>
      </c>
      <c r="H27">
        <f t="shared" si="5"/>
        <v>14450.7692307692</v>
      </c>
      <c r="I27">
        <f t="shared" si="6"/>
        <v>21676.1538461538</v>
      </c>
      <c r="J27">
        <f t="shared" si="7"/>
        <v>535.213675213675</v>
      </c>
      <c r="K27">
        <f t="shared" si="8"/>
        <v>802.820512820513</v>
      </c>
      <c r="L27" s="5">
        <f t="shared" si="9"/>
        <v>76.4590964590965</v>
      </c>
      <c r="M27">
        <f t="shared" si="10"/>
        <v>114.688644688645</v>
      </c>
      <c r="N27">
        <f t="shared" si="11"/>
        <v>19114.7741147741</v>
      </c>
      <c r="O27">
        <f t="shared" si="12"/>
        <v>22937.7289377289</v>
      </c>
      <c r="P27">
        <f t="shared" si="13"/>
        <v>72253.8461538462</v>
      </c>
      <c r="Q27" s="3">
        <f t="shared" si="14"/>
        <v>21676.1538461538</v>
      </c>
      <c r="R27" s="3">
        <f t="shared" si="15"/>
        <v>0</v>
      </c>
      <c r="S27" s="3">
        <f t="shared" si="16"/>
        <v>802.820512820513</v>
      </c>
      <c r="T27" s="3">
        <f t="shared" si="17"/>
        <v>0</v>
      </c>
      <c r="U27" s="6">
        <f t="shared" si="18"/>
        <v>114.688644688645</v>
      </c>
      <c r="V27" s="6">
        <f t="shared" si="19"/>
        <v>0</v>
      </c>
      <c r="W27" s="3">
        <f t="shared" si="20"/>
        <v>22937.7289377289</v>
      </c>
      <c r="X27" s="3">
        <f t="shared" si="21"/>
        <v>0</v>
      </c>
    </row>
    <row r="28" spans="1:24">
      <c r="A28" t="s">
        <v>45</v>
      </c>
      <c r="B28">
        <v>89.6117788461539</v>
      </c>
      <c r="C28">
        <f t="shared" si="0"/>
        <v>0.0277777777777778</v>
      </c>
      <c r="D28">
        <f t="shared" si="1"/>
        <v>80</v>
      </c>
      <c r="E28">
        <f t="shared" si="2"/>
        <v>14337.8846153846</v>
      </c>
      <c r="F28">
        <f t="shared" si="3"/>
        <v>398.274572649573</v>
      </c>
      <c r="G28">
        <f t="shared" si="4"/>
        <v>1147030.76923077</v>
      </c>
      <c r="H28">
        <f t="shared" si="5"/>
        <v>5735.15384615385</v>
      </c>
      <c r="I28">
        <f t="shared" si="6"/>
        <v>8602.73076923077</v>
      </c>
      <c r="J28">
        <f t="shared" si="7"/>
        <v>159.309829059829</v>
      </c>
      <c r="K28">
        <f t="shared" si="8"/>
        <v>238.964743589744</v>
      </c>
      <c r="L28" s="5">
        <f t="shared" si="9"/>
        <v>22.758547008547</v>
      </c>
      <c r="M28">
        <f t="shared" si="10"/>
        <v>34.1378205128205</v>
      </c>
      <c r="N28">
        <f t="shared" si="11"/>
        <v>5689.63675213675</v>
      </c>
      <c r="O28">
        <f t="shared" si="12"/>
        <v>6827.5641025641</v>
      </c>
      <c r="P28">
        <f t="shared" si="13"/>
        <v>114703.076923077</v>
      </c>
      <c r="Q28" s="3">
        <f t="shared" si="14"/>
        <v>5161.63846153846</v>
      </c>
      <c r="R28" s="3">
        <f t="shared" si="15"/>
        <v>3441.09230769231</v>
      </c>
      <c r="S28" s="3">
        <f t="shared" si="16"/>
        <v>143.378846153846</v>
      </c>
      <c r="T28" s="3">
        <f t="shared" si="17"/>
        <v>95.5858974358975</v>
      </c>
      <c r="U28" s="6">
        <f t="shared" si="18"/>
        <v>20.4826923076923</v>
      </c>
      <c r="V28" s="6">
        <f t="shared" si="19"/>
        <v>13.6551282051282</v>
      </c>
      <c r="W28" s="3">
        <f t="shared" si="20"/>
        <v>4096.53846153846</v>
      </c>
      <c r="X28" s="3">
        <f t="shared" si="21"/>
        <v>2731.02564102564</v>
      </c>
    </row>
    <row r="29" spans="1:24">
      <c r="A29" t="s">
        <v>46</v>
      </c>
      <c r="B29">
        <v>215.641826923077</v>
      </c>
      <c r="C29">
        <f t="shared" si="0"/>
        <v>0.0277777777777778</v>
      </c>
      <c r="D29">
        <f t="shared" si="1"/>
        <v>80</v>
      </c>
      <c r="E29">
        <f t="shared" si="2"/>
        <v>34502.6923076923</v>
      </c>
      <c r="F29">
        <f t="shared" si="3"/>
        <v>958.40811965812</v>
      </c>
      <c r="G29">
        <f t="shared" si="4"/>
        <v>2760215.38461538</v>
      </c>
      <c r="H29">
        <f t="shared" si="5"/>
        <v>13801.0769230769</v>
      </c>
      <c r="I29">
        <f t="shared" si="6"/>
        <v>20701.6153846154</v>
      </c>
      <c r="J29">
        <f t="shared" si="7"/>
        <v>383.363247863248</v>
      </c>
      <c r="K29">
        <f t="shared" si="8"/>
        <v>575.044871794872</v>
      </c>
      <c r="L29" s="5">
        <f t="shared" si="9"/>
        <v>54.7661782661783</v>
      </c>
      <c r="M29">
        <f t="shared" si="10"/>
        <v>82.1492673992674</v>
      </c>
      <c r="N29">
        <f t="shared" si="11"/>
        <v>13691.5445665446</v>
      </c>
      <c r="O29">
        <f t="shared" si="12"/>
        <v>16429.8534798535</v>
      </c>
      <c r="P29">
        <f t="shared" si="13"/>
        <v>276021.538461538</v>
      </c>
      <c r="Q29" s="3">
        <f t="shared" si="14"/>
        <v>12420.9692307692</v>
      </c>
      <c r="R29" s="3">
        <f t="shared" si="15"/>
        <v>8280.64615384616</v>
      </c>
      <c r="S29" s="3">
        <f t="shared" si="16"/>
        <v>345.026923076923</v>
      </c>
      <c r="T29" s="3">
        <f t="shared" si="17"/>
        <v>230.017948717949</v>
      </c>
      <c r="U29" s="6">
        <f t="shared" si="18"/>
        <v>49.2895604395604</v>
      </c>
      <c r="V29" s="6">
        <f t="shared" si="19"/>
        <v>32.859706959707</v>
      </c>
      <c r="W29" s="3">
        <f t="shared" si="20"/>
        <v>9857.91208791209</v>
      </c>
      <c r="X29" s="3">
        <f t="shared" si="21"/>
        <v>6571.94139194139</v>
      </c>
    </row>
    <row r="30" spans="1:24">
      <c r="A30" t="s">
        <v>47</v>
      </c>
      <c r="B30">
        <v>365.875</v>
      </c>
      <c r="C30">
        <f t="shared" si="0"/>
        <v>0.0277777777777778</v>
      </c>
      <c r="D30">
        <f t="shared" si="1"/>
        <v>80</v>
      </c>
      <c r="E30">
        <f t="shared" si="2"/>
        <v>58540</v>
      </c>
      <c r="F30">
        <f t="shared" si="3"/>
        <v>1626.11111111111</v>
      </c>
      <c r="G30">
        <f t="shared" si="4"/>
        <v>4683200</v>
      </c>
      <c r="H30">
        <f t="shared" si="5"/>
        <v>23416</v>
      </c>
      <c r="I30">
        <f t="shared" si="6"/>
        <v>35124</v>
      </c>
      <c r="J30">
        <f t="shared" si="7"/>
        <v>650.444444444444</v>
      </c>
      <c r="K30">
        <f t="shared" si="8"/>
        <v>975.666666666667</v>
      </c>
      <c r="L30" s="5">
        <f t="shared" si="9"/>
        <v>92.9206349206349</v>
      </c>
      <c r="M30">
        <f t="shared" si="10"/>
        <v>139.380952380952</v>
      </c>
      <c r="N30">
        <f t="shared" si="11"/>
        <v>23230.1587301587</v>
      </c>
      <c r="O30">
        <f t="shared" si="12"/>
        <v>27876.1904761905</v>
      </c>
      <c r="P30">
        <f t="shared" si="13"/>
        <v>468320</v>
      </c>
      <c r="Q30" s="3">
        <f t="shared" si="14"/>
        <v>21074.4</v>
      </c>
      <c r="R30" s="3">
        <f t="shared" si="15"/>
        <v>14049.6</v>
      </c>
      <c r="S30" s="3">
        <f t="shared" si="16"/>
        <v>585.4</v>
      </c>
      <c r="T30" s="3">
        <f t="shared" si="17"/>
        <v>390.266666666667</v>
      </c>
      <c r="U30" s="6">
        <f t="shared" si="18"/>
        <v>83.6285714285714</v>
      </c>
      <c r="V30" s="6">
        <f t="shared" si="19"/>
        <v>55.752380952381</v>
      </c>
      <c r="W30" s="3">
        <f t="shared" si="20"/>
        <v>16725.7142857143</v>
      </c>
      <c r="X30" s="3">
        <f t="shared" si="21"/>
        <v>11150.4761904762</v>
      </c>
    </row>
    <row r="31" spans="1:24">
      <c r="A31" t="s">
        <v>48</v>
      </c>
      <c r="B31">
        <v>271.507211538462</v>
      </c>
      <c r="C31">
        <f t="shared" si="0"/>
        <v>0.0277777777777778</v>
      </c>
      <c r="D31">
        <f t="shared" si="1"/>
        <v>80</v>
      </c>
      <c r="E31">
        <f t="shared" si="2"/>
        <v>43441.1538461538</v>
      </c>
      <c r="F31">
        <f t="shared" si="3"/>
        <v>1206.69871794872</v>
      </c>
      <c r="G31">
        <f t="shared" si="4"/>
        <v>3475292.30769231</v>
      </c>
      <c r="H31">
        <f t="shared" si="5"/>
        <v>17376.4615384615</v>
      </c>
      <c r="I31">
        <f t="shared" si="6"/>
        <v>26064.6923076923</v>
      </c>
      <c r="J31">
        <f t="shared" si="7"/>
        <v>482.679487179487</v>
      </c>
      <c r="K31">
        <f t="shared" si="8"/>
        <v>724.019230769231</v>
      </c>
      <c r="L31" s="5">
        <f t="shared" si="9"/>
        <v>68.9542124542125</v>
      </c>
      <c r="M31">
        <f t="shared" si="10"/>
        <v>103.431318681319</v>
      </c>
      <c r="N31">
        <f t="shared" si="11"/>
        <v>17238.5531135531</v>
      </c>
      <c r="O31">
        <f t="shared" si="12"/>
        <v>20686.2637362637</v>
      </c>
      <c r="P31">
        <f t="shared" si="13"/>
        <v>347529.230769231</v>
      </c>
      <c r="Q31" s="3">
        <f t="shared" si="14"/>
        <v>15638.8153846154</v>
      </c>
      <c r="R31" s="3">
        <f t="shared" si="15"/>
        <v>10425.8769230769</v>
      </c>
      <c r="S31" s="3">
        <f t="shared" si="16"/>
        <v>434.411538461538</v>
      </c>
      <c r="T31" s="3">
        <f t="shared" si="17"/>
        <v>289.607692307692</v>
      </c>
      <c r="U31" s="6">
        <f t="shared" si="18"/>
        <v>62.0587912087912</v>
      </c>
      <c r="V31" s="6">
        <f t="shared" si="19"/>
        <v>41.3725274725275</v>
      </c>
      <c r="W31" s="3">
        <f t="shared" si="20"/>
        <v>12411.7582417582</v>
      </c>
      <c r="X31" s="3">
        <f t="shared" si="21"/>
        <v>8274.50549450549</v>
      </c>
    </row>
    <row r="32" spans="1:24">
      <c r="A32" t="s">
        <v>89</v>
      </c>
      <c r="B32">
        <f>SUM(B12:B31)</f>
        <v>3597.7265625</v>
      </c>
      <c r="C32">
        <f t="shared" ref="C32:X32" si="22">SUM(C12:C31)</f>
        <v>1.2037037037037</v>
      </c>
      <c r="D32">
        <f t="shared" si="22"/>
        <v>922</v>
      </c>
      <c r="E32">
        <f t="shared" si="22"/>
        <v>575636.25</v>
      </c>
      <c r="F32">
        <f t="shared" si="22"/>
        <v>31834.8793625356</v>
      </c>
      <c r="G32">
        <f t="shared" si="22"/>
        <v>27755932.4038462</v>
      </c>
      <c r="H32">
        <f t="shared" si="22"/>
        <v>230254.5</v>
      </c>
      <c r="I32">
        <f t="shared" si="22"/>
        <v>345381.75</v>
      </c>
      <c r="J32">
        <f t="shared" si="22"/>
        <v>12733.9517450142</v>
      </c>
      <c r="K32">
        <f t="shared" si="22"/>
        <v>19100.9276175214</v>
      </c>
      <c r="L32" s="5">
        <f t="shared" si="22"/>
        <v>1819.13596357346</v>
      </c>
      <c r="M32">
        <f t="shared" si="22"/>
        <v>2728.70394536019</v>
      </c>
      <c r="N32">
        <f t="shared" si="22"/>
        <v>454783.990893366</v>
      </c>
      <c r="O32">
        <f t="shared" si="22"/>
        <v>545740.789072039</v>
      </c>
      <c r="P32">
        <f t="shared" si="22"/>
        <v>2775593.24038462</v>
      </c>
      <c r="Q32">
        <f t="shared" si="22"/>
        <v>214871.019230769</v>
      </c>
      <c r="R32">
        <f t="shared" si="22"/>
        <v>130510.730769231</v>
      </c>
      <c r="S32">
        <f t="shared" si="22"/>
        <v>11670.1386217949</v>
      </c>
      <c r="T32">
        <f t="shared" si="22"/>
        <v>7430.78899572649</v>
      </c>
      <c r="U32" s="5">
        <f t="shared" si="22"/>
        <v>1667.16266025641</v>
      </c>
      <c r="V32" s="5">
        <f t="shared" si="22"/>
        <v>1061.54128510379</v>
      </c>
      <c r="W32">
        <f t="shared" si="22"/>
        <v>333432.532051282</v>
      </c>
      <c r="X32">
        <f t="shared" si="22"/>
        <v>212308.257020757</v>
      </c>
    </row>
    <row r="41" spans="1:10">
      <c r="A41" t="s">
        <v>40</v>
      </c>
      <c r="B41" t="s">
        <v>90</v>
      </c>
      <c r="F41" t="s">
        <v>91</v>
      </c>
      <c r="I41" t="s">
        <v>40</v>
      </c>
      <c r="J41" t="s">
        <v>41</v>
      </c>
    </row>
    <row r="42" spans="1:14">
      <c r="A42" t="s">
        <v>92</v>
      </c>
      <c r="B42" t="s">
        <v>93</v>
      </c>
      <c r="C42" t="s">
        <v>94</v>
      </c>
      <c r="D42" t="s">
        <v>95</v>
      </c>
      <c r="E42" t="s">
        <v>96</v>
      </c>
      <c r="F42" t="s">
        <v>97</v>
      </c>
      <c r="G42" t="s">
        <v>67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</row>
    <row r="43" spans="1:16">
      <c r="A43" t="s">
        <v>24</v>
      </c>
      <c r="B43">
        <v>2</v>
      </c>
      <c r="C43">
        <v>6</v>
      </c>
      <c r="D43">
        <v>6</v>
      </c>
      <c r="E43">
        <v>2</v>
      </c>
      <c r="F43">
        <v>12</v>
      </c>
      <c r="G43" s="3">
        <f>B43*C43*D43/1728</f>
        <v>0.0416666666666667</v>
      </c>
      <c r="I43" t="s">
        <v>24</v>
      </c>
      <c r="J43">
        <v>1</v>
      </c>
      <c r="K43">
        <v>2</v>
      </c>
      <c r="L43">
        <v>4</v>
      </c>
      <c r="M43">
        <v>4</v>
      </c>
      <c r="N43">
        <v>1</v>
      </c>
      <c r="O43">
        <f>SUM(J43:L43)</f>
        <v>7</v>
      </c>
      <c r="P43">
        <f>SUM(M43:N43)</f>
        <v>5</v>
      </c>
    </row>
    <row r="44" spans="1:16">
      <c r="A44" t="s">
        <v>25</v>
      </c>
      <c r="B44">
        <v>8</v>
      </c>
      <c r="C44">
        <v>8</v>
      </c>
      <c r="D44">
        <v>4</v>
      </c>
      <c r="E44">
        <v>14</v>
      </c>
      <c r="F44">
        <v>100</v>
      </c>
      <c r="G44" s="3">
        <f t="shared" ref="G44:G62" si="23">B44*C44*D44/1728</f>
        <v>0.148148148148148</v>
      </c>
      <c r="I44" t="s">
        <v>25</v>
      </c>
      <c r="J44">
        <v>4</v>
      </c>
      <c r="L44">
        <v>2</v>
      </c>
      <c r="M44">
        <v>2</v>
      </c>
      <c r="O44">
        <f t="shared" ref="O44:O62" si="24">SUM(J44:L44)</f>
        <v>6</v>
      </c>
      <c r="P44">
        <f t="shared" ref="P44:P62" si="25">SUM(M44:N44)</f>
        <v>2</v>
      </c>
    </row>
    <row r="45" spans="1:16">
      <c r="A45" t="s">
        <v>26</v>
      </c>
      <c r="B45">
        <v>6</v>
      </c>
      <c r="C45">
        <v>6</v>
      </c>
      <c r="D45">
        <v>6</v>
      </c>
      <c r="E45">
        <v>6</v>
      </c>
      <c r="F45">
        <v>50</v>
      </c>
      <c r="G45" s="3">
        <f t="shared" si="23"/>
        <v>0.125</v>
      </c>
      <c r="I45" t="s">
        <v>26</v>
      </c>
      <c r="M45">
        <v>4</v>
      </c>
      <c r="N45">
        <v>1</v>
      </c>
      <c r="O45">
        <f t="shared" si="24"/>
        <v>0</v>
      </c>
      <c r="P45">
        <f t="shared" si="25"/>
        <v>5</v>
      </c>
    </row>
    <row r="46" spans="1:16">
      <c r="A46" t="s">
        <v>27</v>
      </c>
      <c r="B46">
        <v>12</v>
      </c>
      <c r="C46">
        <v>6</v>
      </c>
      <c r="D46">
        <v>4</v>
      </c>
      <c r="E46">
        <v>16</v>
      </c>
      <c r="F46">
        <v>120</v>
      </c>
      <c r="G46" s="3">
        <f t="shared" si="23"/>
        <v>0.166666666666667</v>
      </c>
      <c r="I46" t="s">
        <v>27</v>
      </c>
      <c r="K46">
        <v>1</v>
      </c>
      <c r="L46">
        <v>2</v>
      </c>
      <c r="M46">
        <v>2</v>
      </c>
      <c r="O46">
        <f t="shared" si="24"/>
        <v>3</v>
      </c>
      <c r="P46">
        <f t="shared" si="25"/>
        <v>2</v>
      </c>
    </row>
    <row r="47" spans="1:16">
      <c r="A47" t="s">
        <v>29</v>
      </c>
      <c r="B47">
        <v>8</v>
      </c>
      <c r="C47">
        <v>4</v>
      </c>
      <c r="D47">
        <v>6</v>
      </c>
      <c r="E47">
        <v>5</v>
      </c>
      <c r="F47">
        <v>50</v>
      </c>
      <c r="G47" s="3">
        <f t="shared" si="23"/>
        <v>0.111111111111111</v>
      </c>
      <c r="I47" t="s">
        <v>29</v>
      </c>
      <c r="K47">
        <v>1</v>
      </c>
      <c r="L47">
        <v>2</v>
      </c>
      <c r="O47">
        <f t="shared" si="24"/>
        <v>3</v>
      </c>
      <c r="P47">
        <f t="shared" si="25"/>
        <v>0</v>
      </c>
    </row>
    <row r="48" spans="1:16">
      <c r="A48" t="s">
        <v>30</v>
      </c>
      <c r="B48">
        <v>2</v>
      </c>
      <c r="C48">
        <v>8</v>
      </c>
      <c r="D48">
        <v>6</v>
      </c>
      <c r="E48">
        <v>3</v>
      </c>
      <c r="F48">
        <v>15</v>
      </c>
      <c r="G48" s="3">
        <f t="shared" si="23"/>
        <v>0.0555555555555556</v>
      </c>
      <c r="I48" t="s">
        <v>30</v>
      </c>
      <c r="J48">
        <v>1</v>
      </c>
      <c r="N48">
        <v>2</v>
      </c>
      <c r="O48">
        <f t="shared" si="24"/>
        <v>1</v>
      </c>
      <c r="P48">
        <f t="shared" si="25"/>
        <v>2</v>
      </c>
    </row>
    <row r="49" spans="1:16">
      <c r="A49" t="s">
        <v>31</v>
      </c>
      <c r="B49">
        <v>2</v>
      </c>
      <c r="C49">
        <v>2</v>
      </c>
      <c r="D49">
        <v>12</v>
      </c>
      <c r="E49">
        <v>1</v>
      </c>
      <c r="F49">
        <v>25</v>
      </c>
      <c r="G49" s="3">
        <f t="shared" si="23"/>
        <v>0.0277777777777778</v>
      </c>
      <c r="I49" t="s">
        <v>31</v>
      </c>
      <c r="K49">
        <v>4</v>
      </c>
      <c r="N49">
        <v>4</v>
      </c>
      <c r="O49">
        <f t="shared" si="24"/>
        <v>4</v>
      </c>
      <c r="P49">
        <f t="shared" si="25"/>
        <v>4</v>
      </c>
    </row>
    <row r="50" spans="1:16">
      <c r="A50" t="s">
        <v>32</v>
      </c>
      <c r="B50">
        <v>4</v>
      </c>
      <c r="C50">
        <v>4</v>
      </c>
      <c r="D50">
        <v>4</v>
      </c>
      <c r="E50">
        <v>1</v>
      </c>
      <c r="F50">
        <v>20</v>
      </c>
      <c r="G50" s="3">
        <f t="shared" si="23"/>
        <v>0.037037037037037</v>
      </c>
      <c r="I50" t="s">
        <v>32</v>
      </c>
      <c r="M50">
        <v>4</v>
      </c>
      <c r="O50">
        <f t="shared" si="24"/>
        <v>0</v>
      </c>
      <c r="P50">
        <f t="shared" si="25"/>
        <v>4</v>
      </c>
    </row>
    <row r="51" spans="1:16">
      <c r="A51" t="s">
        <v>34</v>
      </c>
      <c r="B51">
        <v>2</v>
      </c>
      <c r="C51">
        <v>4</v>
      </c>
      <c r="D51">
        <v>12</v>
      </c>
      <c r="E51">
        <v>2</v>
      </c>
      <c r="F51">
        <v>40</v>
      </c>
      <c r="G51" s="3">
        <f t="shared" si="23"/>
        <v>0.0555555555555556</v>
      </c>
      <c r="I51" t="s">
        <v>34</v>
      </c>
      <c r="K51">
        <v>2</v>
      </c>
      <c r="L51">
        <v>2</v>
      </c>
      <c r="O51">
        <f t="shared" si="24"/>
        <v>4</v>
      </c>
      <c r="P51">
        <f t="shared" si="25"/>
        <v>0</v>
      </c>
    </row>
    <row r="52" spans="1:16">
      <c r="A52" t="s">
        <v>36</v>
      </c>
      <c r="B52">
        <v>4</v>
      </c>
      <c r="C52">
        <v>4</v>
      </c>
      <c r="D52">
        <v>4</v>
      </c>
      <c r="E52">
        <v>1</v>
      </c>
      <c r="F52">
        <v>20</v>
      </c>
      <c r="G52" s="3">
        <f t="shared" si="23"/>
        <v>0.037037037037037</v>
      </c>
      <c r="I52" t="s">
        <v>36</v>
      </c>
      <c r="J52">
        <v>1</v>
      </c>
      <c r="L52">
        <v>1</v>
      </c>
      <c r="M52">
        <v>1</v>
      </c>
      <c r="O52">
        <f t="shared" si="24"/>
        <v>2</v>
      </c>
      <c r="P52">
        <f t="shared" si="25"/>
        <v>1</v>
      </c>
    </row>
    <row r="53" spans="1:16">
      <c r="A53" t="s">
        <v>37</v>
      </c>
      <c r="B53">
        <v>4</v>
      </c>
      <c r="C53">
        <v>6</v>
      </c>
      <c r="D53">
        <v>4</v>
      </c>
      <c r="E53">
        <v>2</v>
      </c>
      <c r="F53">
        <v>30</v>
      </c>
      <c r="G53" s="3">
        <f t="shared" si="23"/>
        <v>0.0555555555555556</v>
      </c>
      <c r="I53" t="s">
        <v>37</v>
      </c>
      <c r="J53">
        <v>2</v>
      </c>
      <c r="N53">
        <v>4</v>
      </c>
      <c r="O53">
        <f t="shared" si="24"/>
        <v>2</v>
      </c>
      <c r="P53">
        <f t="shared" si="25"/>
        <v>4</v>
      </c>
    </row>
    <row r="54" spans="1:16">
      <c r="A54" t="s">
        <v>38</v>
      </c>
      <c r="B54">
        <v>6</v>
      </c>
      <c r="C54">
        <v>6</v>
      </c>
      <c r="D54">
        <v>4</v>
      </c>
      <c r="E54">
        <v>2</v>
      </c>
      <c r="F54">
        <v>30</v>
      </c>
      <c r="G54" s="3">
        <f t="shared" si="23"/>
        <v>0.0833333333333333</v>
      </c>
      <c r="I54" t="s">
        <v>38</v>
      </c>
      <c r="J54">
        <v>4</v>
      </c>
      <c r="N54">
        <v>4</v>
      </c>
      <c r="O54">
        <f t="shared" si="24"/>
        <v>4</v>
      </c>
      <c r="P54">
        <f t="shared" si="25"/>
        <v>4</v>
      </c>
    </row>
    <row r="55" spans="1:16">
      <c r="A55" t="s">
        <v>39</v>
      </c>
      <c r="B55">
        <v>2</v>
      </c>
      <c r="C55">
        <v>2</v>
      </c>
      <c r="D55">
        <v>12</v>
      </c>
      <c r="E55">
        <v>1</v>
      </c>
      <c r="F55">
        <v>25</v>
      </c>
      <c r="G55" s="3">
        <f t="shared" si="23"/>
        <v>0.0277777777777778</v>
      </c>
      <c r="I55" t="s">
        <v>39</v>
      </c>
      <c r="J55">
        <v>2</v>
      </c>
      <c r="N55">
        <v>2</v>
      </c>
      <c r="O55">
        <f t="shared" si="24"/>
        <v>2</v>
      </c>
      <c r="P55">
        <f t="shared" si="25"/>
        <v>2</v>
      </c>
    </row>
    <row r="56" spans="1:16">
      <c r="A56" t="s">
        <v>42</v>
      </c>
      <c r="B56">
        <v>2</v>
      </c>
      <c r="C56">
        <v>4</v>
      </c>
      <c r="D56">
        <v>6</v>
      </c>
      <c r="E56">
        <v>1</v>
      </c>
      <c r="F56">
        <v>20</v>
      </c>
      <c r="G56" s="3">
        <f t="shared" si="23"/>
        <v>0.0277777777777778</v>
      </c>
      <c r="I56" t="s">
        <v>42</v>
      </c>
      <c r="K56">
        <v>4</v>
      </c>
      <c r="L56">
        <v>2</v>
      </c>
      <c r="M56">
        <v>2</v>
      </c>
      <c r="N56">
        <v>2</v>
      </c>
      <c r="O56">
        <f t="shared" si="24"/>
        <v>6</v>
      </c>
      <c r="P56">
        <f t="shared" si="25"/>
        <v>4</v>
      </c>
    </row>
    <row r="57" spans="1:16">
      <c r="A57" t="s">
        <v>43</v>
      </c>
      <c r="B57">
        <v>4</v>
      </c>
      <c r="C57">
        <v>6</v>
      </c>
      <c r="D57">
        <v>4</v>
      </c>
      <c r="E57">
        <v>2</v>
      </c>
      <c r="F57">
        <v>25</v>
      </c>
      <c r="G57" s="3">
        <f t="shared" si="23"/>
        <v>0.0555555555555556</v>
      </c>
      <c r="I57" t="s">
        <v>43</v>
      </c>
      <c r="M57">
        <v>2</v>
      </c>
      <c r="O57">
        <f t="shared" si="24"/>
        <v>0</v>
      </c>
      <c r="P57">
        <f t="shared" si="25"/>
        <v>2</v>
      </c>
    </row>
    <row r="58" spans="1:16">
      <c r="A58" t="s">
        <v>44</v>
      </c>
      <c r="B58">
        <v>4</v>
      </c>
      <c r="C58">
        <v>4</v>
      </c>
      <c r="D58">
        <v>4</v>
      </c>
      <c r="E58">
        <v>1</v>
      </c>
      <c r="F58">
        <v>20</v>
      </c>
      <c r="G58" s="3">
        <f t="shared" si="23"/>
        <v>0.037037037037037</v>
      </c>
      <c r="I58" t="s">
        <v>44</v>
      </c>
      <c r="K58">
        <v>1</v>
      </c>
      <c r="L58">
        <v>4</v>
      </c>
      <c r="O58">
        <f t="shared" si="24"/>
        <v>5</v>
      </c>
      <c r="P58">
        <f t="shared" si="25"/>
        <v>0</v>
      </c>
    </row>
    <row r="59" spans="1:16">
      <c r="A59" t="s">
        <v>45</v>
      </c>
      <c r="B59">
        <v>12</v>
      </c>
      <c r="C59">
        <v>2</v>
      </c>
      <c r="D59">
        <v>2</v>
      </c>
      <c r="E59">
        <v>4</v>
      </c>
      <c r="F59">
        <v>80</v>
      </c>
      <c r="G59" s="3">
        <f t="shared" si="23"/>
        <v>0.0277777777777778</v>
      </c>
      <c r="I59" t="s">
        <v>45</v>
      </c>
      <c r="J59">
        <v>2</v>
      </c>
      <c r="N59">
        <v>2</v>
      </c>
      <c r="O59">
        <f t="shared" si="24"/>
        <v>2</v>
      </c>
      <c r="P59">
        <f t="shared" si="25"/>
        <v>2</v>
      </c>
    </row>
    <row r="60" spans="1:16">
      <c r="A60" t="s">
        <v>46</v>
      </c>
      <c r="B60">
        <v>12</v>
      </c>
      <c r="C60">
        <v>2</v>
      </c>
      <c r="D60">
        <v>2</v>
      </c>
      <c r="E60">
        <v>4</v>
      </c>
      <c r="F60">
        <v>80</v>
      </c>
      <c r="G60" s="3">
        <f t="shared" si="23"/>
        <v>0.0277777777777778</v>
      </c>
      <c r="I60" t="s">
        <v>46</v>
      </c>
      <c r="J60">
        <v>4</v>
      </c>
      <c r="K60">
        <v>1</v>
      </c>
      <c r="N60">
        <v>4</v>
      </c>
      <c r="O60">
        <f t="shared" si="24"/>
        <v>5</v>
      </c>
      <c r="P60">
        <f t="shared" si="25"/>
        <v>4</v>
      </c>
    </row>
    <row r="61" spans="1:16">
      <c r="A61" t="s">
        <v>47</v>
      </c>
      <c r="B61">
        <v>12</v>
      </c>
      <c r="C61">
        <v>2</v>
      </c>
      <c r="D61">
        <v>2</v>
      </c>
      <c r="E61">
        <v>4</v>
      </c>
      <c r="F61">
        <v>80</v>
      </c>
      <c r="G61" s="3">
        <f t="shared" si="23"/>
        <v>0.0277777777777778</v>
      </c>
      <c r="I61" t="s">
        <v>47</v>
      </c>
      <c r="K61">
        <v>2</v>
      </c>
      <c r="L61">
        <v>4</v>
      </c>
      <c r="M61">
        <v>4</v>
      </c>
      <c r="N61">
        <v>1</v>
      </c>
      <c r="O61">
        <f t="shared" si="24"/>
        <v>6</v>
      </c>
      <c r="P61">
        <f t="shared" si="25"/>
        <v>5</v>
      </c>
    </row>
    <row r="62" spans="1:16">
      <c r="A62" t="s">
        <v>48</v>
      </c>
      <c r="B62">
        <v>12</v>
      </c>
      <c r="C62">
        <v>2</v>
      </c>
      <c r="D62">
        <v>2</v>
      </c>
      <c r="E62">
        <v>4</v>
      </c>
      <c r="F62">
        <v>80</v>
      </c>
      <c r="G62" s="3">
        <f t="shared" si="23"/>
        <v>0.0277777777777778</v>
      </c>
      <c r="I62" t="s">
        <v>48</v>
      </c>
      <c r="K62">
        <v>2</v>
      </c>
      <c r="L62">
        <v>3</v>
      </c>
      <c r="M62">
        <v>3</v>
      </c>
      <c r="O62">
        <f t="shared" si="24"/>
        <v>5</v>
      </c>
      <c r="P62">
        <f t="shared" si="25"/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zoomScale="80" zoomScaleNormal="80" topLeftCell="A5" workbookViewId="0">
      <selection activeCell="D26" sqref="D26"/>
    </sheetView>
  </sheetViews>
  <sheetFormatPr defaultColWidth="8.88888888888889" defaultRowHeight="17.6"/>
  <cols>
    <col min="2" max="2" width="31.1319444444444" customWidth="1"/>
    <col min="3" max="3" width="12.5555555555556"/>
    <col min="4" max="4" width="10.8402777777778" customWidth="1"/>
    <col min="7" max="7" width="12.5555555555556"/>
    <col min="9" max="10" width="12.5555555555556"/>
    <col min="12" max="12" width="12.5555555555556"/>
    <col min="18" max="18" width="15.1875" customWidth="1"/>
    <col min="19" max="19" width="15.7638888888889" customWidth="1"/>
    <col min="20" max="20" width="9.82638888888889" customWidth="1"/>
    <col min="21" max="21" width="10.9930555555556" customWidth="1"/>
  </cols>
  <sheetData>
    <row r="1" spans="2:19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</row>
    <row r="2" ht="18" spans="1:19">
      <c r="A2" t="s">
        <v>24</v>
      </c>
      <c r="B2" t="s">
        <v>115</v>
      </c>
      <c r="C2" t="s">
        <v>116</v>
      </c>
      <c r="D2" t="s">
        <v>115</v>
      </c>
      <c r="E2" t="s">
        <v>117</v>
      </c>
      <c r="F2" t="s">
        <v>118</v>
      </c>
      <c r="G2" t="s">
        <v>119</v>
      </c>
      <c r="H2" t="s">
        <v>120</v>
      </c>
      <c r="I2">
        <f>_xlfn.XLOOKUP(A2,$A$2:$A$21,$C$26:$C$45)</f>
        <v>3060.29326923077</v>
      </c>
      <c r="J2" t="str">
        <f t="shared" ref="J2:O2" si="0">IF(AND(B2&lt;&gt;"",C2&lt;&gt;"",B2&lt;&gt;C2),B2&amp;"-&gt;"&amp;C2,"")</f>
        <v>B-&gt;A</v>
      </c>
      <c r="K2" s="3" t="str">
        <f t="shared" si="0"/>
        <v>A-&gt;B</v>
      </c>
      <c r="L2" s="3" t="str">
        <f t="shared" si="0"/>
        <v>B-&gt;C</v>
      </c>
      <c r="M2" s="3" t="str">
        <f t="shared" si="0"/>
        <v>C-&gt;D</v>
      </c>
      <c r="N2" s="3" t="str">
        <f t="shared" si="0"/>
        <v>D-&gt;I</v>
      </c>
      <c r="O2" s="3" t="str">
        <f t="shared" si="0"/>
        <v>I-&gt;J</v>
      </c>
      <c r="P2" s="4" t="s">
        <v>116</v>
      </c>
      <c r="Q2" s="4" t="s">
        <v>115</v>
      </c>
      <c r="R2" s="3">
        <f>SUMPRODUCT($I$2:$I$21*(($J$2:$J$21=$P2&amp;"-&gt;"&amp;$Q2)+($K$2:$K$21=$P2&amp;"-&gt;"&amp;$Q2)+($L$2:$L$21=$P2&amp;"-&gt;"&amp;$Q2)+($M$2:$M$21=$P2&amp;"-&gt;"&amp;$Q2)+($N$2:$N$21=$P2&amp;"-&gt;"&amp;$Q2)+($O$2:$O$21=$P2&amp;"-&gt;"&amp;$Q2)))</f>
        <v>4994.81730769231</v>
      </c>
      <c r="S2" s="3">
        <f>SUMPRODUCT($D$26:$D$45*(($J$2:$J$21=$P2&amp;"-&gt;"&amp;$Q2)+($K$2:$K$21=$P2&amp;"-&gt;"&amp;$Q2)+($L$2:$L$21=$P2&amp;"-&gt;"&amp;$Q2)+($M$2:$M$21=$P2&amp;"-&gt;"&amp;$Q2)+($N$2:$N$21=$P2&amp;"-&gt;"&amp;$Q2)+($O$2:$O$21=$P2&amp;"-&gt;"&amp;$Q2)))</f>
        <v>62.4352163461539</v>
      </c>
    </row>
    <row r="3" ht="18" spans="1:19">
      <c r="A3" t="s">
        <v>25</v>
      </c>
      <c r="B3" t="s">
        <v>116</v>
      </c>
      <c r="C3" t="s">
        <v>117</v>
      </c>
      <c r="D3" t="s">
        <v>118</v>
      </c>
      <c r="E3" t="s">
        <v>121</v>
      </c>
      <c r="F3" t="s">
        <v>120</v>
      </c>
      <c r="I3">
        <f t="shared" ref="I3:I21" si="1">_xlfn.XLOOKUP(A3,$A$2:$A$21,$C$26:$C$45)</f>
        <v>1592.75</v>
      </c>
      <c r="J3" t="str">
        <f t="shared" ref="J3:J21" si="2">IF(AND(B3&lt;&gt;"",C3&lt;&gt;"",B3&lt;&gt;C3),B3&amp;"-&gt;"&amp;C3,"")</f>
        <v>A-&gt;C</v>
      </c>
      <c r="K3" s="3" t="str">
        <f t="shared" ref="K3:K21" si="3">IF(AND(C3&lt;&gt;"",D3&lt;&gt;"",C3&lt;&gt;D3),C3&amp;"-&gt;"&amp;D3,"")</f>
        <v>C-&gt;D</v>
      </c>
      <c r="L3" s="3" t="str">
        <f t="shared" ref="L3:L21" si="4">IF(AND(D3&lt;&gt;"",E3&lt;&gt;"",D3&lt;&gt;E3),D3&amp;"-&gt;"&amp;E3,"")</f>
        <v>D-&gt;H</v>
      </c>
      <c r="M3" s="3" t="str">
        <f t="shared" ref="M3:M21" si="5">IF(AND(E3&lt;&gt;"",F3&lt;&gt;"",E3&lt;&gt;F3),E3&amp;"-&gt;"&amp;F3,"")</f>
        <v>H-&gt;J</v>
      </c>
      <c r="N3" s="3" t="str">
        <f t="shared" ref="N3:N21" si="6">IF(AND(F3&lt;&gt;"",G3&lt;&gt;"",F3&lt;&gt;G3),F3&amp;"-&gt;"&amp;G3,"")</f>
        <v/>
      </c>
      <c r="O3" s="3" t="str">
        <f t="shared" ref="O3:O21" si="7">IF(AND(G3&lt;&gt;"",H3&lt;&gt;"",G3&lt;&gt;H3),G3&amp;"-&gt;"&amp;H3,"")</f>
        <v/>
      </c>
      <c r="P3" s="4" t="s">
        <v>116</v>
      </c>
      <c r="Q3" s="4" t="s">
        <v>117</v>
      </c>
      <c r="R3" s="3">
        <f t="shared" ref="R3:R30" si="8">SUMPRODUCT($I$2:$I$21*(($J$2:$J$21=$P3&amp;"-&gt;"&amp;$Q3)+($K$2:$K$21=$P3&amp;"-&gt;"&amp;$Q3)+($L$2:$L$21=$P3&amp;"-&gt;"&amp;$Q3)+($M$2:$M$21=$P3&amp;"-&gt;"&amp;$Q3)+($N$2:$N$21=$P3&amp;"-&gt;"&amp;$Q3)+($O$2:$O$21=$P3&amp;"-&gt;"&amp;$Q3)))</f>
        <v>1592.75</v>
      </c>
      <c r="S3" s="3">
        <f t="shared" ref="S3:S30" si="9">SUMPRODUCT($D$26:$D$45*(($J$2:$J$21=$P3&amp;"-&gt;"&amp;$Q3)+($K$2:$K$21=$P3&amp;"-&gt;"&amp;$Q3)+($L$2:$L$21=$P3&amp;"-&gt;"&amp;$Q3)+($M$2:$M$21=$P3&amp;"-&gt;"&amp;$Q3)+($N$2:$N$21=$P3&amp;"-&gt;"&amp;$Q3)+($O$2:$O$21=$P3&amp;"-&gt;"&amp;$Q3)))</f>
        <v>19.909375</v>
      </c>
    </row>
    <row r="4" ht="18" spans="1:19">
      <c r="A4" t="s">
        <v>26</v>
      </c>
      <c r="B4" t="s">
        <v>115</v>
      </c>
      <c r="C4" t="s">
        <v>118</v>
      </c>
      <c r="D4" t="s">
        <v>117</v>
      </c>
      <c r="E4" t="s">
        <v>119</v>
      </c>
      <c r="F4" t="s">
        <v>120</v>
      </c>
      <c r="I4">
        <f t="shared" si="1"/>
        <v>829.307692307692</v>
      </c>
      <c r="J4" t="str">
        <f t="shared" si="2"/>
        <v>B-&gt;D</v>
      </c>
      <c r="K4" s="3" t="str">
        <f t="shared" si="3"/>
        <v>D-&gt;C</v>
      </c>
      <c r="L4" s="3" t="str">
        <f t="shared" si="4"/>
        <v>C-&gt;I</v>
      </c>
      <c r="M4" s="3" t="str">
        <f t="shared" si="5"/>
        <v>I-&gt;J</v>
      </c>
      <c r="N4" s="3" t="str">
        <f t="shared" si="6"/>
        <v/>
      </c>
      <c r="O4" s="3" t="str">
        <f t="shared" si="7"/>
        <v/>
      </c>
      <c r="P4" s="4" t="s">
        <v>115</v>
      </c>
      <c r="Q4" s="4" t="s">
        <v>116</v>
      </c>
      <c r="R4" s="3">
        <f t="shared" si="8"/>
        <v>3060.29326923077</v>
      </c>
      <c r="S4" s="3">
        <f t="shared" si="9"/>
        <v>38.2536658653846</v>
      </c>
    </row>
    <row r="5" ht="18" spans="1:19">
      <c r="A5" t="s">
        <v>27</v>
      </c>
      <c r="B5" t="s">
        <v>116</v>
      </c>
      <c r="C5" t="s">
        <v>115</v>
      </c>
      <c r="D5" t="s">
        <v>118</v>
      </c>
      <c r="E5" t="s">
        <v>122</v>
      </c>
      <c r="F5" t="s">
        <v>121</v>
      </c>
      <c r="I5">
        <f t="shared" si="1"/>
        <v>1350.92307692308</v>
      </c>
      <c r="J5" t="str">
        <f t="shared" si="2"/>
        <v>A-&gt;B</v>
      </c>
      <c r="K5" s="3" t="str">
        <f t="shared" si="3"/>
        <v>B-&gt;D</v>
      </c>
      <c r="L5" s="3" t="str">
        <f t="shared" si="4"/>
        <v>D-&gt;G</v>
      </c>
      <c r="M5" s="3" t="str">
        <f t="shared" si="5"/>
        <v>G-&gt;H</v>
      </c>
      <c r="N5" s="3" t="str">
        <f t="shared" si="6"/>
        <v/>
      </c>
      <c r="O5" s="3" t="str">
        <f t="shared" si="7"/>
        <v/>
      </c>
      <c r="P5" s="4" t="s">
        <v>115</v>
      </c>
      <c r="Q5" s="4" t="s">
        <v>117</v>
      </c>
      <c r="R5" s="3">
        <f t="shared" si="8"/>
        <v>4692.74038461539</v>
      </c>
      <c r="S5" s="3">
        <f t="shared" si="9"/>
        <v>58.6592548076923</v>
      </c>
    </row>
    <row r="6" ht="18" spans="1:19">
      <c r="A6" t="s">
        <v>29</v>
      </c>
      <c r="B6" t="s">
        <v>115</v>
      </c>
      <c r="C6" t="s">
        <v>117</v>
      </c>
      <c r="D6" t="s">
        <v>118</v>
      </c>
      <c r="E6" t="s">
        <v>119</v>
      </c>
      <c r="I6">
        <f t="shared" si="1"/>
        <v>1048.84615384615</v>
      </c>
      <c r="J6" t="str">
        <f t="shared" si="2"/>
        <v>B-&gt;C</v>
      </c>
      <c r="K6" s="3" t="str">
        <f t="shared" si="3"/>
        <v>C-&gt;D</v>
      </c>
      <c r="L6" s="3" t="str">
        <f t="shared" si="4"/>
        <v>D-&gt;I</v>
      </c>
      <c r="M6" s="3" t="str">
        <f t="shared" si="5"/>
        <v/>
      </c>
      <c r="N6" s="3" t="str">
        <f t="shared" si="6"/>
        <v/>
      </c>
      <c r="O6" s="3" t="str">
        <f t="shared" si="7"/>
        <v/>
      </c>
      <c r="P6" s="4" t="s">
        <v>115</v>
      </c>
      <c r="Q6" s="4" t="s">
        <v>118</v>
      </c>
      <c r="R6" s="3">
        <f t="shared" si="8"/>
        <v>2180.23076923077</v>
      </c>
      <c r="S6" s="3">
        <f t="shared" si="9"/>
        <v>27.2528846153846</v>
      </c>
    </row>
    <row r="7" ht="18" spans="1:19">
      <c r="A7" t="s">
        <v>30</v>
      </c>
      <c r="B7" t="s">
        <v>116</v>
      </c>
      <c r="C7" t="s">
        <v>115</v>
      </c>
      <c r="D7" t="s">
        <v>117</v>
      </c>
      <c r="E7" t="s">
        <v>118</v>
      </c>
      <c r="F7" t="s">
        <v>121</v>
      </c>
      <c r="G7" t="s">
        <v>119</v>
      </c>
      <c r="H7" t="s">
        <v>120</v>
      </c>
      <c r="I7">
        <f t="shared" si="1"/>
        <v>583.600961538462</v>
      </c>
      <c r="J7" t="str">
        <f t="shared" si="2"/>
        <v>A-&gt;B</v>
      </c>
      <c r="K7" s="3" t="str">
        <f t="shared" si="3"/>
        <v>B-&gt;C</v>
      </c>
      <c r="L7" s="3" t="str">
        <f t="shared" si="4"/>
        <v>C-&gt;D</v>
      </c>
      <c r="M7" s="3" t="str">
        <f t="shared" si="5"/>
        <v>D-&gt;H</v>
      </c>
      <c r="N7" s="3" t="str">
        <f t="shared" si="6"/>
        <v>H-&gt;I</v>
      </c>
      <c r="O7" s="3" t="str">
        <f t="shared" si="7"/>
        <v>I-&gt;J</v>
      </c>
      <c r="P7" s="4" t="s">
        <v>117</v>
      </c>
      <c r="Q7" s="4" t="s">
        <v>118</v>
      </c>
      <c r="R7" s="3">
        <f t="shared" si="8"/>
        <v>8351.49038461539</v>
      </c>
      <c r="S7" s="3">
        <f t="shared" si="9"/>
        <v>104.393629807692</v>
      </c>
    </row>
    <row r="8" ht="18" spans="1:19">
      <c r="A8" t="s">
        <v>31</v>
      </c>
      <c r="B8" t="s">
        <v>123</v>
      </c>
      <c r="C8" t="s">
        <v>124</v>
      </c>
      <c r="D8" t="s">
        <v>117</v>
      </c>
      <c r="E8" t="s">
        <v>118</v>
      </c>
      <c r="F8" t="s">
        <v>119</v>
      </c>
      <c r="G8" t="s">
        <v>120</v>
      </c>
      <c r="I8">
        <f t="shared" si="1"/>
        <v>2066</v>
      </c>
      <c r="J8" t="str">
        <f t="shared" si="2"/>
        <v>E-&gt;F</v>
      </c>
      <c r="K8" s="3" t="str">
        <f t="shared" si="3"/>
        <v>F-&gt;C</v>
      </c>
      <c r="L8" s="3" t="str">
        <f t="shared" si="4"/>
        <v>C-&gt;D</v>
      </c>
      <c r="M8" s="3" t="str">
        <f t="shared" si="5"/>
        <v>D-&gt;I</v>
      </c>
      <c r="N8" s="3" t="str">
        <f t="shared" si="6"/>
        <v>I-&gt;J</v>
      </c>
      <c r="O8" s="3" t="str">
        <f t="shared" si="7"/>
        <v/>
      </c>
      <c r="P8" s="4" t="s">
        <v>117</v>
      </c>
      <c r="Q8" s="4" t="s">
        <v>119</v>
      </c>
      <c r="R8" s="3">
        <f t="shared" si="8"/>
        <v>829.307692307692</v>
      </c>
      <c r="S8" s="3">
        <f t="shared" si="9"/>
        <v>10.3663461538462</v>
      </c>
    </row>
    <row r="9" ht="18" spans="1:19">
      <c r="A9" t="s">
        <v>32</v>
      </c>
      <c r="B9" t="s">
        <v>123</v>
      </c>
      <c r="C9" t="s">
        <v>121</v>
      </c>
      <c r="D9" t="s">
        <v>120</v>
      </c>
      <c r="E9" t="s">
        <v>119</v>
      </c>
      <c r="I9">
        <f t="shared" si="1"/>
        <v>604.153846153846</v>
      </c>
      <c r="J9" t="str">
        <f t="shared" si="2"/>
        <v>E-&gt;H</v>
      </c>
      <c r="K9" s="3" t="str">
        <f t="shared" si="3"/>
        <v>H-&gt;J</v>
      </c>
      <c r="L9" s="3" t="str">
        <f t="shared" si="4"/>
        <v>J-&gt;I</v>
      </c>
      <c r="M9" s="3" t="str">
        <f t="shared" si="5"/>
        <v/>
      </c>
      <c r="N9" s="3" t="str">
        <f t="shared" si="6"/>
        <v/>
      </c>
      <c r="O9" s="3" t="str">
        <f t="shared" si="7"/>
        <v/>
      </c>
      <c r="P9" s="4" t="s">
        <v>118</v>
      </c>
      <c r="Q9" s="4" t="s">
        <v>117</v>
      </c>
      <c r="R9" s="3">
        <f t="shared" si="8"/>
        <v>829.307692307692</v>
      </c>
      <c r="S9" s="3">
        <f t="shared" si="9"/>
        <v>10.3663461538462</v>
      </c>
    </row>
    <row r="10" ht="18" spans="1:19">
      <c r="A10" t="s">
        <v>34</v>
      </c>
      <c r="B10" t="s">
        <v>124</v>
      </c>
      <c r="C10" t="s">
        <v>122</v>
      </c>
      <c r="D10" t="s">
        <v>123</v>
      </c>
      <c r="E10" t="s">
        <v>122</v>
      </c>
      <c r="F10" t="s">
        <v>119</v>
      </c>
      <c r="G10" t="s">
        <v>120</v>
      </c>
      <c r="I10">
        <f t="shared" si="1"/>
        <v>1340.19230769231</v>
      </c>
      <c r="J10" t="str">
        <f t="shared" si="2"/>
        <v>F-&gt;G</v>
      </c>
      <c r="K10" s="3" t="str">
        <f t="shared" si="3"/>
        <v>G-&gt;E</v>
      </c>
      <c r="L10" s="3" t="str">
        <f t="shared" si="4"/>
        <v>E-&gt;G</v>
      </c>
      <c r="M10" s="3" t="str">
        <f t="shared" si="5"/>
        <v>G-&gt;I</v>
      </c>
      <c r="N10" s="3" t="str">
        <f t="shared" si="6"/>
        <v>I-&gt;J</v>
      </c>
      <c r="O10" s="3" t="str">
        <f t="shared" si="7"/>
        <v/>
      </c>
      <c r="P10" s="4" t="s">
        <v>118</v>
      </c>
      <c r="Q10" s="4" t="s">
        <v>122</v>
      </c>
      <c r="R10" s="3">
        <f t="shared" si="8"/>
        <v>1350.92307692308</v>
      </c>
      <c r="S10" s="3">
        <f t="shared" si="9"/>
        <v>16.8865384615385</v>
      </c>
    </row>
    <row r="11" ht="18" spans="1:19">
      <c r="A11" t="s">
        <v>36</v>
      </c>
      <c r="B11" t="s">
        <v>123</v>
      </c>
      <c r="C11" t="s">
        <v>124</v>
      </c>
      <c r="D11" t="s">
        <v>119</v>
      </c>
      <c r="E11" t="s">
        <v>120</v>
      </c>
      <c r="I11">
        <f t="shared" si="1"/>
        <v>663.081730769231</v>
      </c>
      <c r="J11" t="str">
        <f t="shared" si="2"/>
        <v>E-&gt;F</v>
      </c>
      <c r="K11" s="3" t="str">
        <f t="shared" si="3"/>
        <v>F-&gt;I</v>
      </c>
      <c r="L11" s="3" t="str">
        <f t="shared" si="4"/>
        <v>I-&gt;J</v>
      </c>
      <c r="M11" s="3" t="str">
        <f t="shared" si="5"/>
        <v/>
      </c>
      <c r="N11" s="3" t="str">
        <f t="shared" si="6"/>
        <v/>
      </c>
      <c r="O11" s="3" t="str">
        <f t="shared" si="7"/>
        <v/>
      </c>
      <c r="P11" s="4" t="s">
        <v>118</v>
      </c>
      <c r="Q11" s="4" t="s">
        <v>121</v>
      </c>
      <c r="R11" s="3">
        <f t="shared" si="8"/>
        <v>2176.35096153846</v>
      </c>
      <c r="S11" s="3">
        <f t="shared" si="9"/>
        <v>27.2043870192308</v>
      </c>
    </row>
    <row r="12" ht="18" spans="1:19">
      <c r="A12" t="s">
        <v>37</v>
      </c>
      <c r="B12" t="s">
        <v>123</v>
      </c>
      <c r="C12" t="s">
        <v>122</v>
      </c>
      <c r="D12" t="s">
        <v>123</v>
      </c>
      <c r="E12" t="s">
        <v>122</v>
      </c>
      <c r="F12" t="s">
        <v>119</v>
      </c>
      <c r="I12">
        <f t="shared" si="1"/>
        <v>1167.20192307692</v>
      </c>
      <c r="J12" t="str">
        <f t="shared" si="2"/>
        <v>E-&gt;G</v>
      </c>
      <c r="K12" s="3" t="str">
        <f t="shared" si="3"/>
        <v>G-&gt;E</v>
      </c>
      <c r="L12" s="3" t="str">
        <f t="shared" si="4"/>
        <v>E-&gt;G</v>
      </c>
      <c r="M12" s="3" t="str">
        <f t="shared" si="5"/>
        <v>G-&gt;I</v>
      </c>
      <c r="N12" s="3" t="str">
        <f t="shared" si="6"/>
        <v/>
      </c>
      <c r="O12" s="3" t="str">
        <f t="shared" si="7"/>
        <v/>
      </c>
      <c r="P12" s="4" t="s">
        <v>118</v>
      </c>
      <c r="Q12" s="4" t="s">
        <v>119</v>
      </c>
      <c r="R12" s="3">
        <f t="shared" si="8"/>
        <v>6175.13942307692</v>
      </c>
      <c r="S12" s="3">
        <f t="shared" si="9"/>
        <v>77.1892427884616</v>
      </c>
    </row>
    <row r="13" ht="18" spans="1:19">
      <c r="A13" t="s">
        <v>38</v>
      </c>
      <c r="B13" t="s">
        <v>123</v>
      </c>
      <c r="C13" t="s">
        <v>122</v>
      </c>
      <c r="D13" t="s">
        <v>124</v>
      </c>
      <c r="E13" t="s">
        <v>119</v>
      </c>
      <c r="F13" t="s">
        <v>120</v>
      </c>
      <c r="I13">
        <f t="shared" si="1"/>
        <v>1433.78846153846</v>
      </c>
      <c r="J13" t="str">
        <f t="shared" si="2"/>
        <v>E-&gt;G</v>
      </c>
      <c r="K13" s="3" t="str">
        <f t="shared" si="3"/>
        <v>G-&gt;F</v>
      </c>
      <c r="L13" s="3" t="str">
        <f t="shared" si="4"/>
        <v>F-&gt;I</v>
      </c>
      <c r="M13" s="3" t="str">
        <f t="shared" si="5"/>
        <v>I-&gt;J</v>
      </c>
      <c r="N13" s="3" t="str">
        <f t="shared" si="6"/>
        <v/>
      </c>
      <c r="O13" s="3" t="str">
        <f t="shared" si="7"/>
        <v/>
      </c>
      <c r="P13" s="4" t="s">
        <v>123</v>
      </c>
      <c r="Q13" s="4" t="s">
        <v>124</v>
      </c>
      <c r="R13" s="3">
        <f t="shared" si="8"/>
        <v>6121.24519230769</v>
      </c>
      <c r="S13" s="3">
        <f t="shared" si="9"/>
        <v>76.5155649038462</v>
      </c>
    </row>
    <row r="14" ht="18" spans="1:19">
      <c r="A14" t="s">
        <v>39</v>
      </c>
      <c r="B14" t="s">
        <v>123</v>
      </c>
      <c r="C14" t="s">
        <v>124</v>
      </c>
      <c r="D14" t="s">
        <v>122</v>
      </c>
      <c r="E14" t="s">
        <v>124</v>
      </c>
      <c r="F14" t="s">
        <v>122</v>
      </c>
      <c r="G14" t="s">
        <v>121</v>
      </c>
      <c r="H14" t="s">
        <v>119</v>
      </c>
      <c r="I14">
        <f t="shared" si="1"/>
        <v>716.894230769231</v>
      </c>
      <c r="J14" t="str">
        <f t="shared" si="2"/>
        <v>E-&gt;F</v>
      </c>
      <c r="K14" s="3" t="str">
        <f t="shared" si="3"/>
        <v>F-&gt;G</v>
      </c>
      <c r="L14" s="3" t="str">
        <f t="shared" si="4"/>
        <v>G-&gt;F</v>
      </c>
      <c r="M14" s="3" t="str">
        <f t="shared" si="5"/>
        <v>F-&gt;G</v>
      </c>
      <c r="N14" s="3" t="str">
        <f t="shared" si="6"/>
        <v>G-&gt;H</v>
      </c>
      <c r="O14" s="3" t="str">
        <f t="shared" si="7"/>
        <v>H-&gt;I</v>
      </c>
      <c r="P14" s="4" t="s">
        <v>123</v>
      </c>
      <c r="Q14" s="4" t="s">
        <v>122</v>
      </c>
      <c r="R14" s="3">
        <f t="shared" si="8"/>
        <v>5410.46153846154</v>
      </c>
      <c r="S14" s="3">
        <f t="shared" si="9"/>
        <v>67.6307692307692</v>
      </c>
    </row>
    <row r="15" ht="18" spans="1:19">
      <c r="A15" t="s">
        <v>42</v>
      </c>
      <c r="B15" t="s">
        <v>123</v>
      </c>
      <c r="C15" t="s">
        <v>124</v>
      </c>
      <c r="D15" t="s">
        <v>122</v>
      </c>
      <c r="E15" t="s">
        <v>121</v>
      </c>
      <c r="I15">
        <f t="shared" si="1"/>
        <v>2675.26923076923</v>
      </c>
      <c r="J15" t="str">
        <f t="shared" si="2"/>
        <v>E-&gt;F</v>
      </c>
      <c r="K15" s="3" t="str">
        <f t="shared" si="3"/>
        <v>F-&gt;G</v>
      </c>
      <c r="L15" s="3" t="str">
        <f t="shared" si="4"/>
        <v>G-&gt;H</v>
      </c>
      <c r="M15" s="3" t="str">
        <f t="shared" si="5"/>
        <v/>
      </c>
      <c r="N15" s="3" t="str">
        <f t="shared" si="6"/>
        <v/>
      </c>
      <c r="O15" s="3" t="str">
        <f t="shared" si="7"/>
        <v/>
      </c>
      <c r="P15" s="4" t="s">
        <v>123</v>
      </c>
      <c r="Q15" s="4" t="s">
        <v>121</v>
      </c>
      <c r="R15" s="3">
        <f t="shared" si="8"/>
        <v>604.153846153846</v>
      </c>
      <c r="S15" s="3">
        <f t="shared" si="9"/>
        <v>7.55192307692308</v>
      </c>
    </row>
    <row r="16" ht="18" spans="1:19">
      <c r="A16" t="s">
        <v>43</v>
      </c>
      <c r="B16" t="s">
        <v>123</v>
      </c>
      <c r="C16" t="s">
        <v>122</v>
      </c>
      <c r="D16" t="s">
        <v>124</v>
      </c>
      <c r="E16" t="s">
        <v>121</v>
      </c>
      <c r="F16" t="s">
        <v>120</v>
      </c>
      <c r="I16">
        <f t="shared" si="1"/>
        <v>302.076923076923</v>
      </c>
      <c r="J16" t="str">
        <f t="shared" si="2"/>
        <v>E-&gt;G</v>
      </c>
      <c r="K16" s="3" t="str">
        <f t="shared" si="3"/>
        <v>G-&gt;F</v>
      </c>
      <c r="L16" s="3" t="str">
        <f t="shared" si="4"/>
        <v>F-&gt;H</v>
      </c>
      <c r="M16" s="3" t="str">
        <f t="shared" si="5"/>
        <v>H-&gt;J</v>
      </c>
      <c r="N16" s="3" t="str">
        <f t="shared" si="6"/>
        <v/>
      </c>
      <c r="O16" s="3" t="str">
        <f t="shared" si="7"/>
        <v/>
      </c>
      <c r="P16" s="4" t="s">
        <v>124</v>
      </c>
      <c r="Q16" s="4" t="s">
        <v>117</v>
      </c>
      <c r="R16" s="3">
        <f t="shared" si="8"/>
        <v>2066</v>
      </c>
      <c r="S16" s="3">
        <f t="shared" si="9"/>
        <v>25.825</v>
      </c>
    </row>
    <row r="17" ht="18" spans="1:19">
      <c r="A17" t="s">
        <v>44</v>
      </c>
      <c r="B17" t="s">
        <v>124</v>
      </c>
      <c r="C17" t="s">
        <v>121</v>
      </c>
      <c r="D17" t="s">
        <v>119</v>
      </c>
      <c r="E17" t="s">
        <v>120</v>
      </c>
      <c r="I17">
        <f t="shared" si="1"/>
        <v>1806.34615384615</v>
      </c>
      <c r="J17" t="str">
        <f t="shared" si="2"/>
        <v>F-&gt;H</v>
      </c>
      <c r="K17" s="3" t="str">
        <f t="shared" si="3"/>
        <v>H-&gt;I</v>
      </c>
      <c r="L17" s="3" t="str">
        <f t="shared" si="4"/>
        <v>I-&gt;J</v>
      </c>
      <c r="M17" s="3" t="str">
        <f t="shared" si="5"/>
        <v/>
      </c>
      <c r="N17" s="3" t="str">
        <f t="shared" si="6"/>
        <v/>
      </c>
      <c r="O17" s="3" t="str">
        <f t="shared" si="7"/>
        <v/>
      </c>
      <c r="P17" s="4" t="s">
        <v>124</v>
      </c>
      <c r="Q17" s="4" t="s">
        <v>122</v>
      </c>
      <c r="R17" s="3">
        <f t="shared" si="8"/>
        <v>5449.25</v>
      </c>
      <c r="S17" s="3">
        <f t="shared" si="9"/>
        <v>68.115625</v>
      </c>
    </row>
    <row r="18" ht="18" spans="1:19">
      <c r="A18" t="s">
        <v>45</v>
      </c>
      <c r="B18" t="s">
        <v>125</v>
      </c>
      <c r="C18" t="s">
        <v>126</v>
      </c>
      <c r="D18" t="s">
        <v>127</v>
      </c>
      <c r="I18">
        <f t="shared" si="1"/>
        <v>716.894230769231</v>
      </c>
      <c r="J18" t="str">
        <f t="shared" si="2"/>
        <v>K-&gt;L</v>
      </c>
      <c r="K18" s="3" t="str">
        <f t="shared" si="3"/>
        <v>L-&gt;M</v>
      </c>
      <c r="L18" s="3" t="str">
        <f t="shared" si="4"/>
        <v/>
      </c>
      <c r="M18" s="3" t="str">
        <f t="shared" si="5"/>
        <v/>
      </c>
      <c r="N18" s="3" t="str">
        <f t="shared" si="6"/>
        <v/>
      </c>
      <c r="O18" s="3" t="str">
        <f t="shared" si="7"/>
        <v/>
      </c>
      <c r="P18" s="4" t="s">
        <v>124</v>
      </c>
      <c r="Q18" s="4" t="s">
        <v>121</v>
      </c>
      <c r="R18" s="3">
        <f t="shared" si="8"/>
        <v>2108.42307692308</v>
      </c>
      <c r="S18" s="3">
        <f t="shared" si="9"/>
        <v>26.3552884615385</v>
      </c>
    </row>
    <row r="19" ht="18" spans="1:19">
      <c r="A19" t="s">
        <v>46</v>
      </c>
      <c r="B19" t="s">
        <v>125</v>
      </c>
      <c r="C19" t="s">
        <v>126</v>
      </c>
      <c r="D19" t="s">
        <v>125</v>
      </c>
      <c r="E19" t="s">
        <v>127</v>
      </c>
      <c r="I19">
        <f t="shared" si="1"/>
        <v>1725.13461538462</v>
      </c>
      <c r="J19" t="str">
        <f t="shared" si="2"/>
        <v>K-&gt;L</v>
      </c>
      <c r="K19" s="3" t="str">
        <f t="shared" si="3"/>
        <v>L-&gt;K</v>
      </c>
      <c r="L19" s="3" t="str">
        <f t="shared" si="4"/>
        <v>K-&gt;M</v>
      </c>
      <c r="M19" s="3" t="str">
        <f t="shared" si="5"/>
        <v/>
      </c>
      <c r="N19" s="3" t="str">
        <f t="shared" si="6"/>
        <v/>
      </c>
      <c r="O19" s="3" t="str">
        <f t="shared" si="7"/>
        <v/>
      </c>
      <c r="P19" s="4" t="s">
        <v>124</v>
      </c>
      <c r="Q19" s="4" t="s">
        <v>119</v>
      </c>
      <c r="R19" s="3">
        <f t="shared" si="8"/>
        <v>2096.87019230769</v>
      </c>
      <c r="S19" s="3">
        <f t="shared" si="9"/>
        <v>26.2108774038462</v>
      </c>
    </row>
    <row r="20" ht="18" spans="1:19">
      <c r="A20" t="s">
        <v>47</v>
      </c>
      <c r="B20" t="s">
        <v>126</v>
      </c>
      <c r="C20" t="s">
        <v>127</v>
      </c>
      <c r="D20" t="s">
        <v>126</v>
      </c>
      <c r="E20" t="s">
        <v>127</v>
      </c>
      <c r="I20">
        <f t="shared" si="1"/>
        <v>2927</v>
      </c>
      <c r="J20" t="str">
        <f t="shared" si="2"/>
        <v>L-&gt;M</v>
      </c>
      <c r="K20" s="3" t="str">
        <f t="shared" si="3"/>
        <v>M-&gt;L</v>
      </c>
      <c r="L20" s="3" t="str">
        <f t="shared" si="4"/>
        <v>L-&gt;M</v>
      </c>
      <c r="M20" s="3" t="str">
        <f t="shared" si="5"/>
        <v/>
      </c>
      <c r="N20" s="3" t="str">
        <f t="shared" si="6"/>
        <v/>
      </c>
      <c r="O20" s="3" t="str">
        <f t="shared" si="7"/>
        <v/>
      </c>
      <c r="P20" s="4" t="s">
        <v>122</v>
      </c>
      <c r="Q20" s="4" t="s">
        <v>123</v>
      </c>
      <c r="R20" s="3">
        <f t="shared" si="8"/>
        <v>2507.39423076923</v>
      </c>
      <c r="S20" s="3">
        <f t="shared" si="9"/>
        <v>31.3424278846154</v>
      </c>
    </row>
    <row r="21" ht="18" spans="1:19">
      <c r="A21" t="s">
        <v>48</v>
      </c>
      <c r="B21" t="s">
        <v>126</v>
      </c>
      <c r="C21" t="s">
        <v>125</v>
      </c>
      <c r="D21" t="s">
        <v>127</v>
      </c>
      <c r="I21">
        <f t="shared" si="1"/>
        <v>2172.05769230769</v>
      </c>
      <c r="J21" t="str">
        <f t="shared" si="2"/>
        <v>L-&gt;K</v>
      </c>
      <c r="K21" s="3" t="str">
        <f t="shared" si="3"/>
        <v>K-&gt;M</v>
      </c>
      <c r="L21" s="3" t="str">
        <f t="shared" si="4"/>
        <v/>
      </c>
      <c r="M21" s="3" t="str">
        <f t="shared" si="5"/>
        <v/>
      </c>
      <c r="N21" s="3" t="str">
        <f t="shared" si="6"/>
        <v/>
      </c>
      <c r="O21" s="3" t="str">
        <f t="shared" si="7"/>
        <v/>
      </c>
      <c r="P21" s="4" t="s">
        <v>122</v>
      </c>
      <c r="Q21" s="4" t="s">
        <v>124</v>
      </c>
      <c r="R21" s="3">
        <f t="shared" si="8"/>
        <v>2452.75961538462</v>
      </c>
      <c r="S21" s="3">
        <f t="shared" si="9"/>
        <v>30.6594951923077</v>
      </c>
    </row>
    <row r="22" spans="16:19">
      <c r="P22" s="4" t="s">
        <v>122</v>
      </c>
      <c r="Q22" s="4" t="s">
        <v>121</v>
      </c>
      <c r="R22" s="3">
        <f t="shared" si="8"/>
        <v>4743.08653846154</v>
      </c>
      <c r="S22" s="3">
        <f t="shared" si="9"/>
        <v>59.2885817307692</v>
      </c>
    </row>
    <row r="23" spans="16:19">
      <c r="P23" s="4" t="s">
        <v>122</v>
      </c>
      <c r="Q23" s="4" t="s">
        <v>119</v>
      </c>
      <c r="R23" s="3">
        <f t="shared" si="8"/>
        <v>2507.39423076923</v>
      </c>
      <c r="S23" s="3">
        <f t="shared" si="9"/>
        <v>31.3424278846154</v>
      </c>
    </row>
    <row r="24" spans="16:19">
      <c r="P24" s="4" t="s">
        <v>121</v>
      </c>
      <c r="Q24" s="4" t="s">
        <v>119</v>
      </c>
      <c r="R24" s="3">
        <f t="shared" si="8"/>
        <v>3106.84134615385</v>
      </c>
      <c r="S24" s="3">
        <f t="shared" si="9"/>
        <v>38.8355168269231</v>
      </c>
    </row>
    <row r="25" spans="1:19">
      <c r="A25" s="1" t="s">
        <v>4</v>
      </c>
      <c r="B25" s="1" t="s">
        <v>128</v>
      </c>
      <c r="C25" t="s">
        <v>129</v>
      </c>
      <c r="D25" t="s">
        <v>130</v>
      </c>
      <c r="P25" s="4" t="s">
        <v>121</v>
      </c>
      <c r="Q25" s="4" t="s">
        <v>120</v>
      </c>
      <c r="R25" s="3">
        <f t="shared" si="8"/>
        <v>2498.98076923077</v>
      </c>
      <c r="S25" s="3">
        <f t="shared" si="9"/>
        <v>31.2372596153846</v>
      </c>
    </row>
    <row r="26" spans="1:19">
      <c r="A26" s="1" t="s">
        <v>24</v>
      </c>
      <c r="B26" s="1">
        <v>30602.9326923077</v>
      </c>
      <c r="C26">
        <f>B26/10</f>
        <v>3060.29326923077</v>
      </c>
      <c r="D26">
        <f>C26/16/5</f>
        <v>38.2536658653846</v>
      </c>
      <c r="P26" s="4" t="s">
        <v>119</v>
      </c>
      <c r="Q26" s="4" t="s">
        <v>120</v>
      </c>
      <c r="R26" s="3">
        <f t="shared" si="8"/>
        <v>11782.6105769231</v>
      </c>
      <c r="S26" s="3">
        <f t="shared" si="9"/>
        <v>147.282632211538</v>
      </c>
    </row>
    <row r="27" spans="1:19">
      <c r="A27" s="1" t="s">
        <v>25</v>
      </c>
      <c r="B27" s="1">
        <v>15927.5</v>
      </c>
      <c r="C27">
        <f t="shared" ref="C27:C45" si="10">B27/10</f>
        <v>1592.75</v>
      </c>
      <c r="D27">
        <f t="shared" ref="D27:D45" si="11">C27/16/5</f>
        <v>19.909375</v>
      </c>
      <c r="P27" s="4" t="s">
        <v>125</v>
      </c>
      <c r="Q27" s="4" t="s">
        <v>126</v>
      </c>
      <c r="R27" s="3">
        <f t="shared" si="8"/>
        <v>2442.02884615385</v>
      </c>
      <c r="S27" s="3">
        <f t="shared" si="9"/>
        <v>30.5253605769231</v>
      </c>
    </row>
    <row r="28" spans="1:19">
      <c r="A28" s="1" t="s">
        <v>26</v>
      </c>
      <c r="B28" s="1">
        <v>8293.07692307692</v>
      </c>
      <c r="C28">
        <f t="shared" si="10"/>
        <v>829.307692307692</v>
      </c>
      <c r="D28">
        <f t="shared" si="11"/>
        <v>10.3663461538462</v>
      </c>
      <c r="P28" s="4" t="s">
        <v>125</v>
      </c>
      <c r="Q28" s="4" t="s">
        <v>127</v>
      </c>
      <c r="R28" s="3">
        <f t="shared" si="8"/>
        <v>3897.19230769231</v>
      </c>
      <c r="S28" s="3">
        <f t="shared" si="9"/>
        <v>48.7149038461539</v>
      </c>
    </row>
    <row r="29" spans="1:19">
      <c r="A29" s="1" t="s">
        <v>27</v>
      </c>
      <c r="B29" s="1">
        <v>13509.2307692308</v>
      </c>
      <c r="C29">
        <f t="shared" si="10"/>
        <v>1350.92307692308</v>
      </c>
      <c r="D29">
        <f t="shared" si="11"/>
        <v>16.8865384615385</v>
      </c>
      <c r="P29" s="4" t="s">
        <v>126</v>
      </c>
      <c r="Q29" s="4" t="s">
        <v>125</v>
      </c>
      <c r="R29" s="3">
        <f t="shared" si="8"/>
        <v>3897.19230769231</v>
      </c>
      <c r="S29" s="3">
        <f t="shared" si="9"/>
        <v>48.7149038461539</v>
      </c>
    </row>
    <row r="30" spans="1:19">
      <c r="A30" s="1" t="s">
        <v>29</v>
      </c>
      <c r="B30" s="1">
        <v>10488.4615384615</v>
      </c>
      <c r="C30">
        <f t="shared" si="10"/>
        <v>1048.84615384615</v>
      </c>
      <c r="D30">
        <f t="shared" si="11"/>
        <v>13.1105769230769</v>
      </c>
      <c r="P30" s="4" t="s">
        <v>126</v>
      </c>
      <c r="Q30" s="4" t="s">
        <v>127</v>
      </c>
      <c r="R30" s="3">
        <f t="shared" si="8"/>
        <v>6570.89423076923</v>
      </c>
      <c r="S30" s="3">
        <f t="shared" si="9"/>
        <v>82.1361778846154</v>
      </c>
    </row>
    <row r="31" spans="1:4">
      <c r="A31" s="1" t="s">
        <v>30</v>
      </c>
      <c r="B31" s="1">
        <v>5836.00961538462</v>
      </c>
      <c r="C31">
        <f t="shared" si="10"/>
        <v>583.600961538462</v>
      </c>
      <c r="D31">
        <f t="shared" si="11"/>
        <v>7.29501201923077</v>
      </c>
    </row>
    <row r="32" spans="1:4">
      <c r="A32" s="1" t="s">
        <v>31</v>
      </c>
      <c r="B32" s="1">
        <v>20660</v>
      </c>
      <c r="C32">
        <f t="shared" si="10"/>
        <v>2066</v>
      </c>
      <c r="D32">
        <f t="shared" si="11"/>
        <v>25.825</v>
      </c>
    </row>
    <row r="33" spans="1:4">
      <c r="A33" s="1" t="s">
        <v>32</v>
      </c>
      <c r="B33" s="1">
        <v>6041.53846153846</v>
      </c>
      <c r="C33">
        <f t="shared" si="10"/>
        <v>604.153846153846</v>
      </c>
      <c r="D33">
        <f t="shared" si="11"/>
        <v>7.55192307692308</v>
      </c>
    </row>
    <row r="34" spans="1:4">
      <c r="A34" s="1" t="s">
        <v>34</v>
      </c>
      <c r="B34" s="1">
        <v>13401.9230769231</v>
      </c>
      <c r="C34">
        <f t="shared" si="10"/>
        <v>1340.19230769231</v>
      </c>
      <c r="D34">
        <f t="shared" si="11"/>
        <v>16.7524038461538</v>
      </c>
    </row>
    <row r="35" spans="1:4">
      <c r="A35" s="1" t="s">
        <v>36</v>
      </c>
      <c r="B35" s="1">
        <v>6630.81730769231</v>
      </c>
      <c r="C35">
        <f t="shared" si="10"/>
        <v>663.081730769231</v>
      </c>
      <c r="D35">
        <f t="shared" si="11"/>
        <v>8.28852163461538</v>
      </c>
    </row>
    <row r="36" spans="1:4">
      <c r="A36" s="1" t="s">
        <v>37</v>
      </c>
      <c r="B36" s="1">
        <v>11672.0192307692</v>
      </c>
      <c r="C36">
        <f t="shared" si="10"/>
        <v>1167.20192307692</v>
      </c>
      <c r="D36">
        <f t="shared" si="11"/>
        <v>14.5900240384615</v>
      </c>
    </row>
    <row r="37" spans="1:4">
      <c r="A37" s="1" t="s">
        <v>38</v>
      </c>
      <c r="B37" s="1">
        <v>14337.8846153846</v>
      </c>
      <c r="C37">
        <f t="shared" si="10"/>
        <v>1433.78846153846</v>
      </c>
      <c r="D37">
        <f t="shared" si="11"/>
        <v>17.9223557692308</v>
      </c>
    </row>
    <row r="38" spans="1:4">
      <c r="A38" s="1" t="s">
        <v>39</v>
      </c>
      <c r="B38" s="1">
        <v>7168.94230769231</v>
      </c>
      <c r="C38">
        <f t="shared" si="10"/>
        <v>716.894230769231</v>
      </c>
      <c r="D38">
        <f t="shared" si="11"/>
        <v>8.96117788461538</v>
      </c>
    </row>
    <row r="39" spans="1:4">
      <c r="A39" s="1" t="s">
        <v>42</v>
      </c>
      <c r="B39" s="1">
        <v>26752.6923076923</v>
      </c>
      <c r="C39">
        <f t="shared" si="10"/>
        <v>2675.26923076923</v>
      </c>
      <c r="D39">
        <f t="shared" si="11"/>
        <v>33.4408653846154</v>
      </c>
    </row>
    <row r="40" spans="1:4">
      <c r="A40" s="1" t="s">
        <v>43</v>
      </c>
      <c r="B40" s="1">
        <v>3020.76923076923</v>
      </c>
      <c r="C40">
        <f t="shared" si="10"/>
        <v>302.076923076923</v>
      </c>
      <c r="D40">
        <f t="shared" si="11"/>
        <v>3.77596153846154</v>
      </c>
    </row>
    <row r="41" spans="1:4">
      <c r="A41" s="1" t="s">
        <v>44</v>
      </c>
      <c r="B41" s="1">
        <v>18063.4615384615</v>
      </c>
      <c r="C41">
        <f t="shared" si="10"/>
        <v>1806.34615384615</v>
      </c>
      <c r="D41">
        <f t="shared" si="11"/>
        <v>22.5793269230769</v>
      </c>
    </row>
    <row r="42" spans="1:4">
      <c r="A42" s="1" t="s">
        <v>45</v>
      </c>
      <c r="B42" s="1">
        <v>7168.94230769231</v>
      </c>
      <c r="C42">
        <f t="shared" si="10"/>
        <v>716.894230769231</v>
      </c>
      <c r="D42">
        <f t="shared" si="11"/>
        <v>8.96117788461538</v>
      </c>
    </row>
    <row r="43" spans="1:4">
      <c r="A43" s="1" t="s">
        <v>46</v>
      </c>
      <c r="B43" s="1">
        <v>17251.3461538462</v>
      </c>
      <c r="C43">
        <f t="shared" si="10"/>
        <v>1725.13461538462</v>
      </c>
      <c r="D43">
        <f t="shared" si="11"/>
        <v>21.5641826923077</v>
      </c>
    </row>
    <row r="44" spans="1:4">
      <c r="A44" s="1" t="s">
        <v>47</v>
      </c>
      <c r="B44" s="1">
        <v>29270</v>
      </c>
      <c r="C44">
        <f t="shared" si="10"/>
        <v>2927</v>
      </c>
      <c r="D44">
        <f t="shared" si="11"/>
        <v>36.5875</v>
      </c>
    </row>
    <row r="45" spans="1:4">
      <c r="A45" s="1" t="s">
        <v>48</v>
      </c>
      <c r="B45" s="1">
        <v>21720.5769230769</v>
      </c>
      <c r="C45">
        <f t="shared" si="10"/>
        <v>2172.05769230769</v>
      </c>
      <c r="D45">
        <f t="shared" si="11"/>
        <v>27.1507211538462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7"/>
  <sheetViews>
    <sheetView zoomScale="60" zoomScaleNormal="60" topLeftCell="B35" workbookViewId="0">
      <selection activeCell="V45" sqref="V45:V64"/>
    </sheetView>
  </sheetViews>
  <sheetFormatPr defaultColWidth="8.88888888888889" defaultRowHeight="17.6"/>
  <cols>
    <col min="14" max="21" width="12.5555555555556"/>
    <col min="22" max="22" width="21.9861111111111" customWidth="1"/>
    <col min="23" max="23" width="20.8333333333333" customWidth="1"/>
    <col min="24" max="24" width="12.5555555555556"/>
    <col min="25" max="25" width="36.2638888888889" customWidth="1"/>
  </cols>
  <sheetData>
    <row r="1" spans="1: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 t="s">
        <v>131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8"/>
      <c r="B16" s="10" t="s">
        <v>5</v>
      </c>
      <c r="C16" s="11"/>
      <c r="D16" s="11"/>
      <c r="E16" s="11"/>
      <c r="F16" s="11"/>
      <c r="G16" s="11"/>
      <c r="H16" s="34"/>
      <c r="I16" s="35"/>
      <c r="J16" s="35"/>
      <c r="K16" s="35"/>
      <c r="L16" s="8"/>
      <c r="M16" s="45"/>
      <c r="N16" s="46" t="s">
        <v>6</v>
      </c>
      <c r="O16" s="46" t="s">
        <v>7</v>
      </c>
      <c r="P16" s="46" t="s">
        <v>8</v>
      </c>
      <c r="Q16" s="46" t="s">
        <v>9</v>
      </c>
      <c r="R16" s="46" t="s">
        <v>10</v>
      </c>
      <c r="S16" s="46" t="s">
        <v>132</v>
      </c>
      <c r="T16" s="46" t="s">
        <v>133</v>
      </c>
      <c r="U16" s="46" t="s">
        <v>134</v>
      </c>
      <c r="V16" s="45"/>
      <c r="W16" s="45"/>
      <c r="X16" s="45"/>
      <c r="Y16" s="45"/>
    </row>
    <row r="17" spans="1:25">
      <c r="A17" s="8"/>
      <c r="B17" s="12" t="s">
        <v>11</v>
      </c>
      <c r="C17" s="13" t="s">
        <v>6</v>
      </c>
      <c r="D17" s="13" t="s">
        <v>7</v>
      </c>
      <c r="E17" s="13" t="s">
        <v>8</v>
      </c>
      <c r="F17" s="13" t="s">
        <v>9</v>
      </c>
      <c r="G17" s="13" t="s">
        <v>10</v>
      </c>
      <c r="H17" s="13" t="s">
        <v>132</v>
      </c>
      <c r="I17" s="13" t="s">
        <v>133</v>
      </c>
      <c r="J17" s="13" t="s">
        <v>134</v>
      </c>
      <c r="K17" s="36" t="s">
        <v>12</v>
      </c>
      <c r="L17" s="8"/>
      <c r="M17" s="45" t="s">
        <v>13</v>
      </c>
      <c r="N17" s="45">
        <f t="shared" ref="N17:U17" si="0">C28*C32</f>
        <v>225</v>
      </c>
      <c r="O17" s="45">
        <f t="shared" si="0"/>
        <v>400</v>
      </c>
      <c r="P17" s="45">
        <f t="shared" si="0"/>
        <v>540</v>
      </c>
      <c r="Q17" s="45">
        <f t="shared" si="0"/>
        <v>168</v>
      </c>
      <c r="R17" s="45">
        <f t="shared" si="0"/>
        <v>324</v>
      </c>
      <c r="S17" s="45">
        <f t="shared" si="0"/>
        <v>250</v>
      </c>
      <c r="T17" s="45">
        <f t="shared" si="0"/>
        <v>75</v>
      </c>
      <c r="U17" s="45">
        <f t="shared" si="0"/>
        <v>96</v>
      </c>
      <c r="V17" s="45"/>
      <c r="W17" s="45"/>
      <c r="X17" s="45"/>
      <c r="Y17" s="45"/>
    </row>
    <row r="18" spans="1:25">
      <c r="A18" s="8"/>
      <c r="B18" s="72" t="s">
        <v>135</v>
      </c>
      <c r="C18" s="32">
        <v>78000</v>
      </c>
      <c r="D18" s="33">
        <v>104000</v>
      </c>
      <c r="E18" s="33">
        <v>140400</v>
      </c>
      <c r="F18" s="33">
        <v>72800</v>
      </c>
      <c r="G18" s="33">
        <v>93600</v>
      </c>
      <c r="H18" s="33">
        <v>52000</v>
      </c>
      <c r="I18" s="33">
        <v>26000</v>
      </c>
      <c r="J18" s="33">
        <v>62400</v>
      </c>
      <c r="K18" s="37">
        <v>629200</v>
      </c>
      <c r="L18" s="8"/>
      <c r="M18" s="45" t="s">
        <v>15</v>
      </c>
      <c r="N18" s="45">
        <f t="shared" ref="N18:U18" si="1">C28+2.575*N17</f>
        <v>2079.375</v>
      </c>
      <c r="O18" s="45">
        <f t="shared" si="1"/>
        <v>3030</v>
      </c>
      <c r="P18" s="45">
        <f t="shared" si="1"/>
        <v>4090.5</v>
      </c>
      <c r="Q18" s="45">
        <f t="shared" si="1"/>
        <v>1832.6</v>
      </c>
      <c r="R18" s="45">
        <f t="shared" si="1"/>
        <v>2634.3</v>
      </c>
      <c r="S18" s="45">
        <f t="shared" si="1"/>
        <v>1643.75</v>
      </c>
      <c r="T18" s="45">
        <f t="shared" si="1"/>
        <v>693.125</v>
      </c>
      <c r="U18" s="45">
        <f t="shared" si="1"/>
        <v>1447.2</v>
      </c>
      <c r="V18" s="45"/>
      <c r="W18" s="45"/>
      <c r="X18" s="45"/>
      <c r="Y18" s="45"/>
    </row>
    <row r="19" spans="1:21">
      <c r="A19" s="8"/>
      <c r="B19" s="17"/>
      <c r="C19" s="17"/>
      <c r="D19" s="17"/>
      <c r="E19" s="17"/>
      <c r="F19" s="17"/>
      <c r="G19" s="17"/>
      <c r="H19" s="8"/>
      <c r="I19" s="8"/>
      <c r="J19" s="8"/>
      <c r="K19" s="8"/>
      <c r="L19" s="8"/>
      <c r="M19" s="45" t="s">
        <v>16</v>
      </c>
      <c r="N19" s="45">
        <f t="shared" ref="N19:U19" si="2">N18/(16*5)</f>
        <v>25.9921875</v>
      </c>
      <c r="O19" s="45">
        <f t="shared" si="2"/>
        <v>37.875</v>
      </c>
      <c r="P19" s="45">
        <f t="shared" si="2"/>
        <v>51.13125</v>
      </c>
      <c r="Q19" s="45">
        <f t="shared" si="2"/>
        <v>22.9075</v>
      </c>
      <c r="R19" s="45">
        <f t="shared" si="2"/>
        <v>32.92875</v>
      </c>
      <c r="S19" s="45">
        <f t="shared" si="2"/>
        <v>20.546875</v>
      </c>
      <c r="T19" s="45">
        <f t="shared" si="2"/>
        <v>8.6640625</v>
      </c>
      <c r="U19" s="45">
        <f t="shared" si="2"/>
        <v>18.09</v>
      </c>
    </row>
    <row r="20" spans="1:12">
      <c r="A20" s="8"/>
      <c r="B20" s="17"/>
      <c r="C20" s="17"/>
      <c r="D20" s="17"/>
      <c r="E20" s="17"/>
      <c r="F20" s="17"/>
      <c r="G20" s="17"/>
      <c r="H20" s="8"/>
      <c r="I20" s="8"/>
      <c r="J20" s="8"/>
      <c r="K20" s="8"/>
      <c r="L20" s="8"/>
    </row>
    <row r="21" spans="1:25">
      <c r="A21" s="8"/>
      <c r="B21" s="10" t="s">
        <v>17</v>
      </c>
      <c r="C21" s="11"/>
      <c r="D21" s="11"/>
      <c r="E21" s="11"/>
      <c r="F21" s="11"/>
      <c r="G21" s="11"/>
      <c r="H21" s="34"/>
      <c r="I21" s="35"/>
      <c r="J21" s="35"/>
      <c r="K21" s="35"/>
      <c r="L21" s="8"/>
      <c r="M21" s="47" t="s">
        <v>18</v>
      </c>
      <c r="N21" s="47" t="s">
        <v>6</v>
      </c>
      <c r="O21" s="47" t="s">
        <v>7</v>
      </c>
      <c r="P21" s="47" t="s">
        <v>8</v>
      </c>
      <c r="Q21" s="47" t="s">
        <v>9</v>
      </c>
      <c r="R21" s="47" t="s">
        <v>10</v>
      </c>
      <c r="S21" s="47" t="s">
        <v>132</v>
      </c>
      <c r="T21" s="47" t="s">
        <v>133</v>
      </c>
      <c r="U21" s="47" t="s">
        <v>134</v>
      </c>
      <c r="V21" s="45" t="s">
        <v>19</v>
      </c>
      <c r="W21" s="45" t="s">
        <v>20</v>
      </c>
      <c r="X21" s="45" t="s">
        <v>21</v>
      </c>
      <c r="Y21" s="45" t="s">
        <v>22</v>
      </c>
    </row>
    <row r="22" spans="1:25">
      <c r="A22" s="17"/>
      <c r="B22" s="12" t="s">
        <v>11</v>
      </c>
      <c r="C22" s="18" t="s">
        <v>6</v>
      </c>
      <c r="D22" s="13" t="s">
        <v>7</v>
      </c>
      <c r="E22" s="13" t="s">
        <v>8</v>
      </c>
      <c r="F22" s="13" t="s">
        <v>9</v>
      </c>
      <c r="G22" s="13" t="s">
        <v>10</v>
      </c>
      <c r="H22" s="13" t="s">
        <v>132</v>
      </c>
      <c r="I22" s="13" t="s">
        <v>133</v>
      </c>
      <c r="J22" s="13" t="s">
        <v>134</v>
      </c>
      <c r="K22" s="36" t="s">
        <v>23</v>
      </c>
      <c r="L22" s="17"/>
      <c r="M22" s="45" t="s">
        <v>24</v>
      </c>
      <c r="N22" s="45">
        <f t="shared" ref="N22:N41" si="3">$N$18*C37</f>
        <v>2079.375</v>
      </c>
      <c r="O22" s="45">
        <f t="shared" ref="O22:O41" si="4">$O$18*D37</f>
        <v>6060</v>
      </c>
      <c r="P22" s="45">
        <f t="shared" ref="P22:P41" si="5">$P$18*E37</f>
        <v>16362</v>
      </c>
      <c r="Q22" s="45">
        <f t="shared" ref="Q22:Q41" si="6">$Q$18*F37</f>
        <v>7330.4</v>
      </c>
      <c r="R22" s="45">
        <f t="shared" ref="R22:R41" si="7">$R$18*G37</f>
        <v>2634.3</v>
      </c>
      <c r="S22" s="45">
        <f t="shared" ref="S22:S41" si="8">$S$18*H37</f>
        <v>0</v>
      </c>
      <c r="T22" s="45">
        <f t="shared" ref="T22:T41" si="9">$T$18*I37</f>
        <v>0</v>
      </c>
      <c r="U22" s="45">
        <f t="shared" ref="U22:U41" si="10">$U$18*J37</f>
        <v>2894.4</v>
      </c>
      <c r="V22" s="45">
        <f t="shared" ref="V22:V41" si="11">SUM(N22:R22)</f>
        <v>34466.075</v>
      </c>
      <c r="W22" s="45">
        <v>12.75</v>
      </c>
      <c r="X22" s="45">
        <f t="shared" ref="X22:X41" si="12">0.98*0.9</f>
        <v>0.882</v>
      </c>
      <c r="Y22" s="45">
        <f t="shared" ref="Y22:Y41" si="13">V22*W22/X22</f>
        <v>498234.077380952</v>
      </c>
    </row>
    <row r="23" spans="1:25">
      <c r="A23" s="8"/>
      <c r="B23" s="72" t="s">
        <v>135</v>
      </c>
      <c r="C23" s="48">
        <v>1442.2205101856</v>
      </c>
      <c r="D23" s="49">
        <v>1442.2205101856</v>
      </c>
      <c r="E23" s="49">
        <v>2884.44102037119</v>
      </c>
      <c r="F23" s="49">
        <v>1802.77563773199</v>
      </c>
      <c r="G23" s="49">
        <v>1081.6653826392</v>
      </c>
      <c r="H23" s="49">
        <v>1442.2205101856</v>
      </c>
      <c r="I23" s="49">
        <v>721.110255092798</v>
      </c>
      <c r="J23" s="49">
        <v>540.832691319598</v>
      </c>
      <c r="K23" s="50">
        <v>4448.87626260835</v>
      </c>
      <c r="L23" s="8"/>
      <c r="M23" s="45" t="s">
        <v>25</v>
      </c>
      <c r="N23" s="45">
        <f t="shared" si="3"/>
        <v>8317.5</v>
      </c>
      <c r="O23" s="45">
        <f t="shared" si="4"/>
        <v>0</v>
      </c>
      <c r="P23" s="45">
        <f t="shared" si="5"/>
        <v>8181</v>
      </c>
      <c r="Q23" s="45">
        <f t="shared" si="6"/>
        <v>3665.2</v>
      </c>
      <c r="R23" s="45">
        <f t="shared" si="7"/>
        <v>0</v>
      </c>
      <c r="S23" s="45">
        <f t="shared" si="8"/>
        <v>0</v>
      </c>
      <c r="T23" s="45">
        <f t="shared" si="9"/>
        <v>0</v>
      </c>
      <c r="U23" s="45">
        <f t="shared" si="10"/>
        <v>1447.2</v>
      </c>
      <c r="V23" s="45">
        <f t="shared" si="11"/>
        <v>20163.7</v>
      </c>
      <c r="W23" s="45">
        <v>7.75</v>
      </c>
      <c r="X23" s="45">
        <f t="shared" si="12"/>
        <v>0.882</v>
      </c>
      <c r="Y23" s="45">
        <f t="shared" si="13"/>
        <v>177175.368480726</v>
      </c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45" t="s">
        <v>26</v>
      </c>
      <c r="N24" s="45">
        <f t="shared" si="3"/>
        <v>0</v>
      </c>
      <c r="O24" s="45">
        <f t="shared" si="4"/>
        <v>0</v>
      </c>
      <c r="P24" s="45">
        <f t="shared" si="5"/>
        <v>0</v>
      </c>
      <c r="Q24" s="45">
        <f t="shared" si="6"/>
        <v>7330.4</v>
      </c>
      <c r="R24" s="45">
        <f t="shared" si="7"/>
        <v>2634.3</v>
      </c>
      <c r="S24" s="45">
        <f t="shared" si="8"/>
        <v>3287.5</v>
      </c>
      <c r="T24" s="45">
        <f t="shared" si="9"/>
        <v>2772.5</v>
      </c>
      <c r="U24" s="45">
        <f t="shared" si="10"/>
        <v>1447.2</v>
      </c>
      <c r="V24" s="45">
        <f t="shared" si="11"/>
        <v>9964.7</v>
      </c>
      <c r="W24" s="45">
        <v>9.5</v>
      </c>
      <c r="X24" s="45">
        <f t="shared" si="12"/>
        <v>0.882</v>
      </c>
      <c r="Y24" s="45">
        <f t="shared" si="13"/>
        <v>107329.535147392</v>
      </c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45" t="s">
        <v>27</v>
      </c>
      <c r="N25" s="45">
        <f t="shared" si="3"/>
        <v>0</v>
      </c>
      <c r="O25" s="45">
        <f t="shared" si="4"/>
        <v>3030</v>
      </c>
      <c r="P25" s="45">
        <f t="shared" si="5"/>
        <v>8181</v>
      </c>
      <c r="Q25" s="45">
        <f t="shared" si="6"/>
        <v>3665.2</v>
      </c>
      <c r="R25" s="45">
        <f t="shared" si="7"/>
        <v>0</v>
      </c>
      <c r="S25" s="45">
        <f t="shared" si="8"/>
        <v>0</v>
      </c>
      <c r="T25" s="45">
        <f t="shared" si="9"/>
        <v>0</v>
      </c>
      <c r="U25" s="45">
        <f t="shared" si="10"/>
        <v>0</v>
      </c>
      <c r="V25" s="45">
        <f t="shared" si="11"/>
        <v>14876.2</v>
      </c>
      <c r="W25" s="45">
        <v>7.5</v>
      </c>
      <c r="X25" s="45">
        <f t="shared" si="12"/>
        <v>0.882</v>
      </c>
      <c r="Y25" s="45">
        <f t="shared" si="13"/>
        <v>126498.299319728</v>
      </c>
    </row>
    <row r="26" spans="1:25">
      <c r="A26" s="8"/>
      <c r="B26" s="10" t="s">
        <v>28</v>
      </c>
      <c r="C26" s="11"/>
      <c r="D26" s="11"/>
      <c r="E26" s="11"/>
      <c r="F26" s="11"/>
      <c r="G26" s="11"/>
      <c r="H26" s="34"/>
      <c r="I26" s="35"/>
      <c r="J26" s="35"/>
      <c r="K26" s="35"/>
      <c r="L26" s="8"/>
      <c r="M26" s="45" t="s">
        <v>29</v>
      </c>
      <c r="N26" s="45">
        <f t="shared" si="3"/>
        <v>0</v>
      </c>
      <c r="O26" s="45">
        <f t="shared" si="4"/>
        <v>3030</v>
      </c>
      <c r="P26" s="45">
        <f t="shared" si="5"/>
        <v>8181</v>
      </c>
      <c r="Q26" s="45">
        <f t="shared" si="6"/>
        <v>0</v>
      </c>
      <c r="R26" s="45">
        <f t="shared" si="7"/>
        <v>0</v>
      </c>
      <c r="S26" s="45">
        <f t="shared" si="8"/>
        <v>1643.75</v>
      </c>
      <c r="T26" s="45">
        <f t="shared" si="9"/>
        <v>693.125</v>
      </c>
      <c r="U26" s="45">
        <f t="shared" si="10"/>
        <v>0</v>
      </c>
      <c r="V26" s="45">
        <f t="shared" si="11"/>
        <v>11211</v>
      </c>
      <c r="W26" s="45">
        <v>7.5</v>
      </c>
      <c r="X26" s="45">
        <f t="shared" si="12"/>
        <v>0.882</v>
      </c>
      <c r="Y26" s="45">
        <f t="shared" si="13"/>
        <v>95331.6326530612</v>
      </c>
    </row>
    <row r="27" spans="1:25">
      <c r="A27" s="8"/>
      <c r="B27" s="12" t="s">
        <v>11</v>
      </c>
      <c r="C27" s="18" t="s">
        <v>6</v>
      </c>
      <c r="D27" s="13" t="s">
        <v>7</v>
      </c>
      <c r="E27" s="13" t="s">
        <v>8</v>
      </c>
      <c r="F27" s="13" t="s">
        <v>9</v>
      </c>
      <c r="G27" s="13" t="s">
        <v>10</v>
      </c>
      <c r="H27" s="13" t="s">
        <v>132</v>
      </c>
      <c r="I27" s="13" t="s">
        <v>133</v>
      </c>
      <c r="J27" s="13" t="s">
        <v>134</v>
      </c>
      <c r="K27" s="36" t="s">
        <v>12</v>
      </c>
      <c r="L27" s="8"/>
      <c r="M27" s="45" t="s">
        <v>30</v>
      </c>
      <c r="N27" s="45">
        <f t="shared" si="3"/>
        <v>2079.375</v>
      </c>
      <c r="O27" s="45">
        <f t="shared" si="4"/>
        <v>0</v>
      </c>
      <c r="P27" s="45">
        <f t="shared" si="5"/>
        <v>0</v>
      </c>
      <c r="Q27" s="45">
        <f t="shared" si="6"/>
        <v>0</v>
      </c>
      <c r="R27" s="45">
        <f t="shared" si="7"/>
        <v>5268.6</v>
      </c>
      <c r="S27" s="45">
        <f t="shared" si="8"/>
        <v>0</v>
      </c>
      <c r="T27" s="45">
        <f t="shared" si="9"/>
        <v>0</v>
      </c>
      <c r="U27" s="45">
        <f t="shared" si="10"/>
        <v>4341.6</v>
      </c>
      <c r="V27" s="45">
        <f t="shared" si="11"/>
        <v>7347.975</v>
      </c>
      <c r="W27" s="45">
        <v>10.5</v>
      </c>
      <c r="X27" s="45">
        <f t="shared" si="12"/>
        <v>0.882</v>
      </c>
      <c r="Y27" s="45">
        <f t="shared" si="13"/>
        <v>87475.8928571429</v>
      </c>
    </row>
    <row r="28" spans="1:25">
      <c r="A28" s="8"/>
      <c r="B28" s="72" t="s">
        <v>135</v>
      </c>
      <c r="C28" s="32">
        <v>1500</v>
      </c>
      <c r="D28" s="33">
        <v>2000</v>
      </c>
      <c r="E28" s="33">
        <v>2700</v>
      </c>
      <c r="F28" s="33">
        <v>1400</v>
      </c>
      <c r="G28" s="33">
        <v>1800</v>
      </c>
      <c r="H28" s="33">
        <v>1000</v>
      </c>
      <c r="I28" s="33">
        <v>500</v>
      </c>
      <c r="J28" s="33">
        <v>1200</v>
      </c>
      <c r="K28" s="39">
        <v>12100</v>
      </c>
      <c r="L28" s="8"/>
      <c r="M28" s="45" t="s">
        <v>31</v>
      </c>
      <c r="N28" s="45">
        <f t="shared" si="3"/>
        <v>0</v>
      </c>
      <c r="O28" s="45">
        <f t="shared" si="4"/>
        <v>12120</v>
      </c>
      <c r="P28" s="45">
        <f t="shared" si="5"/>
        <v>0</v>
      </c>
      <c r="Q28" s="45">
        <f t="shared" si="6"/>
        <v>0</v>
      </c>
      <c r="R28" s="45">
        <f t="shared" si="7"/>
        <v>10537.2</v>
      </c>
      <c r="S28" s="45">
        <f t="shared" si="8"/>
        <v>0</v>
      </c>
      <c r="T28" s="45">
        <f t="shared" si="9"/>
        <v>693.125</v>
      </c>
      <c r="U28" s="45">
        <f t="shared" si="10"/>
        <v>1447.2</v>
      </c>
      <c r="V28" s="45">
        <f t="shared" si="11"/>
        <v>22657.2</v>
      </c>
      <c r="W28" s="45">
        <v>10</v>
      </c>
      <c r="X28" s="45">
        <f t="shared" si="12"/>
        <v>0.882</v>
      </c>
      <c r="Y28" s="45">
        <f t="shared" si="13"/>
        <v>256884.353741497</v>
      </c>
    </row>
    <row r="29" spans="1:25">
      <c r="A29" s="8"/>
      <c r="B29" s="17"/>
      <c r="C29" s="17"/>
      <c r="D29" s="17"/>
      <c r="E29" s="17"/>
      <c r="F29" s="17"/>
      <c r="G29" s="17"/>
      <c r="H29" s="8"/>
      <c r="I29" s="8"/>
      <c r="J29" s="8"/>
      <c r="K29" s="8"/>
      <c r="L29" s="8"/>
      <c r="M29" s="45" t="s">
        <v>32</v>
      </c>
      <c r="N29" s="45">
        <f t="shared" si="3"/>
        <v>0</v>
      </c>
      <c r="O29" s="45">
        <f t="shared" si="4"/>
        <v>0</v>
      </c>
      <c r="P29" s="45">
        <f t="shared" si="5"/>
        <v>0</v>
      </c>
      <c r="Q29" s="45">
        <f t="shared" si="6"/>
        <v>7330.4</v>
      </c>
      <c r="R29" s="45">
        <f t="shared" si="7"/>
        <v>0</v>
      </c>
      <c r="S29" s="45">
        <f t="shared" si="8"/>
        <v>3287.5</v>
      </c>
      <c r="T29" s="45">
        <f t="shared" si="9"/>
        <v>1386.25</v>
      </c>
      <c r="U29" s="45">
        <f t="shared" si="10"/>
        <v>4341.6</v>
      </c>
      <c r="V29" s="45">
        <f t="shared" si="11"/>
        <v>7330.4</v>
      </c>
      <c r="W29" s="45">
        <v>4.75</v>
      </c>
      <c r="X29" s="45">
        <f t="shared" si="12"/>
        <v>0.882</v>
      </c>
      <c r="Y29" s="45">
        <f t="shared" si="13"/>
        <v>39477.7777777778</v>
      </c>
    </row>
    <row r="30" spans="1:25">
      <c r="A30" s="8"/>
      <c r="B30" s="10" t="s">
        <v>33</v>
      </c>
      <c r="C30" s="11"/>
      <c r="D30" s="11"/>
      <c r="E30" s="11"/>
      <c r="F30" s="11"/>
      <c r="G30" s="11"/>
      <c r="H30" s="34"/>
      <c r="I30" s="35"/>
      <c r="J30" s="35"/>
      <c r="K30" s="35"/>
      <c r="L30" s="8"/>
      <c r="M30" s="45" t="s">
        <v>34</v>
      </c>
      <c r="N30" s="45">
        <f t="shared" si="3"/>
        <v>0</v>
      </c>
      <c r="O30" s="45">
        <f t="shared" si="4"/>
        <v>6060</v>
      </c>
      <c r="P30" s="45">
        <f t="shared" si="5"/>
        <v>8181</v>
      </c>
      <c r="Q30" s="45">
        <f t="shared" si="6"/>
        <v>0</v>
      </c>
      <c r="R30" s="45">
        <f t="shared" si="7"/>
        <v>0</v>
      </c>
      <c r="S30" s="45">
        <f t="shared" si="8"/>
        <v>1643.75</v>
      </c>
      <c r="T30" s="45">
        <f t="shared" si="9"/>
        <v>1386.25</v>
      </c>
      <c r="U30" s="45">
        <f t="shared" si="10"/>
        <v>0</v>
      </c>
      <c r="V30" s="45">
        <f t="shared" si="11"/>
        <v>14241</v>
      </c>
      <c r="W30" s="45">
        <v>8.5</v>
      </c>
      <c r="X30" s="45">
        <f t="shared" si="12"/>
        <v>0.882</v>
      </c>
      <c r="Y30" s="45">
        <f t="shared" si="13"/>
        <v>137243.197278912</v>
      </c>
    </row>
    <row r="31" spans="1:25">
      <c r="A31" s="8"/>
      <c r="B31" s="21" t="s">
        <v>11</v>
      </c>
      <c r="C31" s="22" t="s">
        <v>6</v>
      </c>
      <c r="D31" s="22" t="s">
        <v>7</v>
      </c>
      <c r="E31" s="22" t="s">
        <v>8</v>
      </c>
      <c r="F31" s="22" t="s">
        <v>9</v>
      </c>
      <c r="G31" s="22" t="s">
        <v>10</v>
      </c>
      <c r="H31" s="22" t="s">
        <v>132</v>
      </c>
      <c r="I31" s="22" t="s">
        <v>133</v>
      </c>
      <c r="J31" s="22" t="s">
        <v>134</v>
      </c>
      <c r="K31" s="40" t="s">
        <v>35</v>
      </c>
      <c r="L31" s="8"/>
      <c r="M31" s="45" t="s">
        <v>36</v>
      </c>
      <c r="N31" s="45">
        <f t="shared" si="3"/>
        <v>2079.375</v>
      </c>
      <c r="O31" s="45">
        <f t="shared" si="4"/>
        <v>0</v>
      </c>
      <c r="P31" s="45">
        <f t="shared" si="5"/>
        <v>4090.5</v>
      </c>
      <c r="Q31" s="45">
        <f t="shared" si="6"/>
        <v>1832.6</v>
      </c>
      <c r="R31" s="45">
        <f t="shared" si="7"/>
        <v>0</v>
      </c>
      <c r="S31" s="45">
        <f t="shared" si="8"/>
        <v>0</v>
      </c>
      <c r="T31" s="45">
        <f t="shared" si="9"/>
        <v>0</v>
      </c>
      <c r="U31" s="45">
        <f t="shared" si="10"/>
        <v>1447.2</v>
      </c>
      <c r="V31" s="45">
        <f t="shared" si="11"/>
        <v>8002.475</v>
      </c>
      <c r="W31" s="45">
        <v>6.5</v>
      </c>
      <c r="X31" s="45">
        <f t="shared" si="12"/>
        <v>0.882</v>
      </c>
      <c r="Y31" s="45">
        <f t="shared" si="13"/>
        <v>58975.1558956916</v>
      </c>
    </row>
    <row r="32" spans="1:25">
      <c r="A32" s="8"/>
      <c r="B32" s="51">
        <v>2</v>
      </c>
      <c r="C32" s="52">
        <v>0.15</v>
      </c>
      <c r="D32" s="52">
        <v>0.2</v>
      </c>
      <c r="E32" s="52">
        <v>0.2</v>
      </c>
      <c r="F32" s="52">
        <v>0.12</v>
      </c>
      <c r="G32" s="52">
        <v>0.18</v>
      </c>
      <c r="H32" s="52">
        <v>0.25</v>
      </c>
      <c r="I32" s="52">
        <v>0.15</v>
      </c>
      <c r="J32" s="52">
        <v>0.08</v>
      </c>
      <c r="K32" s="41">
        <v>0.17</v>
      </c>
      <c r="L32" s="8"/>
      <c r="M32" s="45" t="s">
        <v>37</v>
      </c>
      <c r="N32" s="45">
        <f t="shared" si="3"/>
        <v>4158.75</v>
      </c>
      <c r="O32" s="45">
        <f t="shared" si="4"/>
        <v>0</v>
      </c>
      <c r="P32" s="45">
        <f t="shared" si="5"/>
        <v>0</v>
      </c>
      <c r="Q32" s="45">
        <f t="shared" si="6"/>
        <v>0</v>
      </c>
      <c r="R32" s="45">
        <f t="shared" si="7"/>
        <v>10537.2</v>
      </c>
      <c r="S32" s="45">
        <f t="shared" si="8"/>
        <v>6575</v>
      </c>
      <c r="T32" s="45">
        <f t="shared" si="9"/>
        <v>1386.25</v>
      </c>
      <c r="U32" s="45">
        <f t="shared" si="10"/>
        <v>0</v>
      </c>
      <c r="V32" s="45">
        <f t="shared" si="11"/>
        <v>14695.95</v>
      </c>
      <c r="W32" s="45">
        <v>4</v>
      </c>
      <c r="X32" s="45">
        <f t="shared" si="12"/>
        <v>0.882</v>
      </c>
      <c r="Y32" s="45">
        <f t="shared" si="13"/>
        <v>66648.2993197279</v>
      </c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45" t="s">
        <v>38</v>
      </c>
      <c r="N33" s="45">
        <f t="shared" si="3"/>
        <v>8317.5</v>
      </c>
      <c r="O33" s="45">
        <f t="shared" si="4"/>
        <v>0</v>
      </c>
      <c r="P33" s="45">
        <f t="shared" si="5"/>
        <v>0</v>
      </c>
      <c r="Q33" s="45">
        <f t="shared" si="6"/>
        <v>0</v>
      </c>
      <c r="R33" s="45">
        <f t="shared" si="7"/>
        <v>10537.2</v>
      </c>
      <c r="S33" s="45">
        <f t="shared" si="8"/>
        <v>4931.25</v>
      </c>
      <c r="T33" s="45">
        <f t="shared" si="9"/>
        <v>2772.5</v>
      </c>
      <c r="U33" s="45">
        <f t="shared" si="10"/>
        <v>0</v>
      </c>
      <c r="V33" s="45">
        <f t="shared" si="11"/>
        <v>18854.7</v>
      </c>
      <c r="W33" s="45">
        <v>6</v>
      </c>
      <c r="X33" s="45">
        <f t="shared" si="12"/>
        <v>0.882</v>
      </c>
      <c r="Y33" s="45">
        <f t="shared" si="13"/>
        <v>128263.265306122</v>
      </c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45" t="s">
        <v>39</v>
      </c>
      <c r="N34" s="45">
        <f t="shared" si="3"/>
        <v>4158.75</v>
      </c>
      <c r="O34" s="45">
        <f t="shared" si="4"/>
        <v>0</v>
      </c>
      <c r="P34" s="45">
        <f t="shared" si="5"/>
        <v>0</v>
      </c>
      <c r="Q34" s="45">
        <f t="shared" si="6"/>
        <v>0</v>
      </c>
      <c r="R34" s="45">
        <f t="shared" si="7"/>
        <v>5268.6</v>
      </c>
      <c r="S34" s="45">
        <f t="shared" si="8"/>
        <v>3287.5</v>
      </c>
      <c r="T34" s="45">
        <f t="shared" si="9"/>
        <v>693.125</v>
      </c>
      <c r="U34" s="45">
        <f t="shared" si="10"/>
        <v>0</v>
      </c>
      <c r="V34" s="45">
        <f t="shared" si="11"/>
        <v>9427.35</v>
      </c>
      <c r="W34" s="45">
        <v>7.5</v>
      </c>
      <c r="X34" s="45">
        <f t="shared" si="12"/>
        <v>0.882</v>
      </c>
      <c r="Y34" s="45">
        <f t="shared" si="13"/>
        <v>80164.5408163265</v>
      </c>
    </row>
    <row r="35" spans="1:25">
      <c r="A35" s="8"/>
      <c r="B35" s="25" t="s">
        <v>40</v>
      </c>
      <c r="C35" s="26" t="s">
        <v>136</v>
      </c>
      <c r="D35" s="27"/>
      <c r="E35" s="27"/>
      <c r="F35" s="27"/>
      <c r="G35" s="27"/>
      <c r="H35" s="27"/>
      <c r="I35" s="27"/>
      <c r="J35" s="42"/>
      <c r="K35" s="8"/>
      <c r="L35" s="8"/>
      <c r="M35" s="45" t="s">
        <v>42</v>
      </c>
      <c r="N35" s="45">
        <f t="shared" si="3"/>
        <v>0</v>
      </c>
      <c r="O35" s="45">
        <f t="shared" si="4"/>
        <v>12120</v>
      </c>
      <c r="P35" s="45">
        <f t="shared" si="5"/>
        <v>8181</v>
      </c>
      <c r="Q35" s="45">
        <f t="shared" si="6"/>
        <v>3665.2</v>
      </c>
      <c r="R35" s="45">
        <f t="shared" si="7"/>
        <v>5268.6</v>
      </c>
      <c r="S35" s="45">
        <f t="shared" si="8"/>
        <v>0</v>
      </c>
      <c r="T35" s="45">
        <f t="shared" si="9"/>
        <v>0</v>
      </c>
      <c r="U35" s="45">
        <f t="shared" si="10"/>
        <v>5788.8</v>
      </c>
      <c r="V35" s="45">
        <f t="shared" si="11"/>
        <v>29234.8</v>
      </c>
      <c r="W35" s="45">
        <v>4.75</v>
      </c>
      <c r="X35" s="45">
        <f t="shared" si="12"/>
        <v>0.882</v>
      </c>
      <c r="Y35" s="45">
        <f t="shared" si="13"/>
        <v>157443.650793651</v>
      </c>
    </row>
    <row r="36" spans="1:25">
      <c r="A36" s="8"/>
      <c r="B36" s="28"/>
      <c r="C36" s="29" t="s">
        <v>6</v>
      </c>
      <c r="D36" s="22" t="s">
        <v>7</v>
      </c>
      <c r="E36" s="22" t="s">
        <v>8</v>
      </c>
      <c r="F36" s="22" t="s">
        <v>9</v>
      </c>
      <c r="G36" s="22" t="s">
        <v>10</v>
      </c>
      <c r="H36" s="22" t="s">
        <v>132</v>
      </c>
      <c r="I36" s="22" t="s">
        <v>133</v>
      </c>
      <c r="J36" s="40" t="s">
        <v>134</v>
      </c>
      <c r="K36" s="8"/>
      <c r="L36" s="8"/>
      <c r="M36" s="45" t="s">
        <v>43</v>
      </c>
      <c r="N36" s="45">
        <f t="shared" si="3"/>
        <v>0</v>
      </c>
      <c r="O36" s="45">
        <f t="shared" si="4"/>
        <v>0</v>
      </c>
      <c r="P36" s="45">
        <f t="shared" si="5"/>
        <v>0</v>
      </c>
      <c r="Q36" s="45">
        <f t="shared" si="6"/>
        <v>3665.2</v>
      </c>
      <c r="R36" s="45">
        <f t="shared" si="7"/>
        <v>0</v>
      </c>
      <c r="S36" s="45">
        <f t="shared" si="8"/>
        <v>3287.5</v>
      </c>
      <c r="T36" s="45">
        <f t="shared" si="9"/>
        <v>0</v>
      </c>
      <c r="U36" s="45">
        <f t="shared" si="10"/>
        <v>1447.2</v>
      </c>
      <c r="V36" s="45">
        <f t="shared" si="11"/>
        <v>3665.2</v>
      </c>
      <c r="W36" s="45">
        <v>7.5</v>
      </c>
      <c r="X36" s="45">
        <f t="shared" si="12"/>
        <v>0.882</v>
      </c>
      <c r="Y36" s="45">
        <f t="shared" si="13"/>
        <v>31166.6666666667</v>
      </c>
    </row>
    <row r="37" spans="1:25">
      <c r="A37" s="8"/>
      <c r="B37" s="28" t="s">
        <v>24</v>
      </c>
      <c r="C37" s="30">
        <v>1</v>
      </c>
      <c r="D37" s="31">
        <v>2</v>
      </c>
      <c r="E37" s="31">
        <v>4</v>
      </c>
      <c r="F37" s="31">
        <v>4</v>
      </c>
      <c r="G37" s="31">
        <v>1</v>
      </c>
      <c r="H37" s="31"/>
      <c r="I37" s="31"/>
      <c r="J37" s="43">
        <v>2</v>
      </c>
      <c r="K37" s="8"/>
      <c r="L37" s="8"/>
      <c r="M37" s="45" t="s">
        <v>44</v>
      </c>
      <c r="N37" s="45">
        <f t="shared" si="3"/>
        <v>0</v>
      </c>
      <c r="O37" s="45">
        <f t="shared" si="4"/>
        <v>3030</v>
      </c>
      <c r="P37" s="45">
        <f t="shared" si="5"/>
        <v>16362</v>
      </c>
      <c r="Q37" s="45">
        <f t="shared" si="6"/>
        <v>0</v>
      </c>
      <c r="R37" s="45">
        <f t="shared" si="7"/>
        <v>0</v>
      </c>
      <c r="S37" s="45">
        <f t="shared" si="8"/>
        <v>0</v>
      </c>
      <c r="T37" s="45">
        <f t="shared" si="9"/>
        <v>0</v>
      </c>
      <c r="U37" s="45">
        <f t="shared" si="10"/>
        <v>0</v>
      </c>
      <c r="V37" s="45">
        <f t="shared" si="11"/>
        <v>19392</v>
      </c>
      <c r="W37" s="45">
        <v>10</v>
      </c>
      <c r="X37" s="45">
        <f t="shared" si="12"/>
        <v>0.882</v>
      </c>
      <c r="Y37" s="45">
        <f t="shared" si="13"/>
        <v>219863.945578231</v>
      </c>
    </row>
    <row r="38" spans="1:25">
      <c r="A38" s="8"/>
      <c r="B38" s="28" t="s">
        <v>25</v>
      </c>
      <c r="C38" s="32">
        <v>4</v>
      </c>
      <c r="D38" s="33"/>
      <c r="E38" s="33">
        <v>2</v>
      </c>
      <c r="F38" s="33">
        <v>2</v>
      </c>
      <c r="G38" s="33"/>
      <c r="H38" s="33"/>
      <c r="I38" s="33"/>
      <c r="J38" s="39">
        <v>1</v>
      </c>
      <c r="K38" s="8"/>
      <c r="L38" s="8"/>
      <c r="M38" s="45" t="s">
        <v>45</v>
      </c>
      <c r="N38" s="45">
        <f t="shared" si="3"/>
        <v>4158.75</v>
      </c>
      <c r="O38" s="45">
        <f t="shared" si="4"/>
        <v>0</v>
      </c>
      <c r="P38" s="45">
        <f t="shared" si="5"/>
        <v>0</v>
      </c>
      <c r="Q38" s="45">
        <f t="shared" si="6"/>
        <v>0</v>
      </c>
      <c r="R38" s="45">
        <f t="shared" si="7"/>
        <v>5268.6</v>
      </c>
      <c r="S38" s="45">
        <f t="shared" si="8"/>
        <v>3287.5</v>
      </c>
      <c r="T38" s="45">
        <f t="shared" si="9"/>
        <v>1386.25</v>
      </c>
      <c r="U38" s="45">
        <f t="shared" si="10"/>
        <v>1447.2</v>
      </c>
      <c r="V38" s="45">
        <f t="shared" si="11"/>
        <v>9427.35</v>
      </c>
      <c r="W38" s="45">
        <v>7.25</v>
      </c>
      <c r="X38" s="45">
        <f t="shared" si="12"/>
        <v>0.882</v>
      </c>
      <c r="Y38" s="45">
        <f t="shared" si="13"/>
        <v>77492.3894557823</v>
      </c>
    </row>
    <row r="39" spans="1:25">
      <c r="A39" s="8"/>
      <c r="B39" s="28" t="s">
        <v>26</v>
      </c>
      <c r="C39" s="32"/>
      <c r="D39" s="33"/>
      <c r="E39" s="33"/>
      <c r="F39" s="33">
        <v>4</v>
      </c>
      <c r="G39" s="33">
        <v>1</v>
      </c>
      <c r="H39" s="33">
        <v>2</v>
      </c>
      <c r="I39" s="33">
        <v>4</v>
      </c>
      <c r="J39" s="39">
        <v>1</v>
      </c>
      <c r="K39" s="8"/>
      <c r="L39" s="8"/>
      <c r="M39" s="45" t="s">
        <v>46</v>
      </c>
      <c r="N39" s="45">
        <f t="shared" si="3"/>
        <v>8317.5</v>
      </c>
      <c r="O39" s="45">
        <f t="shared" si="4"/>
        <v>3030</v>
      </c>
      <c r="P39" s="45">
        <f t="shared" si="5"/>
        <v>0</v>
      </c>
      <c r="Q39" s="45">
        <f t="shared" si="6"/>
        <v>0</v>
      </c>
      <c r="R39" s="45">
        <f t="shared" si="7"/>
        <v>10537.2</v>
      </c>
      <c r="S39" s="45">
        <f t="shared" si="8"/>
        <v>1643.75</v>
      </c>
      <c r="T39" s="45">
        <f t="shared" si="9"/>
        <v>2079.375</v>
      </c>
      <c r="U39" s="45">
        <f t="shared" si="10"/>
        <v>0</v>
      </c>
      <c r="V39" s="45">
        <f t="shared" si="11"/>
        <v>21884.7</v>
      </c>
      <c r="W39" s="45">
        <v>6.25</v>
      </c>
      <c r="X39" s="45">
        <f t="shared" si="12"/>
        <v>0.882</v>
      </c>
      <c r="Y39" s="45">
        <f t="shared" si="13"/>
        <v>155078.656462585</v>
      </c>
    </row>
    <row r="40" spans="1:25">
      <c r="A40" s="8"/>
      <c r="B40" s="28" t="s">
        <v>27</v>
      </c>
      <c r="C40" s="32"/>
      <c r="D40" s="33">
        <v>1</v>
      </c>
      <c r="E40" s="33">
        <v>2</v>
      </c>
      <c r="F40" s="33">
        <v>2</v>
      </c>
      <c r="G40" s="33"/>
      <c r="H40" s="33"/>
      <c r="I40" s="33"/>
      <c r="J40" s="39"/>
      <c r="K40" s="8"/>
      <c r="L40" s="8"/>
      <c r="M40" s="45" t="s">
        <v>47</v>
      </c>
      <c r="N40" s="45">
        <f t="shared" si="3"/>
        <v>0</v>
      </c>
      <c r="O40" s="45">
        <f t="shared" si="4"/>
        <v>6060</v>
      </c>
      <c r="P40" s="45">
        <f t="shared" si="5"/>
        <v>16362</v>
      </c>
      <c r="Q40" s="45">
        <f t="shared" si="6"/>
        <v>7330.4</v>
      </c>
      <c r="R40" s="45">
        <f t="shared" si="7"/>
        <v>2634.3</v>
      </c>
      <c r="S40" s="45">
        <f t="shared" si="8"/>
        <v>0</v>
      </c>
      <c r="T40" s="45">
        <f t="shared" si="9"/>
        <v>0</v>
      </c>
      <c r="U40" s="45">
        <f t="shared" si="10"/>
        <v>4341.6</v>
      </c>
      <c r="V40" s="45">
        <f t="shared" si="11"/>
        <v>32386.7</v>
      </c>
      <c r="W40" s="45">
        <v>10.5</v>
      </c>
      <c r="X40" s="45">
        <f t="shared" si="12"/>
        <v>0.882</v>
      </c>
      <c r="Y40" s="45">
        <f t="shared" si="13"/>
        <v>385555.952380952</v>
      </c>
    </row>
    <row r="41" spans="1:25">
      <c r="A41" s="8"/>
      <c r="B41" s="28" t="s">
        <v>29</v>
      </c>
      <c r="C41" s="32"/>
      <c r="D41" s="33">
        <v>1</v>
      </c>
      <c r="E41" s="33">
        <v>2</v>
      </c>
      <c r="F41" s="33"/>
      <c r="G41" s="33"/>
      <c r="H41" s="33">
        <v>1</v>
      </c>
      <c r="I41" s="33">
        <v>1</v>
      </c>
      <c r="J41" s="39"/>
      <c r="K41" s="8"/>
      <c r="L41" s="8"/>
      <c r="M41" s="45" t="s">
        <v>48</v>
      </c>
      <c r="N41" s="45">
        <f t="shared" si="3"/>
        <v>0</v>
      </c>
      <c r="O41" s="45">
        <f t="shared" si="4"/>
        <v>6060</v>
      </c>
      <c r="P41" s="45">
        <f t="shared" si="5"/>
        <v>12271.5</v>
      </c>
      <c r="Q41" s="45">
        <f t="shared" si="6"/>
        <v>5497.8</v>
      </c>
      <c r="R41" s="45">
        <f t="shared" si="7"/>
        <v>0</v>
      </c>
      <c r="S41" s="45">
        <f t="shared" si="8"/>
        <v>0</v>
      </c>
      <c r="T41" s="45">
        <f t="shared" si="9"/>
        <v>0</v>
      </c>
      <c r="U41" s="45">
        <f t="shared" si="10"/>
        <v>5788.8</v>
      </c>
      <c r="V41" s="45">
        <f t="shared" si="11"/>
        <v>23829.3</v>
      </c>
      <c r="W41" s="45">
        <v>5.75</v>
      </c>
      <c r="X41" s="45">
        <f t="shared" si="12"/>
        <v>0.882</v>
      </c>
      <c r="Y41" s="45">
        <f t="shared" si="13"/>
        <v>155349.744897959</v>
      </c>
    </row>
    <row r="42" spans="1:25">
      <c r="A42" s="8"/>
      <c r="B42" s="28" t="s">
        <v>30</v>
      </c>
      <c r="C42" s="32">
        <v>1</v>
      </c>
      <c r="D42" s="33"/>
      <c r="E42" s="33"/>
      <c r="F42" s="33"/>
      <c r="G42" s="33">
        <v>2</v>
      </c>
      <c r="H42" s="33"/>
      <c r="I42" s="33"/>
      <c r="J42" s="39">
        <v>3</v>
      </c>
      <c r="K42" s="8"/>
      <c r="L42" s="8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>
      <c r="A43" s="8"/>
      <c r="B43" s="28" t="s">
        <v>31</v>
      </c>
      <c r="C43" s="32"/>
      <c r="D43" s="33">
        <v>4</v>
      </c>
      <c r="E43" s="33"/>
      <c r="F43" s="33"/>
      <c r="G43" s="33">
        <v>4</v>
      </c>
      <c r="H43" s="33"/>
      <c r="I43" s="33">
        <v>1</v>
      </c>
      <c r="J43" s="39">
        <v>1</v>
      </c>
      <c r="K43" s="8"/>
      <c r="L43" s="8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>
      <c r="A44" s="8"/>
      <c r="B44" s="28" t="s">
        <v>32</v>
      </c>
      <c r="C44" s="32"/>
      <c r="D44" s="33"/>
      <c r="E44" s="33"/>
      <c r="F44" s="33">
        <v>4</v>
      </c>
      <c r="G44" s="33"/>
      <c r="H44" s="33">
        <v>2</v>
      </c>
      <c r="I44" s="33">
        <v>2</v>
      </c>
      <c r="J44" s="39">
        <v>3</v>
      </c>
      <c r="K44" s="8"/>
      <c r="L44" s="8"/>
      <c r="M44" s="45" t="s">
        <v>49</v>
      </c>
      <c r="N44" s="45" t="s">
        <v>6</v>
      </c>
      <c r="O44" s="45" t="s">
        <v>7</v>
      </c>
      <c r="P44" s="45" t="s">
        <v>8</v>
      </c>
      <c r="Q44" s="45" t="s">
        <v>9</v>
      </c>
      <c r="R44" s="45" t="s">
        <v>10</v>
      </c>
      <c r="S44" s="45" t="s">
        <v>132</v>
      </c>
      <c r="T44" s="45" t="s">
        <v>133</v>
      </c>
      <c r="U44" s="45" t="s">
        <v>134</v>
      </c>
      <c r="V44" s="45" t="s">
        <v>50</v>
      </c>
      <c r="W44" s="45" t="s">
        <v>51</v>
      </c>
      <c r="X44" s="45"/>
      <c r="Y44" s="45"/>
    </row>
    <row r="45" spans="1:25">
      <c r="A45" s="8"/>
      <c r="B45" s="28" t="s">
        <v>34</v>
      </c>
      <c r="C45" s="32"/>
      <c r="D45" s="33">
        <v>2</v>
      </c>
      <c r="E45" s="33">
        <v>2</v>
      </c>
      <c r="F45" s="33"/>
      <c r="G45" s="33"/>
      <c r="H45" s="33">
        <v>1</v>
      </c>
      <c r="I45" s="33">
        <v>2</v>
      </c>
      <c r="J45" s="39"/>
      <c r="K45" s="8"/>
      <c r="L45" s="8"/>
      <c r="M45" s="45" t="s">
        <v>24</v>
      </c>
      <c r="N45" s="45">
        <f t="shared" ref="N45:N64" si="14">$N$19*C37</f>
        <v>25.9921875</v>
      </c>
      <c r="O45" s="45">
        <f t="shared" ref="O45:O64" si="15">$O$19*D37</f>
        <v>75.75</v>
      </c>
      <c r="P45" s="45">
        <f t="shared" ref="P45:P64" si="16">$P$19*E37</f>
        <v>204.525</v>
      </c>
      <c r="Q45" s="45">
        <f t="shared" ref="Q45:Q64" si="17">$Q$19*F37</f>
        <v>91.63</v>
      </c>
      <c r="R45" s="45">
        <f t="shared" ref="R45:R64" si="18">$R$19*G37</f>
        <v>32.92875</v>
      </c>
      <c r="S45" s="45">
        <f t="shared" ref="S45:S64" si="19">$S$19*H37</f>
        <v>0</v>
      </c>
      <c r="T45" s="45">
        <f t="shared" ref="T45:T64" si="20">$T$19*I37</f>
        <v>0</v>
      </c>
      <c r="U45" s="45">
        <f t="shared" ref="U45:U64" si="21">$U$19*J37</f>
        <v>36.18</v>
      </c>
      <c r="V45" s="45">
        <f t="shared" ref="V45:V64" si="22">SUM(N45:R45)</f>
        <v>430.8259375</v>
      </c>
      <c r="W45" s="45">
        <v>444</v>
      </c>
      <c r="X45" s="45">
        <f t="shared" ref="X45:X64" si="23">W45*X22</f>
        <v>391.608</v>
      </c>
      <c r="Y45" s="45">
        <f t="shared" ref="Y45:Y64" si="24">X45-V45</f>
        <v>-39.2179374999999</v>
      </c>
    </row>
    <row r="46" spans="1:25">
      <c r="A46" s="8"/>
      <c r="B46" s="28" t="s">
        <v>36</v>
      </c>
      <c r="C46" s="32">
        <v>1</v>
      </c>
      <c r="D46" s="33"/>
      <c r="E46" s="33">
        <v>1</v>
      </c>
      <c r="F46" s="33">
        <v>1</v>
      </c>
      <c r="G46" s="33"/>
      <c r="H46" s="33"/>
      <c r="I46" s="33"/>
      <c r="J46" s="39">
        <v>1</v>
      </c>
      <c r="K46" s="8"/>
      <c r="L46" s="8"/>
      <c r="M46" s="45" t="s">
        <v>25</v>
      </c>
      <c r="N46" s="45">
        <f t="shared" si="14"/>
        <v>103.96875</v>
      </c>
      <c r="O46" s="45">
        <f t="shared" si="15"/>
        <v>0</v>
      </c>
      <c r="P46" s="45">
        <f t="shared" si="16"/>
        <v>102.2625</v>
      </c>
      <c r="Q46" s="45">
        <f t="shared" si="17"/>
        <v>45.815</v>
      </c>
      <c r="R46" s="45">
        <f t="shared" si="18"/>
        <v>0</v>
      </c>
      <c r="S46" s="45">
        <f t="shared" si="19"/>
        <v>0</v>
      </c>
      <c r="T46" s="45">
        <f t="shared" si="20"/>
        <v>0</v>
      </c>
      <c r="U46" s="45">
        <f t="shared" si="21"/>
        <v>18.09</v>
      </c>
      <c r="V46" s="45">
        <f t="shared" si="22"/>
        <v>252.04625</v>
      </c>
      <c r="W46" s="45">
        <v>240</v>
      </c>
      <c r="X46" s="45">
        <f t="shared" si="23"/>
        <v>211.68</v>
      </c>
      <c r="Y46" s="45">
        <f t="shared" si="24"/>
        <v>-40.36625</v>
      </c>
    </row>
    <row r="47" spans="1:25">
      <c r="A47" s="8"/>
      <c r="B47" s="28" t="s">
        <v>37</v>
      </c>
      <c r="C47" s="32">
        <v>2</v>
      </c>
      <c r="D47" s="33"/>
      <c r="E47" s="33"/>
      <c r="F47" s="33"/>
      <c r="G47" s="33">
        <v>4</v>
      </c>
      <c r="H47" s="33">
        <v>4</v>
      </c>
      <c r="I47" s="33">
        <v>2</v>
      </c>
      <c r="J47" s="39"/>
      <c r="K47" s="8"/>
      <c r="L47" s="8"/>
      <c r="M47" s="45" t="s">
        <v>26</v>
      </c>
      <c r="N47" s="45">
        <f t="shared" si="14"/>
        <v>0</v>
      </c>
      <c r="O47" s="45">
        <f t="shared" si="15"/>
        <v>0</v>
      </c>
      <c r="P47" s="45">
        <f t="shared" si="16"/>
        <v>0</v>
      </c>
      <c r="Q47" s="45">
        <f t="shared" si="17"/>
        <v>91.63</v>
      </c>
      <c r="R47" s="45">
        <f t="shared" si="18"/>
        <v>32.92875</v>
      </c>
      <c r="S47" s="45">
        <f t="shared" si="19"/>
        <v>41.09375</v>
      </c>
      <c r="T47" s="45">
        <f t="shared" si="20"/>
        <v>34.65625</v>
      </c>
      <c r="U47" s="45">
        <f t="shared" si="21"/>
        <v>18.09</v>
      </c>
      <c r="V47" s="45">
        <f t="shared" si="22"/>
        <v>124.55875</v>
      </c>
      <c r="W47" s="45">
        <v>120</v>
      </c>
      <c r="X47" s="45">
        <f t="shared" si="23"/>
        <v>105.84</v>
      </c>
      <c r="Y47" s="45">
        <f t="shared" si="24"/>
        <v>-18.71875</v>
      </c>
    </row>
    <row r="48" spans="1:25">
      <c r="A48" s="8"/>
      <c r="B48" s="28" t="s">
        <v>38</v>
      </c>
      <c r="C48" s="32">
        <v>4</v>
      </c>
      <c r="D48" s="33"/>
      <c r="E48" s="33"/>
      <c r="F48" s="33"/>
      <c r="G48" s="33">
        <v>4</v>
      </c>
      <c r="H48" s="33">
        <v>3</v>
      </c>
      <c r="I48" s="33">
        <v>4</v>
      </c>
      <c r="J48" s="39"/>
      <c r="K48" s="8"/>
      <c r="L48" s="8"/>
      <c r="M48" s="45" t="s">
        <v>27</v>
      </c>
      <c r="N48" s="45">
        <f t="shared" si="14"/>
        <v>0</v>
      </c>
      <c r="O48" s="45">
        <f t="shared" si="15"/>
        <v>37.875</v>
      </c>
      <c r="P48" s="45">
        <f t="shared" si="16"/>
        <v>102.2625</v>
      </c>
      <c r="Q48" s="45">
        <f t="shared" si="17"/>
        <v>45.815</v>
      </c>
      <c r="R48" s="45">
        <f t="shared" si="18"/>
        <v>0</v>
      </c>
      <c r="S48" s="45">
        <f t="shared" si="19"/>
        <v>0</v>
      </c>
      <c r="T48" s="45">
        <f t="shared" si="20"/>
        <v>0</v>
      </c>
      <c r="U48" s="45">
        <f t="shared" si="21"/>
        <v>0</v>
      </c>
      <c r="V48" s="45">
        <f t="shared" si="22"/>
        <v>185.9525</v>
      </c>
      <c r="W48" s="45">
        <v>192</v>
      </c>
      <c r="X48" s="45">
        <f t="shared" si="23"/>
        <v>169.344</v>
      </c>
      <c r="Y48" s="45">
        <f t="shared" si="24"/>
        <v>-16.6085</v>
      </c>
    </row>
    <row r="49" spans="1:25">
      <c r="A49" s="8"/>
      <c r="B49" s="28" t="s">
        <v>39</v>
      </c>
      <c r="C49" s="32">
        <v>2</v>
      </c>
      <c r="D49" s="33"/>
      <c r="E49" s="33"/>
      <c r="F49" s="33"/>
      <c r="G49" s="33">
        <v>2</v>
      </c>
      <c r="H49" s="33">
        <v>2</v>
      </c>
      <c r="I49" s="33">
        <v>1</v>
      </c>
      <c r="J49" s="39"/>
      <c r="K49" s="8"/>
      <c r="L49" s="8"/>
      <c r="M49" s="45" t="s">
        <v>29</v>
      </c>
      <c r="N49" s="45">
        <f t="shared" si="14"/>
        <v>0</v>
      </c>
      <c r="O49" s="45">
        <f t="shared" si="15"/>
        <v>37.875</v>
      </c>
      <c r="P49" s="45">
        <f t="shared" si="16"/>
        <v>102.2625</v>
      </c>
      <c r="Q49" s="45">
        <f t="shared" si="17"/>
        <v>0</v>
      </c>
      <c r="R49" s="45">
        <f t="shared" si="18"/>
        <v>0</v>
      </c>
      <c r="S49" s="45">
        <f t="shared" si="19"/>
        <v>20.546875</v>
      </c>
      <c r="T49" s="45">
        <f t="shared" si="20"/>
        <v>8.6640625</v>
      </c>
      <c r="U49" s="45">
        <f t="shared" si="21"/>
        <v>0</v>
      </c>
      <c r="V49" s="45">
        <f t="shared" si="22"/>
        <v>140.1375</v>
      </c>
      <c r="W49" s="45">
        <v>154.285714285714</v>
      </c>
      <c r="X49" s="45">
        <f t="shared" si="23"/>
        <v>136.08</v>
      </c>
      <c r="Y49" s="45">
        <f t="shared" si="24"/>
        <v>-4.0575</v>
      </c>
    </row>
    <row r="50" spans="1:25">
      <c r="A50" s="8"/>
      <c r="B50" s="28" t="s">
        <v>42</v>
      </c>
      <c r="C50" s="32"/>
      <c r="D50" s="33">
        <v>4</v>
      </c>
      <c r="E50" s="33">
        <v>2</v>
      </c>
      <c r="F50" s="33">
        <v>2</v>
      </c>
      <c r="G50" s="33">
        <v>2</v>
      </c>
      <c r="H50" s="33"/>
      <c r="I50" s="33"/>
      <c r="J50" s="39">
        <v>4</v>
      </c>
      <c r="K50" s="8"/>
      <c r="L50" s="8"/>
      <c r="M50" s="45" t="s">
        <v>30</v>
      </c>
      <c r="N50" s="45">
        <f t="shared" si="14"/>
        <v>25.9921875</v>
      </c>
      <c r="O50" s="45">
        <f t="shared" si="15"/>
        <v>0</v>
      </c>
      <c r="P50" s="45">
        <f t="shared" si="16"/>
        <v>0</v>
      </c>
      <c r="Q50" s="45">
        <f t="shared" si="17"/>
        <v>0</v>
      </c>
      <c r="R50" s="45">
        <f t="shared" si="18"/>
        <v>65.8575</v>
      </c>
      <c r="S50" s="45">
        <f t="shared" si="19"/>
        <v>0</v>
      </c>
      <c r="T50" s="45">
        <f t="shared" si="20"/>
        <v>0</v>
      </c>
      <c r="U50" s="45">
        <f t="shared" si="21"/>
        <v>54.27</v>
      </c>
      <c r="V50" s="45">
        <f t="shared" si="22"/>
        <v>91.8496875</v>
      </c>
      <c r="W50" s="45">
        <v>87.2727272727273</v>
      </c>
      <c r="X50" s="45">
        <f t="shared" si="23"/>
        <v>76.9745454545454</v>
      </c>
      <c r="Y50" s="45">
        <f t="shared" si="24"/>
        <v>-14.8751420454546</v>
      </c>
    </row>
    <row r="51" spans="1:25">
      <c r="A51" s="8"/>
      <c r="B51" s="28" t="s">
        <v>43</v>
      </c>
      <c r="C51" s="32"/>
      <c r="D51" s="33"/>
      <c r="E51" s="33"/>
      <c r="F51" s="33">
        <v>2</v>
      </c>
      <c r="G51" s="33"/>
      <c r="H51" s="33">
        <v>2</v>
      </c>
      <c r="I51" s="33"/>
      <c r="J51" s="39">
        <v>1</v>
      </c>
      <c r="K51" s="8"/>
      <c r="L51" s="8"/>
      <c r="M51" s="45" t="s">
        <v>31</v>
      </c>
      <c r="N51" s="45">
        <f t="shared" si="14"/>
        <v>0</v>
      </c>
      <c r="O51" s="45">
        <f t="shared" si="15"/>
        <v>151.5</v>
      </c>
      <c r="P51" s="45">
        <f t="shared" si="16"/>
        <v>0</v>
      </c>
      <c r="Q51" s="45">
        <f t="shared" si="17"/>
        <v>0</v>
      </c>
      <c r="R51" s="45">
        <f t="shared" si="18"/>
        <v>131.715</v>
      </c>
      <c r="S51" s="45">
        <f t="shared" si="19"/>
        <v>0</v>
      </c>
      <c r="T51" s="45">
        <f t="shared" si="20"/>
        <v>8.6640625</v>
      </c>
      <c r="U51" s="45">
        <f t="shared" si="21"/>
        <v>18.09</v>
      </c>
      <c r="V51" s="45">
        <f t="shared" si="22"/>
        <v>283.215</v>
      </c>
      <c r="W51" s="45">
        <v>300</v>
      </c>
      <c r="X51" s="45">
        <f t="shared" si="23"/>
        <v>264.6</v>
      </c>
      <c r="Y51" s="45">
        <f t="shared" si="24"/>
        <v>-18.615</v>
      </c>
    </row>
    <row r="52" spans="1:25">
      <c r="A52" s="8"/>
      <c r="B52" s="28" t="s">
        <v>44</v>
      </c>
      <c r="C52" s="32"/>
      <c r="D52" s="33">
        <v>1</v>
      </c>
      <c r="E52" s="33">
        <v>4</v>
      </c>
      <c r="F52" s="33"/>
      <c r="G52" s="33"/>
      <c r="H52" s="33"/>
      <c r="I52" s="33"/>
      <c r="J52" s="39"/>
      <c r="K52" s="8"/>
      <c r="L52" s="8"/>
      <c r="M52" s="45" t="s">
        <v>32</v>
      </c>
      <c r="N52" s="45">
        <f t="shared" si="14"/>
        <v>0</v>
      </c>
      <c r="O52" s="45">
        <f t="shared" si="15"/>
        <v>0</v>
      </c>
      <c r="P52" s="45">
        <f t="shared" si="16"/>
        <v>0</v>
      </c>
      <c r="Q52" s="45">
        <f t="shared" si="17"/>
        <v>91.63</v>
      </c>
      <c r="R52" s="45">
        <f t="shared" si="18"/>
        <v>0</v>
      </c>
      <c r="S52" s="45">
        <f t="shared" si="19"/>
        <v>41.09375</v>
      </c>
      <c r="T52" s="45">
        <f t="shared" si="20"/>
        <v>17.328125</v>
      </c>
      <c r="U52" s="45">
        <f t="shared" si="21"/>
        <v>54.27</v>
      </c>
      <c r="V52" s="45">
        <f t="shared" si="22"/>
        <v>91.63</v>
      </c>
      <c r="W52" s="45">
        <v>90</v>
      </c>
      <c r="X52" s="45">
        <f t="shared" si="23"/>
        <v>79.38</v>
      </c>
      <c r="Y52" s="45">
        <f t="shared" si="24"/>
        <v>-12.25</v>
      </c>
    </row>
    <row r="53" spans="1:25">
      <c r="A53" s="8"/>
      <c r="B53" s="28" t="s">
        <v>45</v>
      </c>
      <c r="C53" s="32">
        <v>2</v>
      </c>
      <c r="D53" s="33"/>
      <c r="E53" s="33"/>
      <c r="F53" s="33"/>
      <c r="G53" s="33">
        <v>2</v>
      </c>
      <c r="H53" s="33">
        <v>2</v>
      </c>
      <c r="I53" s="33">
        <v>2</v>
      </c>
      <c r="J53" s="39">
        <v>1</v>
      </c>
      <c r="K53" s="8"/>
      <c r="L53" s="8"/>
      <c r="M53" s="45" t="s">
        <v>34</v>
      </c>
      <c r="N53" s="45">
        <f t="shared" si="14"/>
        <v>0</v>
      </c>
      <c r="O53" s="45">
        <f t="shared" si="15"/>
        <v>75.75</v>
      </c>
      <c r="P53" s="45">
        <f t="shared" si="16"/>
        <v>102.2625</v>
      </c>
      <c r="Q53" s="45">
        <f t="shared" si="17"/>
        <v>0</v>
      </c>
      <c r="R53" s="45">
        <f t="shared" si="18"/>
        <v>0</v>
      </c>
      <c r="S53" s="45">
        <f t="shared" si="19"/>
        <v>20.546875</v>
      </c>
      <c r="T53" s="45">
        <f t="shared" si="20"/>
        <v>17.328125</v>
      </c>
      <c r="U53" s="45">
        <f t="shared" si="21"/>
        <v>0</v>
      </c>
      <c r="V53" s="45">
        <f t="shared" si="22"/>
        <v>178.0125</v>
      </c>
      <c r="W53" s="45">
        <v>192</v>
      </c>
      <c r="X53" s="45">
        <f t="shared" si="23"/>
        <v>169.344</v>
      </c>
      <c r="Y53" s="45">
        <f t="shared" si="24"/>
        <v>-8.66849999999999</v>
      </c>
    </row>
    <row r="54" spans="1:25">
      <c r="A54" s="8"/>
      <c r="B54" s="28" t="s">
        <v>46</v>
      </c>
      <c r="C54" s="32">
        <v>4</v>
      </c>
      <c r="D54" s="33">
        <v>1</v>
      </c>
      <c r="E54" s="33"/>
      <c r="F54" s="33"/>
      <c r="G54" s="33">
        <v>4</v>
      </c>
      <c r="H54" s="33">
        <v>1</v>
      </c>
      <c r="I54" s="33">
        <v>3</v>
      </c>
      <c r="J54" s="39"/>
      <c r="K54" s="8"/>
      <c r="L54" s="8"/>
      <c r="M54" s="45" t="s">
        <v>36</v>
      </c>
      <c r="N54" s="45">
        <f t="shared" si="14"/>
        <v>25.9921875</v>
      </c>
      <c r="O54" s="45">
        <f t="shared" si="15"/>
        <v>0</v>
      </c>
      <c r="P54" s="45">
        <f t="shared" si="16"/>
        <v>51.13125</v>
      </c>
      <c r="Q54" s="45">
        <f t="shared" si="17"/>
        <v>22.9075</v>
      </c>
      <c r="R54" s="45">
        <f t="shared" si="18"/>
        <v>0</v>
      </c>
      <c r="S54" s="45">
        <f t="shared" si="19"/>
        <v>0</v>
      </c>
      <c r="T54" s="45">
        <f t="shared" si="20"/>
        <v>0</v>
      </c>
      <c r="U54" s="45">
        <f t="shared" si="21"/>
        <v>18.09</v>
      </c>
      <c r="V54" s="45">
        <f t="shared" si="22"/>
        <v>100.0309375</v>
      </c>
      <c r="W54" s="45">
        <v>96</v>
      </c>
      <c r="X54" s="45">
        <f t="shared" si="23"/>
        <v>84.672</v>
      </c>
      <c r="Y54" s="45">
        <f t="shared" si="24"/>
        <v>-15.3589375</v>
      </c>
    </row>
    <row r="55" spans="1:25">
      <c r="A55" s="8"/>
      <c r="B55" s="28" t="s">
        <v>47</v>
      </c>
      <c r="C55" s="32"/>
      <c r="D55" s="33">
        <v>2</v>
      </c>
      <c r="E55" s="33">
        <v>4</v>
      </c>
      <c r="F55" s="33">
        <v>4</v>
      </c>
      <c r="G55" s="33">
        <v>1</v>
      </c>
      <c r="H55" s="33"/>
      <c r="I55" s="33"/>
      <c r="J55" s="39">
        <v>3</v>
      </c>
      <c r="K55" s="8"/>
      <c r="L55" s="8"/>
      <c r="M55" s="45" t="s">
        <v>37</v>
      </c>
      <c r="N55" s="45">
        <f t="shared" si="14"/>
        <v>51.984375</v>
      </c>
      <c r="O55" s="45">
        <f t="shared" si="15"/>
        <v>0</v>
      </c>
      <c r="P55" s="45">
        <f t="shared" si="16"/>
        <v>0</v>
      </c>
      <c r="Q55" s="45">
        <f t="shared" si="17"/>
        <v>0</v>
      </c>
      <c r="R55" s="45">
        <f t="shared" si="18"/>
        <v>131.715</v>
      </c>
      <c r="S55" s="45">
        <f t="shared" si="19"/>
        <v>82.1875</v>
      </c>
      <c r="T55" s="45">
        <f t="shared" si="20"/>
        <v>17.328125</v>
      </c>
      <c r="U55" s="45">
        <f t="shared" si="21"/>
        <v>0</v>
      </c>
      <c r="V55" s="45">
        <f t="shared" si="22"/>
        <v>183.699375</v>
      </c>
      <c r="W55" s="45">
        <v>168</v>
      </c>
      <c r="X55" s="45">
        <f t="shared" si="23"/>
        <v>148.176</v>
      </c>
      <c r="Y55" s="45">
        <f t="shared" si="24"/>
        <v>-35.523375</v>
      </c>
    </row>
    <row r="56" spans="1:25">
      <c r="A56" s="8"/>
      <c r="B56" s="14" t="s">
        <v>48</v>
      </c>
      <c r="C56" s="15"/>
      <c r="D56" s="16">
        <v>2</v>
      </c>
      <c r="E56" s="16">
        <v>3</v>
      </c>
      <c r="F56" s="16">
        <v>3</v>
      </c>
      <c r="G56" s="16"/>
      <c r="H56" s="16"/>
      <c r="I56" s="16"/>
      <c r="J56" s="44">
        <v>4</v>
      </c>
      <c r="K56" s="8"/>
      <c r="L56" s="8"/>
      <c r="M56" s="45" t="s">
        <v>38</v>
      </c>
      <c r="N56" s="45">
        <f t="shared" si="14"/>
        <v>103.96875</v>
      </c>
      <c r="O56" s="45">
        <f t="shared" si="15"/>
        <v>0</v>
      </c>
      <c r="P56" s="45">
        <f t="shared" si="16"/>
        <v>0</v>
      </c>
      <c r="Q56" s="45">
        <f t="shared" si="17"/>
        <v>0</v>
      </c>
      <c r="R56" s="45">
        <f t="shared" si="18"/>
        <v>131.715</v>
      </c>
      <c r="S56" s="45">
        <f t="shared" si="19"/>
        <v>61.640625</v>
      </c>
      <c r="T56" s="45">
        <f t="shared" si="20"/>
        <v>34.65625</v>
      </c>
      <c r="U56" s="45">
        <f t="shared" si="21"/>
        <v>0</v>
      </c>
      <c r="V56" s="45">
        <f t="shared" si="22"/>
        <v>235.68375</v>
      </c>
      <c r="W56" s="45">
        <v>213.333333333333</v>
      </c>
      <c r="X56" s="45">
        <f t="shared" si="23"/>
        <v>188.16</v>
      </c>
      <c r="Y56" s="45">
        <f t="shared" si="24"/>
        <v>-47.52375</v>
      </c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45" t="s">
        <v>39</v>
      </c>
      <c r="N57" s="45">
        <f t="shared" si="14"/>
        <v>51.984375</v>
      </c>
      <c r="O57" s="45">
        <f t="shared" si="15"/>
        <v>0</v>
      </c>
      <c r="P57" s="45">
        <f t="shared" si="16"/>
        <v>0</v>
      </c>
      <c r="Q57" s="45">
        <f t="shared" si="17"/>
        <v>0</v>
      </c>
      <c r="R57" s="45">
        <f t="shared" si="18"/>
        <v>65.8575</v>
      </c>
      <c r="S57" s="45">
        <f t="shared" si="19"/>
        <v>41.09375</v>
      </c>
      <c r="T57" s="45">
        <f t="shared" si="20"/>
        <v>8.6640625</v>
      </c>
      <c r="U57" s="45">
        <f t="shared" si="21"/>
        <v>0</v>
      </c>
      <c r="V57" s="45">
        <f t="shared" si="22"/>
        <v>117.841875</v>
      </c>
      <c r="W57" s="45">
        <v>106.666666666667</v>
      </c>
      <c r="X57" s="45">
        <f t="shared" si="23"/>
        <v>94.08</v>
      </c>
      <c r="Y57" s="45">
        <f t="shared" si="24"/>
        <v>-23.761875</v>
      </c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45" t="s">
        <v>42</v>
      </c>
      <c r="N58" s="45">
        <f t="shared" si="14"/>
        <v>0</v>
      </c>
      <c r="O58" s="45">
        <f t="shared" si="15"/>
        <v>151.5</v>
      </c>
      <c r="P58" s="45">
        <f t="shared" si="16"/>
        <v>102.2625</v>
      </c>
      <c r="Q58" s="45">
        <f t="shared" si="17"/>
        <v>45.815</v>
      </c>
      <c r="R58" s="45">
        <f t="shared" si="18"/>
        <v>65.8575</v>
      </c>
      <c r="S58" s="45">
        <f t="shared" si="19"/>
        <v>0</v>
      </c>
      <c r="T58" s="45">
        <f t="shared" si="20"/>
        <v>0</v>
      </c>
      <c r="U58" s="45">
        <f t="shared" si="21"/>
        <v>72.36</v>
      </c>
      <c r="V58" s="45">
        <f t="shared" si="22"/>
        <v>365.435</v>
      </c>
      <c r="W58" s="45">
        <v>400</v>
      </c>
      <c r="X58" s="45">
        <f t="shared" si="23"/>
        <v>352.8</v>
      </c>
      <c r="Y58" s="45">
        <f t="shared" si="24"/>
        <v>-12.635</v>
      </c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45" t="s">
        <v>43</v>
      </c>
      <c r="N59" s="45">
        <f t="shared" si="14"/>
        <v>0</v>
      </c>
      <c r="O59" s="45">
        <f t="shared" si="15"/>
        <v>0</v>
      </c>
      <c r="P59" s="45">
        <f t="shared" si="16"/>
        <v>0</v>
      </c>
      <c r="Q59" s="45">
        <f t="shared" si="17"/>
        <v>45.815</v>
      </c>
      <c r="R59" s="45">
        <f t="shared" si="18"/>
        <v>0</v>
      </c>
      <c r="S59" s="45">
        <f t="shared" si="19"/>
        <v>41.09375</v>
      </c>
      <c r="T59" s="45">
        <f t="shared" si="20"/>
        <v>0</v>
      </c>
      <c r="U59" s="45">
        <f t="shared" si="21"/>
        <v>18.09</v>
      </c>
      <c r="V59" s="45">
        <f t="shared" si="22"/>
        <v>45.815</v>
      </c>
      <c r="W59" s="45">
        <v>48</v>
      </c>
      <c r="X59" s="45">
        <f t="shared" si="23"/>
        <v>42.336</v>
      </c>
      <c r="Y59" s="45">
        <f t="shared" si="24"/>
        <v>-3.479</v>
      </c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45" t="s">
        <v>44</v>
      </c>
      <c r="N60" s="45">
        <f t="shared" si="14"/>
        <v>0</v>
      </c>
      <c r="O60" s="45">
        <f t="shared" si="15"/>
        <v>37.875</v>
      </c>
      <c r="P60" s="45">
        <f t="shared" si="16"/>
        <v>204.525</v>
      </c>
      <c r="Q60" s="45">
        <f t="shared" si="17"/>
        <v>0</v>
      </c>
      <c r="R60" s="45">
        <f t="shared" si="18"/>
        <v>0</v>
      </c>
      <c r="S60" s="45">
        <f t="shared" si="19"/>
        <v>0</v>
      </c>
      <c r="T60" s="45">
        <f t="shared" si="20"/>
        <v>0</v>
      </c>
      <c r="U60" s="45">
        <f t="shared" si="21"/>
        <v>0</v>
      </c>
      <c r="V60" s="45">
        <f t="shared" si="22"/>
        <v>242.4</v>
      </c>
      <c r="W60" s="45">
        <v>264</v>
      </c>
      <c r="X60" s="45">
        <f t="shared" si="23"/>
        <v>232.848</v>
      </c>
      <c r="Y60" s="45">
        <f t="shared" si="24"/>
        <v>-9.55199999999999</v>
      </c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45" t="s">
        <v>45</v>
      </c>
      <c r="N61" s="45">
        <f t="shared" si="14"/>
        <v>51.984375</v>
      </c>
      <c r="O61" s="45">
        <f t="shared" si="15"/>
        <v>0</v>
      </c>
      <c r="P61" s="45">
        <f t="shared" si="16"/>
        <v>0</v>
      </c>
      <c r="Q61" s="45">
        <f t="shared" si="17"/>
        <v>0</v>
      </c>
      <c r="R61" s="45">
        <f t="shared" si="18"/>
        <v>65.8575</v>
      </c>
      <c r="S61" s="45">
        <f t="shared" si="19"/>
        <v>41.09375</v>
      </c>
      <c r="T61" s="45">
        <f t="shared" si="20"/>
        <v>17.328125</v>
      </c>
      <c r="U61" s="45">
        <f t="shared" si="21"/>
        <v>18.09</v>
      </c>
      <c r="V61" s="45">
        <f t="shared" si="22"/>
        <v>117.841875</v>
      </c>
      <c r="W61" s="45">
        <v>102.857142857143</v>
      </c>
      <c r="X61" s="45">
        <f t="shared" si="23"/>
        <v>90.72</v>
      </c>
      <c r="Y61" s="45">
        <f t="shared" si="24"/>
        <v>-27.121875</v>
      </c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45" t="s">
        <v>46</v>
      </c>
      <c r="N62" s="45">
        <f t="shared" si="14"/>
        <v>103.96875</v>
      </c>
      <c r="O62" s="45">
        <f t="shared" si="15"/>
        <v>37.875</v>
      </c>
      <c r="P62" s="45">
        <f t="shared" si="16"/>
        <v>0</v>
      </c>
      <c r="Q62" s="45">
        <f t="shared" si="17"/>
        <v>0</v>
      </c>
      <c r="R62" s="45">
        <f t="shared" si="18"/>
        <v>131.715</v>
      </c>
      <c r="S62" s="45">
        <f t="shared" si="19"/>
        <v>20.546875</v>
      </c>
      <c r="T62" s="45">
        <f t="shared" si="20"/>
        <v>25.9921875</v>
      </c>
      <c r="U62" s="45">
        <f t="shared" si="21"/>
        <v>0</v>
      </c>
      <c r="V62" s="45">
        <f t="shared" si="22"/>
        <v>273.55875</v>
      </c>
      <c r="W62" s="45">
        <v>256</v>
      </c>
      <c r="X62" s="45">
        <f t="shared" si="23"/>
        <v>225.792</v>
      </c>
      <c r="Y62" s="45">
        <f t="shared" si="24"/>
        <v>-47.76675</v>
      </c>
    </row>
    <row r="63" spans="13:25">
      <c r="M63" s="45" t="s">
        <v>47</v>
      </c>
      <c r="N63" s="45">
        <f t="shared" si="14"/>
        <v>0</v>
      </c>
      <c r="O63" s="45">
        <f t="shared" si="15"/>
        <v>75.75</v>
      </c>
      <c r="P63" s="45">
        <f t="shared" si="16"/>
        <v>204.525</v>
      </c>
      <c r="Q63" s="45">
        <f t="shared" si="17"/>
        <v>91.63</v>
      </c>
      <c r="R63" s="45">
        <f t="shared" si="18"/>
        <v>32.92875</v>
      </c>
      <c r="S63" s="45">
        <f t="shared" si="19"/>
        <v>0</v>
      </c>
      <c r="T63" s="45">
        <f t="shared" si="20"/>
        <v>0</v>
      </c>
      <c r="U63" s="45">
        <f t="shared" si="21"/>
        <v>54.27</v>
      </c>
      <c r="V63" s="45">
        <f t="shared" si="22"/>
        <v>404.83375</v>
      </c>
      <c r="W63" s="45">
        <v>422.4</v>
      </c>
      <c r="X63" s="45">
        <f t="shared" si="23"/>
        <v>372.5568</v>
      </c>
      <c r="Y63" s="45">
        <f t="shared" si="24"/>
        <v>-32.2769499999999</v>
      </c>
    </row>
    <row r="64" spans="13:25">
      <c r="M64" s="45" t="s">
        <v>48</v>
      </c>
      <c r="N64" s="45">
        <f t="shared" si="14"/>
        <v>0</v>
      </c>
      <c r="O64" s="45">
        <f t="shared" si="15"/>
        <v>75.75</v>
      </c>
      <c r="P64" s="45">
        <f t="shared" si="16"/>
        <v>153.39375</v>
      </c>
      <c r="Q64" s="45">
        <f t="shared" si="17"/>
        <v>68.7225</v>
      </c>
      <c r="R64" s="45">
        <f t="shared" si="18"/>
        <v>0</v>
      </c>
      <c r="S64" s="45">
        <f t="shared" si="19"/>
        <v>0</v>
      </c>
      <c r="T64" s="45">
        <f t="shared" si="20"/>
        <v>0</v>
      </c>
      <c r="U64" s="45">
        <f t="shared" si="21"/>
        <v>72.36</v>
      </c>
      <c r="V64" s="45">
        <f t="shared" si="22"/>
        <v>297.86625</v>
      </c>
      <c r="W64" s="45">
        <v>320</v>
      </c>
      <c r="X64" s="45">
        <f t="shared" si="23"/>
        <v>282.24</v>
      </c>
      <c r="Y64" s="45">
        <f t="shared" si="24"/>
        <v>-15.62625</v>
      </c>
    </row>
    <row r="67" spans="13:25">
      <c r="M67" s="47" t="s">
        <v>52</v>
      </c>
      <c r="N67" s="47" t="s">
        <v>6</v>
      </c>
      <c r="O67" s="47" t="s">
        <v>7</v>
      </c>
      <c r="P67" s="47" t="s">
        <v>8</v>
      </c>
      <c r="Q67" s="47" t="s">
        <v>9</v>
      </c>
      <c r="R67" s="47" t="s">
        <v>10</v>
      </c>
      <c r="S67" s="47" t="s">
        <v>132</v>
      </c>
      <c r="T67" s="47" t="s">
        <v>133</v>
      </c>
      <c r="U67" s="47" t="s">
        <v>134</v>
      </c>
      <c r="V67" s="47" t="s">
        <v>53</v>
      </c>
      <c r="W67" s="47" t="s">
        <v>20</v>
      </c>
      <c r="X67" s="47" t="s">
        <v>21</v>
      </c>
      <c r="Y67" s="47" t="s">
        <v>54</v>
      </c>
    </row>
    <row r="68" spans="13:25">
      <c r="M68" s="47" t="s">
        <v>24</v>
      </c>
      <c r="N68" s="47">
        <f>($C$18+2.576*$C$23)*C37</f>
        <v>81715.1600342381</v>
      </c>
      <c r="O68" s="47">
        <f>($D$18+2.576*$D$23)*D37</f>
        <v>215430.320068476</v>
      </c>
      <c r="P68" s="47">
        <f>($E$18+2.576*$E$23)*E37</f>
        <v>591321.280273905</v>
      </c>
      <c r="Q68" s="47">
        <f>($F$18+2.576*$F$23)*F37</f>
        <v>309775.80017119</v>
      </c>
      <c r="R68" s="47">
        <f>($G$18+2.576*$G$23)*G37</f>
        <v>96386.3700256786</v>
      </c>
      <c r="S68" s="47">
        <f>($H$18+2.576*$H$23)*H37</f>
        <v>0</v>
      </c>
      <c r="T68" s="47">
        <f>($I$18+2.576*$I$23)*I37</f>
        <v>0</v>
      </c>
      <c r="U68" s="47">
        <f>($J$18+2.576*$J$23)*J37</f>
        <v>127586.370025679</v>
      </c>
      <c r="V68" s="47">
        <f>SUM(N68:U68)</f>
        <v>1422215.30059917</v>
      </c>
      <c r="W68" s="47">
        <v>12.75</v>
      </c>
      <c r="X68" s="47">
        <f>0.98*0.9</f>
        <v>0.882</v>
      </c>
      <c r="Y68" s="47">
        <f>V68*W68/X68</f>
        <v>20559234.787573</v>
      </c>
    </row>
    <row r="69" spans="13:25">
      <c r="M69" s="47" t="s">
        <v>25</v>
      </c>
      <c r="N69" s="47">
        <f t="shared" ref="N69:N87" si="25">($C$18+2.576*$C$23)*C38</f>
        <v>326860.640136952</v>
      </c>
      <c r="O69" s="47">
        <f t="shared" ref="O69:O87" si="26">($D$18+2.576*$D$23)*D38</f>
        <v>0</v>
      </c>
      <c r="P69" s="47">
        <f t="shared" ref="P69:P87" si="27">($E$18+2.576*$E$23)*E38</f>
        <v>295660.640136952</v>
      </c>
      <c r="Q69" s="47">
        <f t="shared" ref="Q69:Q87" si="28">($F$18+2.576*$F$23)*F38</f>
        <v>154887.900085595</v>
      </c>
      <c r="R69" s="47">
        <f t="shared" ref="R69:R87" si="29">($G$18+2.576*$G$23)*G38</f>
        <v>0</v>
      </c>
      <c r="S69" s="47">
        <f t="shared" ref="S69:S87" si="30">($H$18+2.576*$H$23)*H38</f>
        <v>0</v>
      </c>
      <c r="T69" s="47">
        <f t="shared" ref="T69:T87" si="31">($I$18+2.576*$I$23)*I38</f>
        <v>0</v>
      </c>
      <c r="U69" s="47">
        <f t="shared" ref="U69:U87" si="32">($J$18+2.576*$J$23)*J38</f>
        <v>63793.1850128393</v>
      </c>
      <c r="V69" s="47">
        <f t="shared" ref="V69:V87" si="33">SUM(N69:U69)</f>
        <v>841202.365372339</v>
      </c>
      <c r="W69" s="47">
        <v>7.75</v>
      </c>
      <c r="X69" s="47">
        <f t="shared" ref="X69:X78" si="34">0.98*0.9</f>
        <v>0.882</v>
      </c>
      <c r="Y69" s="47">
        <f t="shared" ref="Y69:Y87" si="35">V69*W69/X69</f>
        <v>7391517.38280684</v>
      </c>
    </row>
    <row r="70" spans="13:25">
      <c r="M70" s="47" t="s">
        <v>26</v>
      </c>
      <c r="N70" s="47">
        <f t="shared" si="25"/>
        <v>0</v>
      </c>
      <c r="O70" s="47">
        <f t="shared" si="26"/>
        <v>0</v>
      </c>
      <c r="P70" s="47">
        <f t="shared" si="27"/>
        <v>0</v>
      </c>
      <c r="Q70" s="47">
        <f t="shared" si="28"/>
        <v>309775.80017119</v>
      </c>
      <c r="R70" s="47">
        <f t="shared" si="29"/>
        <v>96386.3700256786</v>
      </c>
      <c r="S70" s="47">
        <f t="shared" si="30"/>
        <v>111430.320068476</v>
      </c>
      <c r="T70" s="47">
        <f t="shared" si="31"/>
        <v>111430.320068476</v>
      </c>
      <c r="U70" s="47">
        <f t="shared" si="32"/>
        <v>63793.1850128393</v>
      </c>
      <c r="V70" s="47">
        <f t="shared" si="33"/>
        <v>692815.995346661</v>
      </c>
      <c r="W70" s="47">
        <v>9.5</v>
      </c>
      <c r="X70" s="47">
        <f t="shared" si="34"/>
        <v>0.882</v>
      </c>
      <c r="Y70" s="47">
        <f t="shared" si="35"/>
        <v>7462303.80475428</v>
      </c>
    </row>
    <row r="71" spans="13:25">
      <c r="M71" s="47" t="s">
        <v>27</v>
      </c>
      <c r="N71" s="47">
        <f t="shared" si="25"/>
        <v>0</v>
      </c>
      <c r="O71" s="47">
        <f t="shared" si="26"/>
        <v>107715.160034238</v>
      </c>
      <c r="P71" s="47">
        <f t="shared" si="27"/>
        <v>295660.640136952</v>
      </c>
      <c r="Q71" s="47">
        <f t="shared" si="28"/>
        <v>154887.900085595</v>
      </c>
      <c r="R71" s="47">
        <f t="shared" si="29"/>
        <v>0</v>
      </c>
      <c r="S71" s="47">
        <f t="shared" si="30"/>
        <v>0</v>
      </c>
      <c r="T71" s="47">
        <f t="shared" si="31"/>
        <v>0</v>
      </c>
      <c r="U71" s="47">
        <f t="shared" si="32"/>
        <v>0</v>
      </c>
      <c r="V71" s="47">
        <f t="shared" si="33"/>
        <v>558263.700256786</v>
      </c>
      <c r="W71" s="47">
        <v>7.5</v>
      </c>
      <c r="X71" s="47">
        <f t="shared" si="34"/>
        <v>0.882</v>
      </c>
      <c r="Y71" s="47">
        <f t="shared" si="35"/>
        <v>4747140.308306</v>
      </c>
    </row>
    <row r="72" spans="13:25">
      <c r="M72" s="47" t="s">
        <v>29</v>
      </c>
      <c r="N72" s="47">
        <f t="shared" si="25"/>
        <v>0</v>
      </c>
      <c r="O72" s="47">
        <f t="shared" si="26"/>
        <v>107715.160034238</v>
      </c>
      <c r="P72" s="47">
        <f t="shared" si="27"/>
        <v>295660.640136952</v>
      </c>
      <c r="Q72" s="47">
        <f t="shared" si="28"/>
        <v>0</v>
      </c>
      <c r="R72" s="47">
        <f t="shared" si="29"/>
        <v>0</v>
      </c>
      <c r="S72" s="47">
        <f t="shared" si="30"/>
        <v>55715.1600342381</v>
      </c>
      <c r="T72" s="47">
        <f t="shared" si="31"/>
        <v>27857.580017119</v>
      </c>
      <c r="U72" s="47">
        <f t="shared" si="32"/>
        <v>0</v>
      </c>
      <c r="V72" s="47">
        <f t="shared" si="33"/>
        <v>486948.540222548</v>
      </c>
      <c r="W72" s="47">
        <v>7.5</v>
      </c>
      <c r="X72" s="47">
        <f t="shared" si="34"/>
        <v>0.882</v>
      </c>
      <c r="Y72" s="47">
        <f t="shared" si="35"/>
        <v>4140718.87944343</v>
      </c>
    </row>
    <row r="73" spans="13:25">
      <c r="M73" s="47" t="s">
        <v>30</v>
      </c>
      <c r="N73" s="47">
        <f t="shared" si="25"/>
        <v>81715.1600342381</v>
      </c>
      <c r="O73" s="47">
        <f t="shared" si="26"/>
        <v>0</v>
      </c>
      <c r="P73" s="47">
        <f t="shared" si="27"/>
        <v>0</v>
      </c>
      <c r="Q73" s="47">
        <f t="shared" si="28"/>
        <v>0</v>
      </c>
      <c r="R73" s="47">
        <f t="shared" si="29"/>
        <v>192772.740051357</v>
      </c>
      <c r="S73" s="47">
        <f t="shared" si="30"/>
        <v>0</v>
      </c>
      <c r="T73" s="47">
        <f t="shared" si="31"/>
        <v>0</v>
      </c>
      <c r="U73" s="47">
        <f t="shared" si="32"/>
        <v>191379.555038518</v>
      </c>
      <c r="V73" s="47">
        <f t="shared" si="33"/>
        <v>465867.455124113</v>
      </c>
      <c r="W73" s="47">
        <v>10.5</v>
      </c>
      <c r="X73" s="47">
        <f t="shared" si="34"/>
        <v>0.882</v>
      </c>
      <c r="Y73" s="47">
        <f t="shared" si="35"/>
        <v>5546041.13242992</v>
      </c>
    </row>
    <row r="74" spans="13:25">
      <c r="M74" s="47" t="s">
        <v>31</v>
      </c>
      <c r="N74" s="47">
        <f t="shared" si="25"/>
        <v>0</v>
      </c>
      <c r="O74" s="47">
        <f t="shared" si="26"/>
        <v>430860.640136952</v>
      </c>
      <c r="P74" s="47">
        <f t="shared" si="27"/>
        <v>0</v>
      </c>
      <c r="Q74" s="47">
        <f t="shared" si="28"/>
        <v>0</v>
      </c>
      <c r="R74" s="47">
        <f t="shared" si="29"/>
        <v>385545.480102714</v>
      </c>
      <c r="S74" s="47">
        <f t="shared" si="30"/>
        <v>0</v>
      </c>
      <c r="T74" s="47">
        <f t="shared" si="31"/>
        <v>27857.580017119</v>
      </c>
      <c r="U74" s="47">
        <f t="shared" si="32"/>
        <v>63793.1850128393</v>
      </c>
      <c r="V74" s="47">
        <f t="shared" si="33"/>
        <v>908056.885269625</v>
      </c>
      <c r="W74" s="47">
        <v>10</v>
      </c>
      <c r="X74" s="47">
        <f t="shared" si="34"/>
        <v>0.882</v>
      </c>
      <c r="Y74" s="47">
        <f t="shared" si="35"/>
        <v>10295429.5382044</v>
      </c>
    </row>
    <row r="75" spans="13:25">
      <c r="M75" s="47" t="s">
        <v>32</v>
      </c>
      <c r="N75" s="47">
        <f t="shared" si="25"/>
        <v>0</v>
      </c>
      <c r="O75" s="47">
        <f t="shared" si="26"/>
        <v>0</v>
      </c>
      <c r="P75" s="47">
        <f t="shared" si="27"/>
        <v>0</v>
      </c>
      <c r="Q75" s="47">
        <f t="shared" si="28"/>
        <v>309775.80017119</v>
      </c>
      <c r="R75" s="47">
        <f t="shared" si="29"/>
        <v>0</v>
      </c>
      <c r="S75" s="47">
        <f t="shared" si="30"/>
        <v>111430.320068476</v>
      </c>
      <c r="T75" s="47">
        <f t="shared" si="31"/>
        <v>55715.1600342381</v>
      </c>
      <c r="U75" s="47">
        <f t="shared" si="32"/>
        <v>191379.555038518</v>
      </c>
      <c r="V75" s="47">
        <f t="shared" si="33"/>
        <v>668300.835312423</v>
      </c>
      <c r="W75" s="47">
        <v>4.75</v>
      </c>
      <c r="X75" s="47">
        <f t="shared" si="34"/>
        <v>0.882</v>
      </c>
      <c r="Y75" s="47">
        <f t="shared" si="35"/>
        <v>3599125.81375738</v>
      </c>
    </row>
    <row r="76" spans="13:25">
      <c r="M76" s="47" t="s">
        <v>34</v>
      </c>
      <c r="N76" s="47">
        <f t="shared" si="25"/>
        <v>0</v>
      </c>
      <c r="O76" s="47">
        <f t="shared" si="26"/>
        <v>215430.320068476</v>
      </c>
      <c r="P76" s="47">
        <f t="shared" si="27"/>
        <v>295660.640136952</v>
      </c>
      <c r="Q76" s="47">
        <f t="shared" si="28"/>
        <v>0</v>
      </c>
      <c r="R76" s="47">
        <f t="shared" si="29"/>
        <v>0</v>
      </c>
      <c r="S76" s="47">
        <f t="shared" si="30"/>
        <v>55715.1600342381</v>
      </c>
      <c r="T76" s="47">
        <f t="shared" si="31"/>
        <v>55715.1600342381</v>
      </c>
      <c r="U76" s="47">
        <f t="shared" si="32"/>
        <v>0</v>
      </c>
      <c r="V76" s="47">
        <f t="shared" si="33"/>
        <v>622521.280273905</v>
      </c>
      <c r="W76" s="47">
        <v>8.5</v>
      </c>
      <c r="X76" s="47">
        <f t="shared" si="34"/>
        <v>0.882</v>
      </c>
      <c r="Y76" s="47">
        <f t="shared" si="35"/>
        <v>5999354.7418687</v>
      </c>
    </row>
    <row r="77" spans="13:25">
      <c r="M77" s="47" t="s">
        <v>36</v>
      </c>
      <c r="N77" s="47">
        <f t="shared" si="25"/>
        <v>81715.1600342381</v>
      </c>
      <c r="O77" s="47">
        <f t="shared" si="26"/>
        <v>0</v>
      </c>
      <c r="P77" s="47">
        <f t="shared" si="27"/>
        <v>147830.320068476</v>
      </c>
      <c r="Q77" s="47">
        <f t="shared" si="28"/>
        <v>77443.9500427976</v>
      </c>
      <c r="R77" s="47">
        <f t="shared" si="29"/>
        <v>0</v>
      </c>
      <c r="S77" s="47">
        <f t="shared" si="30"/>
        <v>0</v>
      </c>
      <c r="T77" s="47">
        <f t="shared" si="31"/>
        <v>0</v>
      </c>
      <c r="U77" s="47">
        <f t="shared" si="32"/>
        <v>63793.1850128393</v>
      </c>
      <c r="V77" s="47">
        <f t="shared" si="33"/>
        <v>370782.615158351</v>
      </c>
      <c r="W77" s="47">
        <v>6.5</v>
      </c>
      <c r="X77" s="47">
        <f t="shared" si="34"/>
        <v>0.882</v>
      </c>
      <c r="Y77" s="47">
        <f t="shared" si="35"/>
        <v>2732524.94164318</v>
      </c>
    </row>
    <row r="78" spans="13:25">
      <c r="M78" s="47" t="s">
        <v>37</v>
      </c>
      <c r="N78" s="47">
        <f t="shared" si="25"/>
        <v>163430.320068476</v>
      </c>
      <c r="O78" s="47">
        <f t="shared" si="26"/>
        <v>0</v>
      </c>
      <c r="P78" s="47">
        <f t="shared" si="27"/>
        <v>0</v>
      </c>
      <c r="Q78" s="47">
        <f t="shared" si="28"/>
        <v>0</v>
      </c>
      <c r="R78" s="47">
        <f t="shared" si="29"/>
        <v>385545.480102714</v>
      </c>
      <c r="S78" s="47">
        <f t="shared" si="30"/>
        <v>222860.640136952</v>
      </c>
      <c r="T78" s="47">
        <f t="shared" si="31"/>
        <v>55715.1600342381</v>
      </c>
      <c r="U78" s="47">
        <f t="shared" si="32"/>
        <v>0</v>
      </c>
      <c r="V78" s="47">
        <f t="shared" si="33"/>
        <v>827551.600342381</v>
      </c>
      <c r="W78" s="47">
        <v>4</v>
      </c>
      <c r="X78" s="47">
        <f t="shared" si="34"/>
        <v>0.882</v>
      </c>
      <c r="Y78" s="47">
        <f t="shared" si="35"/>
        <v>3753068.48227837</v>
      </c>
    </row>
    <row r="79" spans="13:25">
      <c r="M79" s="47" t="s">
        <v>38</v>
      </c>
      <c r="N79" s="47">
        <f t="shared" si="25"/>
        <v>326860.640136952</v>
      </c>
      <c r="O79" s="47">
        <f t="shared" si="26"/>
        <v>0</v>
      </c>
      <c r="P79" s="47">
        <f t="shared" si="27"/>
        <v>0</v>
      </c>
      <c r="Q79" s="47">
        <f t="shared" si="28"/>
        <v>0</v>
      </c>
      <c r="R79" s="47">
        <f t="shared" si="29"/>
        <v>385545.480102714</v>
      </c>
      <c r="S79" s="47">
        <f t="shared" si="30"/>
        <v>167145.480102714</v>
      </c>
      <c r="T79" s="47">
        <f t="shared" si="31"/>
        <v>111430.320068476</v>
      </c>
      <c r="U79" s="47">
        <f t="shared" si="32"/>
        <v>0</v>
      </c>
      <c r="V79" s="47">
        <f t="shared" si="33"/>
        <v>990981.920410857</v>
      </c>
      <c r="W79" s="47">
        <v>6</v>
      </c>
      <c r="X79" s="47">
        <f t="shared" ref="X79:X87" si="36">0.98*0.9</f>
        <v>0.882</v>
      </c>
      <c r="Y79" s="47">
        <f t="shared" si="35"/>
        <v>6741373.60823712</v>
      </c>
    </row>
    <row r="80" spans="13:25">
      <c r="M80" s="47" t="s">
        <v>39</v>
      </c>
      <c r="N80" s="47">
        <f t="shared" si="25"/>
        <v>163430.320068476</v>
      </c>
      <c r="O80" s="47">
        <f t="shared" si="26"/>
        <v>0</v>
      </c>
      <c r="P80" s="47">
        <f t="shared" si="27"/>
        <v>0</v>
      </c>
      <c r="Q80" s="47">
        <f t="shared" si="28"/>
        <v>0</v>
      </c>
      <c r="R80" s="47">
        <f t="shared" si="29"/>
        <v>192772.740051357</v>
      </c>
      <c r="S80" s="47">
        <f t="shared" si="30"/>
        <v>111430.320068476</v>
      </c>
      <c r="T80" s="47">
        <f t="shared" si="31"/>
        <v>27857.580017119</v>
      </c>
      <c r="U80" s="47">
        <f t="shared" si="32"/>
        <v>0</v>
      </c>
      <c r="V80" s="47">
        <f t="shared" si="33"/>
        <v>495490.960205429</v>
      </c>
      <c r="W80" s="47">
        <v>7.5</v>
      </c>
      <c r="X80" s="47">
        <f t="shared" si="36"/>
        <v>0.882</v>
      </c>
      <c r="Y80" s="47">
        <f t="shared" si="35"/>
        <v>4213358.5051482</v>
      </c>
    </row>
    <row r="81" spans="13:25">
      <c r="M81" s="47" t="s">
        <v>42</v>
      </c>
      <c r="N81" s="47">
        <f t="shared" si="25"/>
        <v>0</v>
      </c>
      <c r="O81" s="47">
        <f t="shared" si="26"/>
        <v>430860.640136952</v>
      </c>
      <c r="P81" s="47">
        <f t="shared" si="27"/>
        <v>295660.640136952</v>
      </c>
      <c r="Q81" s="47">
        <f t="shared" si="28"/>
        <v>154887.900085595</v>
      </c>
      <c r="R81" s="47">
        <f t="shared" si="29"/>
        <v>192772.740051357</v>
      </c>
      <c r="S81" s="47">
        <f t="shared" si="30"/>
        <v>0</v>
      </c>
      <c r="T81" s="47">
        <f t="shared" si="31"/>
        <v>0</v>
      </c>
      <c r="U81" s="47">
        <f t="shared" si="32"/>
        <v>255172.740051357</v>
      </c>
      <c r="V81" s="47">
        <f t="shared" si="33"/>
        <v>1329354.66046221</v>
      </c>
      <c r="W81" s="47">
        <v>4.75</v>
      </c>
      <c r="X81" s="47">
        <f t="shared" si="36"/>
        <v>0.882</v>
      </c>
      <c r="Y81" s="47">
        <f t="shared" si="35"/>
        <v>7159222.94466612</v>
      </c>
    </row>
    <row r="82" spans="13:25">
      <c r="M82" s="47" t="s">
        <v>43</v>
      </c>
      <c r="N82" s="47">
        <f t="shared" si="25"/>
        <v>0</v>
      </c>
      <c r="O82" s="47">
        <f t="shared" si="26"/>
        <v>0</v>
      </c>
      <c r="P82" s="47">
        <f t="shared" si="27"/>
        <v>0</v>
      </c>
      <c r="Q82" s="47">
        <f t="shared" si="28"/>
        <v>154887.900085595</v>
      </c>
      <c r="R82" s="47">
        <f t="shared" si="29"/>
        <v>0</v>
      </c>
      <c r="S82" s="47">
        <f t="shared" si="30"/>
        <v>111430.320068476</v>
      </c>
      <c r="T82" s="47">
        <f t="shared" si="31"/>
        <v>0</v>
      </c>
      <c r="U82" s="47">
        <f t="shared" si="32"/>
        <v>63793.1850128393</v>
      </c>
      <c r="V82" s="47">
        <f t="shared" si="33"/>
        <v>330111.405166911</v>
      </c>
      <c r="W82" s="47">
        <v>7.5</v>
      </c>
      <c r="X82" s="47">
        <f t="shared" si="36"/>
        <v>0.882</v>
      </c>
      <c r="Y82" s="47">
        <f t="shared" si="35"/>
        <v>2807069.77182747</v>
      </c>
    </row>
    <row r="83" spans="13:25">
      <c r="M83" s="47" t="s">
        <v>44</v>
      </c>
      <c r="N83" s="47">
        <f t="shared" si="25"/>
        <v>0</v>
      </c>
      <c r="O83" s="47">
        <f t="shared" si="26"/>
        <v>107715.160034238</v>
      </c>
      <c r="P83" s="47">
        <f t="shared" si="27"/>
        <v>591321.280273905</v>
      </c>
      <c r="Q83" s="47">
        <f t="shared" si="28"/>
        <v>0</v>
      </c>
      <c r="R83" s="47">
        <f t="shared" si="29"/>
        <v>0</v>
      </c>
      <c r="S83" s="47">
        <f t="shared" si="30"/>
        <v>0</v>
      </c>
      <c r="T83" s="47">
        <f t="shared" si="31"/>
        <v>0</v>
      </c>
      <c r="U83" s="47">
        <f t="shared" si="32"/>
        <v>0</v>
      </c>
      <c r="V83" s="47">
        <f t="shared" si="33"/>
        <v>699036.440308143</v>
      </c>
      <c r="W83" s="47">
        <v>10</v>
      </c>
      <c r="X83" s="47">
        <f t="shared" si="36"/>
        <v>0.882</v>
      </c>
      <c r="Y83" s="47">
        <f t="shared" si="35"/>
        <v>7925583.22344833</v>
      </c>
    </row>
    <row r="84" spans="13:25">
      <c r="M84" s="47" t="s">
        <v>45</v>
      </c>
      <c r="N84" s="47">
        <f t="shared" si="25"/>
        <v>163430.320068476</v>
      </c>
      <c r="O84" s="47">
        <f t="shared" si="26"/>
        <v>0</v>
      </c>
      <c r="P84" s="47">
        <f t="shared" si="27"/>
        <v>0</v>
      </c>
      <c r="Q84" s="47">
        <f t="shared" si="28"/>
        <v>0</v>
      </c>
      <c r="R84" s="47">
        <f t="shared" si="29"/>
        <v>192772.740051357</v>
      </c>
      <c r="S84" s="47">
        <f t="shared" si="30"/>
        <v>111430.320068476</v>
      </c>
      <c r="T84" s="47">
        <f t="shared" si="31"/>
        <v>55715.1600342381</v>
      </c>
      <c r="U84" s="47">
        <f t="shared" si="32"/>
        <v>63793.1850128393</v>
      </c>
      <c r="V84" s="47">
        <f t="shared" si="33"/>
        <v>587141.725235387</v>
      </c>
      <c r="W84" s="47">
        <v>7.25</v>
      </c>
      <c r="X84" s="47">
        <f t="shared" si="36"/>
        <v>0.882</v>
      </c>
      <c r="Y84" s="47">
        <f t="shared" si="35"/>
        <v>4826278.35369224</v>
      </c>
    </row>
    <row r="85" spans="13:25">
      <c r="M85" s="47" t="s">
        <v>46</v>
      </c>
      <c r="N85" s="47">
        <f t="shared" si="25"/>
        <v>326860.640136952</v>
      </c>
      <c r="O85" s="47">
        <f t="shared" si="26"/>
        <v>107715.160034238</v>
      </c>
      <c r="P85" s="47">
        <f t="shared" si="27"/>
        <v>0</v>
      </c>
      <c r="Q85" s="47">
        <f t="shared" si="28"/>
        <v>0</v>
      </c>
      <c r="R85" s="47">
        <f t="shared" si="29"/>
        <v>385545.480102714</v>
      </c>
      <c r="S85" s="47">
        <f t="shared" si="30"/>
        <v>55715.1600342381</v>
      </c>
      <c r="T85" s="47">
        <f t="shared" si="31"/>
        <v>83572.7400513571</v>
      </c>
      <c r="U85" s="47">
        <f t="shared" si="32"/>
        <v>0</v>
      </c>
      <c r="V85" s="47">
        <f t="shared" si="33"/>
        <v>959409.1803595</v>
      </c>
      <c r="W85" s="47">
        <v>6.25</v>
      </c>
      <c r="X85" s="47">
        <f t="shared" si="36"/>
        <v>0.882</v>
      </c>
      <c r="Y85" s="47">
        <f t="shared" si="35"/>
        <v>6798534.44132299</v>
      </c>
    </row>
    <row r="86" spans="13:25">
      <c r="M86" s="47" t="s">
        <v>47</v>
      </c>
      <c r="N86" s="47">
        <f t="shared" si="25"/>
        <v>0</v>
      </c>
      <c r="O86" s="47">
        <f t="shared" si="26"/>
        <v>215430.320068476</v>
      </c>
      <c r="P86" s="47">
        <f t="shared" si="27"/>
        <v>591321.280273905</v>
      </c>
      <c r="Q86" s="47">
        <f t="shared" si="28"/>
        <v>309775.80017119</v>
      </c>
      <c r="R86" s="47">
        <f t="shared" si="29"/>
        <v>96386.3700256786</v>
      </c>
      <c r="S86" s="47">
        <f t="shared" si="30"/>
        <v>0</v>
      </c>
      <c r="T86" s="47">
        <f t="shared" si="31"/>
        <v>0</v>
      </c>
      <c r="U86" s="47">
        <f t="shared" si="32"/>
        <v>191379.555038518</v>
      </c>
      <c r="V86" s="47">
        <f t="shared" si="33"/>
        <v>1404293.32557777</v>
      </c>
      <c r="W86" s="47">
        <v>10.5</v>
      </c>
      <c r="X86" s="47">
        <f t="shared" si="36"/>
        <v>0.882</v>
      </c>
      <c r="Y86" s="47">
        <f t="shared" si="35"/>
        <v>16717777.6854496</v>
      </c>
    </row>
    <row r="87" spans="13:25">
      <c r="M87" s="47" t="s">
        <v>48</v>
      </c>
      <c r="N87" s="47">
        <f t="shared" si="25"/>
        <v>0</v>
      </c>
      <c r="O87" s="47">
        <f t="shared" si="26"/>
        <v>215430.320068476</v>
      </c>
      <c r="P87" s="47">
        <f t="shared" si="27"/>
        <v>443490.960205429</v>
      </c>
      <c r="Q87" s="47">
        <f t="shared" si="28"/>
        <v>232331.850128393</v>
      </c>
      <c r="R87" s="47">
        <f t="shared" si="29"/>
        <v>0</v>
      </c>
      <c r="S87" s="47">
        <f t="shared" si="30"/>
        <v>0</v>
      </c>
      <c r="T87" s="47">
        <f t="shared" si="31"/>
        <v>0</v>
      </c>
      <c r="U87" s="47">
        <f t="shared" si="32"/>
        <v>255172.740051357</v>
      </c>
      <c r="V87" s="47">
        <f t="shared" si="33"/>
        <v>1146425.87045365</v>
      </c>
      <c r="W87" s="47">
        <v>5.75</v>
      </c>
      <c r="X87" s="47">
        <f t="shared" si="36"/>
        <v>0.882</v>
      </c>
      <c r="Y87" s="47">
        <f t="shared" si="35"/>
        <v>7473864.80171033</v>
      </c>
    </row>
  </sheetData>
  <mergeCells count="5">
    <mergeCell ref="B16:H16"/>
    <mergeCell ref="B21:H21"/>
    <mergeCell ref="B26:H26"/>
    <mergeCell ref="B30:H30"/>
    <mergeCell ref="C35:J3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zoomScale="50" zoomScaleNormal="50" topLeftCell="A8" workbookViewId="0">
      <selection activeCell="Q12" sqref="Q12"/>
    </sheetView>
  </sheetViews>
  <sheetFormatPr defaultColWidth="8.88888888888889" defaultRowHeight="17.6"/>
  <cols>
    <col min="1" max="1" width="22.4513888888889" customWidth="1"/>
    <col min="2" max="2" width="21.4097222222222" customWidth="1"/>
    <col min="3" max="3" width="14" customWidth="1"/>
    <col min="5" max="5" width="13.1944444444444" customWidth="1"/>
    <col min="6" max="6" width="18.4027777777778" customWidth="1"/>
    <col min="7" max="7" width="14.8125" customWidth="1"/>
    <col min="8" max="8" width="15.2777777777778" customWidth="1"/>
    <col min="9" max="9" width="10.2986111111111" customWidth="1"/>
    <col min="10" max="10" width="15.9652777777778" customWidth="1"/>
    <col min="11" max="11" width="11.5694444444444" customWidth="1"/>
    <col min="12" max="12" width="16.8958333333333" customWidth="1"/>
    <col min="13" max="13" width="10.2986111111111" customWidth="1"/>
    <col min="14" max="14" width="15.9375" customWidth="1"/>
    <col min="15" max="15" width="11.8263888888889" customWidth="1"/>
    <col min="16" max="16" width="17.4861111111111" customWidth="1"/>
    <col min="17" max="17" width="12.7222222222222" customWidth="1"/>
    <col min="18" max="18" width="12.9583333333333" customWidth="1"/>
    <col min="19" max="19" width="14.1180555555556" customWidth="1"/>
    <col min="20" max="20" width="14.3472222222222" customWidth="1"/>
    <col min="21" max="21" width="13.1875" customWidth="1"/>
    <col min="22" max="22" width="12.2638888888889" customWidth="1"/>
    <col min="23" max="23" width="14.8125" customWidth="1"/>
    <col min="24" max="24" width="15.0416666666667" customWidth="1"/>
  </cols>
  <sheetData>
    <row r="1" spans="1:2">
      <c r="A1" t="s">
        <v>55</v>
      </c>
      <c r="B1" t="s">
        <v>56</v>
      </c>
    </row>
    <row r="2" spans="1:2">
      <c r="A2" t="s">
        <v>57</v>
      </c>
      <c r="B2">
        <v>2</v>
      </c>
    </row>
    <row r="3" spans="1:2">
      <c r="A3" t="s">
        <v>58</v>
      </c>
      <c r="B3">
        <v>0.1</v>
      </c>
    </row>
    <row r="4" spans="1:2">
      <c r="A4" t="s">
        <v>59</v>
      </c>
      <c r="B4">
        <v>20</v>
      </c>
    </row>
    <row r="5" spans="1:2">
      <c r="A5" t="s">
        <v>60</v>
      </c>
      <c r="B5">
        <v>0.35</v>
      </c>
    </row>
    <row r="6" spans="1:2">
      <c r="A6" t="s">
        <v>61</v>
      </c>
      <c r="B6">
        <v>250</v>
      </c>
    </row>
    <row r="7" spans="1:2">
      <c r="A7" t="s">
        <v>62</v>
      </c>
      <c r="B7">
        <v>200</v>
      </c>
    </row>
    <row r="8" spans="1:2">
      <c r="A8" t="s">
        <v>63</v>
      </c>
      <c r="B8">
        <v>0.4</v>
      </c>
    </row>
    <row r="9" spans="1:2">
      <c r="A9" t="s">
        <v>64</v>
      </c>
      <c r="B9">
        <v>80</v>
      </c>
    </row>
    <row r="10" spans="1:2">
      <c r="A10" t="s">
        <v>65</v>
      </c>
      <c r="B10">
        <v>0.6</v>
      </c>
    </row>
    <row r="11" spans="1:24">
      <c r="A11" t="s">
        <v>40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s="5" t="s">
        <v>76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s="5" t="s">
        <v>85</v>
      </c>
      <c r="V11" s="5" t="s">
        <v>86</v>
      </c>
      <c r="W11" t="s">
        <v>87</v>
      </c>
      <c r="X11" t="s">
        <v>88</v>
      </c>
    </row>
    <row r="12" spans="1:24">
      <c r="A12" t="s">
        <v>24</v>
      </c>
      <c r="B12">
        <v>430.8259375</v>
      </c>
      <c r="C12">
        <f t="shared" ref="C12:C31" si="0">INDEX($G$43:$G$62,MATCH($A12,$A$43:$A$62,0))</f>
        <v>0.0416666666666667</v>
      </c>
      <c r="D12">
        <f t="shared" ref="D12:D31" si="1">INDEX($F$43:$F$62,MATCH($A12,$A$43:$A$62,0))</f>
        <v>12</v>
      </c>
      <c r="E12">
        <f>B12*$B$2*$B$9</f>
        <v>68932.15</v>
      </c>
      <c r="F12">
        <f t="shared" ref="F12:F31" si="2">E12*C12</f>
        <v>2872.17291666667</v>
      </c>
      <c r="G12">
        <f t="shared" ref="G12:G31" si="3">E12*D12</f>
        <v>827185.8</v>
      </c>
      <c r="H12">
        <f t="shared" ref="H12:H31" si="4">E12*$B$8</f>
        <v>27572.86</v>
      </c>
      <c r="I12">
        <f t="shared" ref="I12:I31" si="5">E12-H12</f>
        <v>41359.29</v>
      </c>
      <c r="J12">
        <f t="shared" ref="J12:J31" si="6">H12*C12</f>
        <v>1148.86916666667</v>
      </c>
      <c r="K12">
        <f t="shared" ref="K12:K31" si="7">I12*C12</f>
        <v>1723.30375</v>
      </c>
      <c r="L12" s="5">
        <f>J12/($B$4*$B$5)</f>
        <v>164.124166666667</v>
      </c>
      <c r="M12">
        <f>K12/($B$4*$B$5)</f>
        <v>246.18625</v>
      </c>
      <c r="N12">
        <f t="shared" ref="N12:N31" si="8">L12*$B$6</f>
        <v>41031.0416666667</v>
      </c>
      <c r="O12">
        <f t="shared" ref="O12:O31" si="9">M12*$B$7</f>
        <v>49237.25</v>
      </c>
      <c r="P12">
        <f>E12*D12*$B$3</f>
        <v>82718.58</v>
      </c>
      <c r="Q12" s="3">
        <f t="shared" ref="Q12:Q31" si="10">I12*IF(INDEX($S$43:$S$62,MATCH($A12,$A$43:$A$62,0))=0,1,IF(INDEX($R$43:$R$62,MATCH($A12,$A$43:$A$62,0))=0,0,$B$10))</f>
        <v>24815.574</v>
      </c>
      <c r="R12" s="3">
        <f t="shared" ref="R12:R31" si="11">I12-Q12</f>
        <v>16543.716</v>
      </c>
      <c r="S12" s="3">
        <f t="shared" ref="S12:S31" si="12">Q12*C12</f>
        <v>1033.98225</v>
      </c>
      <c r="T12" s="3">
        <f t="shared" ref="T12:T31" si="13">R12*C12</f>
        <v>689.3215</v>
      </c>
      <c r="U12" s="6">
        <f>S12/($B$4*$B$5)</f>
        <v>147.71175</v>
      </c>
      <c r="V12" s="6">
        <f>T12/($B$4*$B$5)</f>
        <v>98.4745</v>
      </c>
      <c r="W12" s="3">
        <f t="shared" ref="W12:W31" si="14">U12*$B$7</f>
        <v>29542.35</v>
      </c>
      <c r="X12" s="3">
        <f t="shared" ref="X12:X31" si="15">V12*$B$7</f>
        <v>19694.9</v>
      </c>
    </row>
    <row r="13" spans="1:24">
      <c r="A13" t="s">
        <v>25</v>
      </c>
      <c r="B13">
        <v>252.04625</v>
      </c>
      <c r="C13">
        <f t="shared" si="0"/>
        <v>0.148148148148148</v>
      </c>
      <c r="D13">
        <f t="shared" si="1"/>
        <v>100</v>
      </c>
      <c r="E13">
        <f>B13*$B$2*$B$9</f>
        <v>40327.4</v>
      </c>
      <c r="F13">
        <f t="shared" si="2"/>
        <v>5974.42962962963</v>
      </c>
      <c r="G13">
        <f t="shared" si="3"/>
        <v>4032740</v>
      </c>
      <c r="H13">
        <f t="shared" si="4"/>
        <v>16130.96</v>
      </c>
      <c r="I13">
        <f t="shared" si="5"/>
        <v>24196.44</v>
      </c>
      <c r="J13">
        <f t="shared" si="6"/>
        <v>2389.77185185185</v>
      </c>
      <c r="K13">
        <f t="shared" si="7"/>
        <v>3584.65777777778</v>
      </c>
      <c r="L13" s="5">
        <f>J13/($B$4*$B$5)</f>
        <v>341.395978835979</v>
      </c>
      <c r="M13">
        <f>K13/($B$4*$B$5)</f>
        <v>512.093968253968</v>
      </c>
      <c r="N13">
        <f t="shared" si="8"/>
        <v>85348.9947089947</v>
      </c>
      <c r="O13">
        <f t="shared" si="9"/>
        <v>102418.793650794</v>
      </c>
      <c r="P13">
        <f>E13*D13*$B$3</f>
        <v>403274</v>
      </c>
      <c r="Q13" s="3">
        <f t="shared" si="10"/>
        <v>14517.864</v>
      </c>
      <c r="R13" s="3">
        <f t="shared" si="11"/>
        <v>9678.576</v>
      </c>
      <c r="S13" s="3">
        <f t="shared" si="12"/>
        <v>2150.79466666667</v>
      </c>
      <c r="T13" s="3">
        <f t="shared" si="13"/>
        <v>1433.86311111111</v>
      </c>
      <c r="U13" s="6">
        <f>S13/($B$4*$B$5)</f>
        <v>307.256380952381</v>
      </c>
      <c r="V13" s="6">
        <f>T13/($B$4*$B$5)</f>
        <v>204.837587301587</v>
      </c>
      <c r="W13" s="3">
        <f t="shared" si="14"/>
        <v>61451.2761904762</v>
      </c>
      <c r="X13" s="3">
        <f t="shared" si="15"/>
        <v>40967.5174603175</v>
      </c>
    </row>
    <row r="14" spans="1:24">
      <c r="A14" t="s">
        <v>26</v>
      </c>
      <c r="B14">
        <v>124.55875</v>
      </c>
      <c r="C14">
        <f t="shared" si="0"/>
        <v>0.125</v>
      </c>
      <c r="D14">
        <f t="shared" si="1"/>
        <v>50</v>
      </c>
      <c r="E14">
        <f>B14*$B$2*$B$9</f>
        <v>19929.4</v>
      </c>
      <c r="F14">
        <f t="shared" si="2"/>
        <v>2491.175</v>
      </c>
      <c r="G14">
        <f t="shared" si="3"/>
        <v>996470</v>
      </c>
      <c r="H14">
        <f t="shared" si="4"/>
        <v>7971.76</v>
      </c>
      <c r="I14">
        <f t="shared" si="5"/>
        <v>11957.64</v>
      </c>
      <c r="J14">
        <f t="shared" si="6"/>
        <v>996.47</v>
      </c>
      <c r="K14">
        <f t="shared" si="7"/>
        <v>1494.705</v>
      </c>
      <c r="L14" s="5">
        <f>J14/($B$4*$B$5)</f>
        <v>142.352857142857</v>
      </c>
      <c r="M14">
        <f>K14/($B$4*$B$5)</f>
        <v>213.529285714286</v>
      </c>
      <c r="N14">
        <f t="shared" si="8"/>
        <v>35588.2142857143</v>
      </c>
      <c r="O14">
        <f t="shared" si="9"/>
        <v>42705.8571428571</v>
      </c>
      <c r="P14">
        <f>E14*D14*$B$3</f>
        <v>99647</v>
      </c>
      <c r="Q14" s="3">
        <f t="shared" si="10"/>
        <v>7174.584</v>
      </c>
      <c r="R14" s="3">
        <f t="shared" si="11"/>
        <v>4783.056</v>
      </c>
      <c r="S14" s="3">
        <f t="shared" si="12"/>
        <v>896.823</v>
      </c>
      <c r="T14" s="3">
        <f t="shared" si="13"/>
        <v>597.882</v>
      </c>
      <c r="U14" s="6">
        <f>S14/($B$4*$B$5)</f>
        <v>128.117571428571</v>
      </c>
      <c r="V14" s="6">
        <f>T14/($B$4*$B$5)</f>
        <v>85.4117142857143</v>
      </c>
      <c r="W14" s="3">
        <f t="shared" si="14"/>
        <v>25623.5142857143</v>
      </c>
      <c r="X14" s="3">
        <f t="shared" si="15"/>
        <v>17082.3428571429</v>
      </c>
    </row>
    <row r="15" spans="1:24">
      <c r="A15" t="s">
        <v>27</v>
      </c>
      <c r="B15">
        <v>185.9525</v>
      </c>
      <c r="C15">
        <f t="shared" si="0"/>
        <v>0.166666666666667</v>
      </c>
      <c r="D15">
        <f t="shared" si="1"/>
        <v>120</v>
      </c>
      <c r="E15">
        <f>B15*$B$2*$B$9</f>
        <v>29752.4</v>
      </c>
      <c r="F15">
        <f t="shared" si="2"/>
        <v>4958.73333333333</v>
      </c>
      <c r="G15">
        <f t="shared" si="3"/>
        <v>3570288</v>
      </c>
      <c r="H15">
        <f t="shared" si="4"/>
        <v>11900.96</v>
      </c>
      <c r="I15">
        <f t="shared" si="5"/>
        <v>17851.44</v>
      </c>
      <c r="J15">
        <f t="shared" si="6"/>
        <v>1983.49333333333</v>
      </c>
      <c r="K15">
        <f t="shared" si="7"/>
        <v>2975.24</v>
      </c>
      <c r="L15" s="5">
        <f>J15/($B$4*$B$5)</f>
        <v>283.35619047619</v>
      </c>
      <c r="M15">
        <f>K15/($B$4*$B$5)</f>
        <v>425.034285714286</v>
      </c>
      <c r="N15">
        <f t="shared" si="8"/>
        <v>70839.0476190476</v>
      </c>
      <c r="O15">
        <f t="shared" si="9"/>
        <v>85006.8571428571</v>
      </c>
      <c r="P15">
        <f>E15*D15*$B$3</f>
        <v>357028.8</v>
      </c>
      <c r="Q15" s="3">
        <f t="shared" si="10"/>
        <v>10710.864</v>
      </c>
      <c r="R15" s="3">
        <f t="shared" si="11"/>
        <v>7140.576</v>
      </c>
      <c r="S15" s="3">
        <f t="shared" si="12"/>
        <v>1785.144</v>
      </c>
      <c r="T15" s="3">
        <f t="shared" si="13"/>
        <v>1190.096</v>
      </c>
      <c r="U15" s="6">
        <f>S15/($B$4*$B$5)</f>
        <v>255.020571428571</v>
      </c>
      <c r="V15" s="6">
        <f>T15/($B$4*$B$5)</f>
        <v>170.013714285714</v>
      </c>
      <c r="W15" s="3">
        <f t="shared" si="14"/>
        <v>51004.1142857143</v>
      </c>
      <c r="X15" s="3">
        <f t="shared" si="15"/>
        <v>34002.7428571429</v>
      </c>
    </row>
    <row r="16" spans="1:24">
      <c r="A16" t="s">
        <v>29</v>
      </c>
      <c r="B16">
        <v>140.1375</v>
      </c>
      <c r="C16">
        <f t="shared" si="0"/>
        <v>0.111111111111111</v>
      </c>
      <c r="D16">
        <f t="shared" si="1"/>
        <v>50</v>
      </c>
      <c r="E16">
        <f>B16*$B$2*$B$9</f>
        <v>22422</v>
      </c>
      <c r="F16">
        <f t="shared" si="2"/>
        <v>2491.33333333333</v>
      </c>
      <c r="G16">
        <f t="shared" si="3"/>
        <v>1121100</v>
      </c>
      <c r="H16">
        <f t="shared" si="4"/>
        <v>8968.8</v>
      </c>
      <c r="I16">
        <f t="shared" si="5"/>
        <v>13453.2</v>
      </c>
      <c r="J16">
        <f t="shared" si="6"/>
        <v>996.533333333333</v>
      </c>
      <c r="K16">
        <f t="shared" si="7"/>
        <v>1494.8</v>
      </c>
      <c r="L16" s="5">
        <f>J16/($B$4*$B$5)</f>
        <v>142.361904761905</v>
      </c>
      <c r="M16">
        <f>K16/($B$4*$B$5)</f>
        <v>213.542857142857</v>
      </c>
      <c r="N16">
        <f t="shared" si="8"/>
        <v>35590.4761904762</v>
      </c>
      <c r="O16">
        <f t="shared" si="9"/>
        <v>42708.5714285714</v>
      </c>
      <c r="P16">
        <f>E16*D16*$B$3</f>
        <v>112110</v>
      </c>
      <c r="Q16" s="3">
        <f t="shared" si="10"/>
        <v>8071.92</v>
      </c>
      <c r="R16" s="3">
        <f t="shared" si="11"/>
        <v>5381.28</v>
      </c>
      <c r="S16" s="3">
        <f t="shared" si="12"/>
        <v>896.88</v>
      </c>
      <c r="T16" s="3">
        <f t="shared" si="13"/>
        <v>597.92</v>
      </c>
      <c r="U16" s="6">
        <f>S16/($B$4*$B$5)</f>
        <v>128.125714285714</v>
      </c>
      <c r="V16" s="6">
        <f>T16/($B$4*$B$5)</f>
        <v>85.4171428571428</v>
      </c>
      <c r="W16" s="3">
        <f t="shared" si="14"/>
        <v>25625.1428571429</v>
      </c>
      <c r="X16" s="3">
        <f t="shared" si="15"/>
        <v>17083.4285714286</v>
      </c>
    </row>
    <row r="17" spans="1:24">
      <c r="A17" t="s">
        <v>30</v>
      </c>
      <c r="B17">
        <v>91.8496875</v>
      </c>
      <c r="C17">
        <f t="shared" si="0"/>
        <v>0.0555555555555556</v>
      </c>
      <c r="D17">
        <f t="shared" si="1"/>
        <v>15</v>
      </c>
      <c r="E17">
        <f>B17*$B$2*$B$9</f>
        <v>14695.95</v>
      </c>
      <c r="F17">
        <f t="shared" si="2"/>
        <v>816.441666666667</v>
      </c>
      <c r="G17">
        <f t="shared" si="3"/>
        <v>220439.25</v>
      </c>
      <c r="H17">
        <f t="shared" si="4"/>
        <v>5878.38</v>
      </c>
      <c r="I17">
        <f t="shared" si="5"/>
        <v>8817.57</v>
      </c>
      <c r="J17">
        <f t="shared" si="6"/>
        <v>326.576666666667</v>
      </c>
      <c r="K17">
        <f t="shared" si="7"/>
        <v>489.865</v>
      </c>
      <c r="L17" s="5">
        <f>J17/($B$4*$B$5)</f>
        <v>46.6538095238095</v>
      </c>
      <c r="M17">
        <f>K17/($B$4*$B$5)</f>
        <v>69.9807142857143</v>
      </c>
      <c r="N17">
        <f t="shared" si="8"/>
        <v>11663.4523809524</v>
      </c>
      <c r="O17">
        <f t="shared" si="9"/>
        <v>13996.1428571429</v>
      </c>
      <c r="P17">
        <f>E17*D17*$B$3</f>
        <v>22043.925</v>
      </c>
      <c r="Q17" s="3">
        <f t="shared" si="10"/>
        <v>5290.542</v>
      </c>
      <c r="R17" s="3">
        <f t="shared" si="11"/>
        <v>3527.028</v>
      </c>
      <c r="S17" s="3">
        <f t="shared" si="12"/>
        <v>293.919</v>
      </c>
      <c r="T17" s="3">
        <f t="shared" si="13"/>
        <v>195.946</v>
      </c>
      <c r="U17" s="6">
        <f>S17/($B$4*$B$5)</f>
        <v>41.9884285714286</v>
      </c>
      <c r="V17" s="6">
        <f>T17/($B$4*$B$5)</f>
        <v>27.9922857142857</v>
      </c>
      <c r="W17" s="3">
        <f t="shared" si="14"/>
        <v>8397.68571428571</v>
      </c>
      <c r="X17" s="3">
        <f t="shared" si="15"/>
        <v>5598.45714285714</v>
      </c>
    </row>
    <row r="18" spans="1:24">
      <c r="A18" t="s">
        <v>31</v>
      </c>
      <c r="B18">
        <v>283.215</v>
      </c>
      <c r="C18">
        <f t="shared" si="0"/>
        <v>0.0277777777777778</v>
      </c>
      <c r="D18">
        <f t="shared" si="1"/>
        <v>25</v>
      </c>
      <c r="E18">
        <f>B18*$B$2*$B$9</f>
        <v>45314.4</v>
      </c>
      <c r="F18">
        <f t="shared" si="2"/>
        <v>1258.73333333333</v>
      </c>
      <c r="G18">
        <f t="shared" si="3"/>
        <v>1132860</v>
      </c>
      <c r="H18">
        <f t="shared" si="4"/>
        <v>18125.76</v>
      </c>
      <c r="I18">
        <f t="shared" si="5"/>
        <v>27188.64</v>
      </c>
      <c r="J18">
        <f t="shared" si="6"/>
        <v>503.493333333333</v>
      </c>
      <c r="K18">
        <f t="shared" si="7"/>
        <v>755.24</v>
      </c>
      <c r="L18" s="5">
        <f>J18/($B$4*$B$5)</f>
        <v>71.9276190476191</v>
      </c>
      <c r="M18">
        <f>K18/($B$4*$B$5)</f>
        <v>107.891428571429</v>
      </c>
      <c r="N18">
        <f t="shared" si="8"/>
        <v>17981.9047619048</v>
      </c>
      <c r="O18">
        <f t="shared" si="9"/>
        <v>21578.2857142857</v>
      </c>
      <c r="P18">
        <f>E18*D18*$B$3</f>
        <v>113286</v>
      </c>
      <c r="Q18" s="3">
        <f t="shared" si="10"/>
        <v>16313.184</v>
      </c>
      <c r="R18" s="3">
        <f t="shared" si="11"/>
        <v>10875.456</v>
      </c>
      <c r="S18" s="3">
        <f t="shared" si="12"/>
        <v>453.144</v>
      </c>
      <c r="T18" s="3">
        <f t="shared" si="13"/>
        <v>302.096</v>
      </c>
      <c r="U18" s="6">
        <f>S18/($B$4*$B$5)</f>
        <v>64.7348571428571</v>
      </c>
      <c r="V18" s="6">
        <f>T18/($B$4*$B$5)</f>
        <v>43.1565714285714</v>
      </c>
      <c r="W18" s="3">
        <f t="shared" si="14"/>
        <v>12946.9714285714</v>
      </c>
      <c r="X18" s="3">
        <f t="shared" si="15"/>
        <v>8631.31428571429</v>
      </c>
    </row>
    <row r="19" spans="1:24">
      <c r="A19" t="s">
        <v>32</v>
      </c>
      <c r="B19">
        <v>91.63</v>
      </c>
      <c r="C19">
        <f t="shared" si="0"/>
        <v>0.037037037037037</v>
      </c>
      <c r="D19">
        <f t="shared" si="1"/>
        <v>20</v>
      </c>
      <c r="E19">
        <f>B19*$B$2*$B$9</f>
        <v>14660.8</v>
      </c>
      <c r="F19">
        <f t="shared" si="2"/>
        <v>542.992592592593</v>
      </c>
      <c r="G19">
        <f t="shared" si="3"/>
        <v>293216</v>
      </c>
      <c r="H19">
        <f t="shared" si="4"/>
        <v>5864.32</v>
      </c>
      <c r="I19">
        <f t="shared" si="5"/>
        <v>8796.48</v>
      </c>
      <c r="J19">
        <f t="shared" si="6"/>
        <v>217.197037037037</v>
      </c>
      <c r="K19">
        <f t="shared" si="7"/>
        <v>325.795555555555</v>
      </c>
      <c r="L19" s="5">
        <f>J19/($B$4*$B$5)</f>
        <v>31.0281481481481</v>
      </c>
      <c r="M19">
        <f>K19/($B$4*$B$5)</f>
        <v>46.5422222222222</v>
      </c>
      <c r="N19">
        <f t="shared" si="8"/>
        <v>7757.03703703704</v>
      </c>
      <c r="O19">
        <f t="shared" si="9"/>
        <v>9308.44444444444</v>
      </c>
      <c r="P19">
        <f>E19*D19*$B$3</f>
        <v>29321.6</v>
      </c>
      <c r="Q19" s="3">
        <f t="shared" si="10"/>
        <v>5277.888</v>
      </c>
      <c r="R19" s="3">
        <f t="shared" si="11"/>
        <v>3518.592</v>
      </c>
      <c r="S19" s="3">
        <f t="shared" si="12"/>
        <v>195.477333333333</v>
      </c>
      <c r="T19" s="3">
        <f t="shared" si="13"/>
        <v>130.318222222222</v>
      </c>
      <c r="U19" s="6">
        <f>S19/($B$4*$B$5)</f>
        <v>27.9253333333333</v>
      </c>
      <c r="V19" s="6">
        <f>T19/($B$4*$B$5)</f>
        <v>18.6168888888889</v>
      </c>
      <c r="W19" s="3">
        <f t="shared" si="14"/>
        <v>5585.06666666667</v>
      </c>
      <c r="X19" s="3">
        <f t="shared" si="15"/>
        <v>3723.37777777778</v>
      </c>
    </row>
    <row r="20" spans="1:24">
      <c r="A20" t="s">
        <v>34</v>
      </c>
      <c r="B20">
        <v>178.0125</v>
      </c>
      <c r="C20">
        <f t="shared" si="0"/>
        <v>0.0555555555555556</v>
      </c>
      <c r="D20">
        <f t="shared" si="1"/>
        <v>40</v>
      </c>
      <c r="E20">
        <f>B20*$B$2*$B$9</f>
        <v>28482</v>
      </c>
      <c r="F20">
        <f t="shared" si="2"/>
        <v>1582.33333333333</v>
      </c>
      <c r="G20">
        <f t="shared" si="3"/>
        <v>1139280</v>
      </c>
      <c r="H20">
        <f t="shared" si="4"/>
        <v>11392.8</v>
      </c>
      <c r="I20">
        <f t="shared" si="5"/>
        <v>17089.2</v>
      </c>
      <c r="J20">
        <f t="shared" si="6"/>
        <v>632.933333333333</v>
      </c>
      <c r="K20">
        <f t="shared" si="7"/>
        <v>949.4</v>
      </c>
      <c r="L20" s="5">
        <f>J20/($B$4*$B$5)</f>
        <v>90.4190476190476</v>
      </c>
      <c r="M20">
        <f>K20/($B$4*$B$5)</f>
        <v>135.628571428571</v>
      </c>
      <c r="N20">
        <f t="shared" si="8"/>
        <v>22604.7619047619</v>
      </c>
      <c r="O20">
        <f t="shared" si="9"/>
        <v>27125.7142857143</v>
      </c>
      <c r="P20">
        <f>E20*D20*$B$3</f>
        <v>113928</v>
      </c>
      <c r="Q20" s="3">
        <f t="shared" si="10"/>
        <v>10253.52</v>
      </c>
      <c r="R20" s="3">
        <f t="shared" si="11"/>
        <v>6835.68</v>
      </c>
      <c r="S20" s="3">
        <f t="shared" si="12"/>
        <v>569.64</v>
      </c>
      <c r="T20" s="3">
        <f t="shared" si="13"/>
        <v>379.76</v>
      </c>
      <c r="U20" s="6">
        <f>S20/($B$4*$B$5)</f>
        <v>81.3771428571428</v>
      </c>
      <c r="V20" s="6">
        <f>T20/($B$4*$B$5)</f>
        <v>54.2514285714286</v>
      </c>
      <c r="W20" s="3">
        <f t="shared" si="14"/>
        <v>16275.4285714286</v>
      </c>
      <c r="X20" s="3">
        <f t="shared" si="15"/>
        <v>10850.2857142857</v>
      </c>
    </row>
    <row r="21" spans="1:24">
      <c r="A21" t="s">
        <v>36</v>
      </c>
      <c r="B21">
        <v>100.0309375</v>
      </c>
      <c r="C21">
        <f t="shared" si="0"/>
        <v>0.037037037037037</v>
      </c>
      <c r="D21">
        <f t="shared" si="1"/>
        <v>20</v>
      </c>
      <c r="E21">
        <f>B21*$B$2*$B$9</f>
        <v>16004.95</v>
      </c>
      <c r="F21">
        <f t="shared" si="2"/>
        <v>592.775925925926</v>
      </c>
      <c r="G21">
        <f t="shared" si="3"/>
        <v>320099</v>
      </c>
      <c r="H21">
        <f t="shared" si="4"/>
        <v>6401.98</v>
      </c>
      <c r="I21">
        <f t="shared" si="5"/>
        <v>9602.97</v>
      </c>
      <c r="J21">
        <f t="shared" si="6"/>
        <v>237.11037037037</v>
      </c>
      <c r="K21">
        <f t="shared" si="7"/>
        <v>355.665555555555</v>
      </c>
      <c r="L21" s="5">
        <f>J21/($B$4*$B$5)</f>
        <v>33.8729100529101</v>
      </c>
      <c r="M21">
        <f>K21/($B$4*$B$5)</f>
        <v>50.8093650793651</v>
      </c>
      <c r="N21">
        <f t="shared" si="8"/>
        <v>8468.22751322751</v>
      </c>
      <c r="O21">
        <f t="shared" si="9"/>
        <v>10161.873015873</v>
      </c>
      <c r="P21">
        <f>E21*D21*$B$3</f>
        <v>32009.9</v>
      </c>
      <c r="Q21" s="3">
        <f t="shared" si="10"/>
        <v>5761.782</v>
      </c>
      <c r="R21" s="3">
        <f t="shared" si="11"/>
        <v>3841.188</v>
      </c>
      <c r="S21" s="3">
        <f t="shared" si="12"/>
        <v>213.399333333333</v>
      </c>
      <c r="T21" s="3">
        <f t="shared" si="13"/>
        <v>142.266222222222</v>
      </c>
      <c r="U21" s="6">
        <f>S21/($B$4*$B$5)</f>
        <v>30.485619047619</v>
      </c>
      <c r="V21" s="6">
        <f>T21/($B$4*$B$5)</f>
        <v>20.323746031746</v>
      </c>
      <c r="W21" s="3">
        <f t="shared" si="14"/>
        <v>6097.12380952381</v>
      </c>
      <c r="X21" s="3">
        <f t="shared" si="15"/>
        <v>4064.74920634921</v>
      </c>
    </row>
    <row r="22" spans="1:24">
      <c r="A22" t="s">
        <v>37</v>
      </c>
      <c r="B22">
        <v>183.699375</v>
      </c>
      <c r="C22">
        <f t="shared" si="0"/>
        <v>0.0555555555555556</v>
      </c>
      <c r="D22">
        <f t="shared" si="1"/>
        <v>30</v>
      </c>
      <c r="E22">
        <f>B22*$B$2*$B$9</f>
        <v>29391.9</v>
      </c>
      <c r="F22">
        <f t="shared" si="2"/>
        <v>1632.88333333333</v>
      </c>
      <c r="G22">
        <f t="shared" si="3"/>
        <v>881757</v>
      </c>
      <c r="H22">
        <f t="shared" si="4"/>
        <v>11756.76</v>
      </c>
      <c r="I22">
        <f t="shared" si="5"/>
        <v>17635.14</v>
      </c>
      <c r="J22">
        <f t="shared" si="6"/>
        <v>653.153333333333</v>
      </c>
      <c r="K22">
        <f t="shared" si="7"/>
        <v>979.73</v>
      </c>
      <c r="L22" s="5">
        <f>J22/($B$4*$B$5)</f>
        <v>93.3076190476191</v>
      </c>
      <c r="M22">
        <f>K22/($B$4*$B$5)</f>
        <v>139.961428571429</v>
      </c>
      <c r="N22">
        <f t="shared" si="8"/>
        <v>23326.9047619048</v>
      </c>
      <c r="O22">
        <f t="shared" si="9"/>
        <v>27992.2857142857</v>
      </c>
      <c r="P22">
        <f>E22*D22*$B$3</f>
        <v>88175.7</v>
      </c>
      <c r="Q22" s="3">
        <f t="shared" si="10"/>
        <v>10581.084</v>
      </c>
      <c r="R22" s="3">
        <f t="shared" si="11"/>
        <v>7054.056</v>
      </c>
      <c r="S22" s="3">
        <f t="shared" si="12"/>
        <v>587.838</v>
      </c>
      <c r="T22" s="3">
        <f t="shared" si="13"/>
        <v>391.892</v>
      </c>
      <c r="U22" s="6">
        <f>S22/($B$4*$B$5)</f>
        <v>83.9768571428571</v>
      </c>
      <c r="V22" s="6">
        <f>T22/($B$4*$B$5)</f>
        <v>55.9845714285714</v>
      </c>
      <c r="W22" s="3">
        <f t="shared" si="14"/>
        <v>16795.3714285714</v>
      </c>
      <c r="X22" s="3">
        <f t="shared" si="15"/>
        <v>11196.9142857143</v>
      </c>
    </row>
    <row r="23" spans="1:24">
      <c r="A23" t="s">
        <v>38</v>
      </c>
      <c r="B23">
        <v>235.68375</v>
      </c>
      <c r="C23">
        <f t="shared" si="0"/>
        <v>0.0833333333333333</v>
      </c>
      <c r="D23">
        <f t="shared" si="1"/>
        <v>30</v>
      </c>
      <c r="E23">
        <f>B23*$B$2*$B$9</f>
        <v>37709.4</v>
      </c>
      <c r="F23">
        <f t="shared" si="2"/>
        <v>3142.45</v>
      </c>
      <c r="G23">
        <f t="shared" si="3"/>
        <v>1131282</v>
      </c>
      <c r="H23">
        <f t="shared" si="4"/>
        <v>15083.76</v>
      </c>
      <c r="I23">
        <f t="shared" si="5"/>
        <v>22625.64</v>
      </c>
      <c r="J23">
        <f t="shared" si="6"/>
        <v>1256.98</v>
      </c>
      <c r="K23">
        <f t="shared" si="7"/>
        <v>1885.47</v>
      </c>
      <c r="L23" s="5">
        <f>J23/($B$4*$B$5)</f>
        <v>179.568571428571</v>
      </c>
      <c r="M23">
        <f>K23/($B$4*$B$5)</f>
        <v>269.352857142857</v>
      </c>
      <c r="N23">
        <f t="shared" si="8"/>
        <v>44892.1428571429</v>
      </c>
      <c r="O23">
        <f t="shared" si="9"/>
        <v>53870.5714285714</v>
      </c>
      <c r="P23">
        <f>E23*D23*$B$3</f>
        <v>113128.2</v>
      </c>
      <c r="Q23" s="3">
        <f t="shared" si="10"/>
        <v>13575.384</v>
      </c>
      <c r="R23" s="3">
        <f t="shared" si="11"/>
        <v>9050.256</v>
      </c>
      <c r="S23" s="3">
        <f t="shared" si="12"/>
        <v>1131.282</v>
      </c>
      <c r="T23" s="3">
        <f t="shared" si="13"/>
        <v>754.188</v>
      </c>
      <c r="U23" s="6">
        <f>S23/($B$4*$B$5)</f>
        <v>161.611714285714</v>
      </c>
      <c r="V23" s="6">
        <f>T23/($B$4*$B$5)</f>
        <v>107.741142857143</v>
      </c>
      <c r="W23" s="3">
        <f t="shared" si="14"/>
        <v>32322.3428571429</v>
      </c>
      <c r="X23" s="3">
        <f t="shared" si="15"/>
        <v>21548.2285714286</v>
      </c>
    </row>
    <row r="24" spans="1:24">
      <c r="A24" t="s">
        <v>39</v>
      </c>
      <c r="B24">
        <v>117.841875</v>
      </c>
      <c r="C24">
        <f t="shared" si="0"/>
        <v>0.0277777777777778</v>
      </c>
      <c r="D24">
        <f t="shared" si="1"/>
        <v>25</v>
      </c>
      <c r="E24">
        <f>B24*$B$2*$B$9</f>
        <v>18854.7</v>
      </c>
      <c r="F24">
        <f t="shared" si="2"/>
        <v>523.741666666667</v>
      </c>
      <c r="G24">
        <f t="shared" si="3"/>
        <v>471367.5</v>
      </c>
      <c r="H24">
        <f t="shared" si="4"/>
        <v>7541.88</v>
      </c>
      <c r="I24">
        <f t="shared" si="5"/>
        <v>11312.82</v>
      </c>
      <c r="J24">
        <f t="shared" si="6"/>
        <v>209.496666666667</v>
      </c>
      <c r="K24">
        <f t="shared" si="7"/>
        <v>314.245</v>
      </c>
      <c r="L24" s="5">
        <f>J24/($B$4*$B$5)</f>
        <v>29.9280952380952</v>
      </c>
      <c r="M24">
        <f>K24/($B$4*$B$5)</f>
        <v>44.8921428571429</v>
      </c>
      <c r="N24">
        <f t="shared" si="8"/>
        <v>7482.02380952381</v>
      </c>
      <c r="O24">
        <f t="shared" si="9"/>
        <v>8978.42857142857</v>
      </c>
      <c r="P24">
        <f>E24*D24*$B$3</f>
        <v>47136.75</v>
      </c>
      <c r="Q24" s="3">
        <f t="shared" si="10"/>
        <v>6787.692</v>
      </c>
      <c r="R24" s="3">
        <f t="shared" si="11"/>
        <v>4525.128</v>
      </c>
      <c r="S24" s="3">
        <f t="shared" si="12"/>
        <v>188.547</v>
      </c>
      <c r="T24" s="3">
        <f t="shared" si="13"/>
        <v>125.698</v>
      </c>
      <c r="U24" s="6">
        <f>S24/($B$4*$B$5)</f>
        <v>26.9352857142857</v>
      </c>
      <c r="V24" s="6">
        <f>T24/($B$4*$B$5)</f>
        <v>17.9568571428571</v>
      </c>
      <c r="W24" s="3">
        <f t="shared" si="14"/>
        <v>5387.05714285714</v>
      </c>
      <c r="X24" s="3">
        <f t="shared" si="15"/>
        <v>3591.37142857143</v>
      </c>
    </row>
    <row r="25" spans="1:24">
      <c r="A25" t="s">
        <v>42</v>
      </c>
      <c r="B25">
        <v>365.435</v>
      </c>
      <c r="C25">
        <f t="shared" si="0"/>
        <v>0.0277777777777778</v>
      </c>
      <c r="D25">
        <f t="shared" si="1"/>
        <v>20</v>
      </c>
      <c r="E25">
        <f>B25*$B$2*$B$9</f>
        <v>58469.6</v>
      </c>
      <c r="F25">
        <f t="shared" si="2"/>
        <v>1624.15555555556</v>
      </c>
      <c r="G25">
        <f t="shared" si="3"/>
        <v>1169392</v>
      </c>
      <c r="H25">
        <f t="shared" si="4"/>
        <v>23387.84</v>
      </c>
      <c r="I25">
        <f t="shared" si="5"/>
        <v>35081.76</v>
      </c>
      <c r="J25">
        <f t="shared" si="6"/>
        <v>649.662222222222</v>
      </c>
      <c r="K25">
        <f t="shared" si="7"/>
        <v>974.493333333333</v>
      </c>
      <c r="L25" s="5">
        <f>J25/($B$4*$B$5)</f>
        <v>92.8088888888889</v>
      </c>
      <c r="M25">
        <f>K25/($B$4*$B$5)</f>
        <v>139.213333333333</v>
      </c>
      <c r="N25">
        <f t="shared" si="8"/>
        <v>23202.2222222222</v>
      </c>
      <c r="O25">
        <f t="shared" si="9"/>
        <v>27842.6666666667</v>
      </c>
      <c r="P25">
        <f>E25*D25*$B$3</f>
        <v>116939.2</v>
      </c>
      <c r="Q25" s="3">
        <f t="shared" si="10"/>
        <v>21049.056</v>
      </c>
      <c r="R25" s="3">
        <f t="shared" si="11"/>
        <v>14032.704</v>
      </c>
      <c r="S25" s="3">
        <f t="shared" si="12"/>
        <v>584.696</v>
      </c>
      <c r="T25" s="3">
        <f t="shared" si="13"/>
        <v>389.797333333333</v>
      </c>
      <c r="U25" s="6">
        <f>S25/($B$4*$B$5)</f>
        <v>83.528</v>
      </c>
      <c r="V25" s="6">
        <f>T25/($B$4*$B$5)</f>
        <v>55.6853333333333</v>
      </c>
      <c r="W25" s="3">
        <f t="shared" si="14"/>
        <v>16705.6</v>
      </c>
      <c r="X25" s="3">
        <f t="shared" si="15"/>
        <v>11137.0666666667</v>
      </c>
    </row>
    <row r="26" spans="1:24">
      <c r="A26" t="s">
        <v>43</v>
      </c>
      <c r="B26">
        <v>45.815</v>
      </c>
      <c r="C26">
        <f t="shared" si="0"/>
        <v>0.0555555555555556</v>
      </c>
      <c r="D26">
        <f t="shared" si="1"/>
        <v>25</v>
      </c>
      <c r="E26">
        <f>B26*$B$2*$B$9</f>
        <v>7330.4</v>
      </c>
      <c r="F26">
        <f t="shared" si="2"/>
        <v>407.244444444444</v>
      </c>
      <c r="G26">
        <f t="shared" si="3"/>
        <v>183260</v>
      </c>
      <c r="H26">
        <f t="shared" si="4"/>
        <v>2932.16</v>
      </c>
      <c r="I26">
        <f t="shared" si="5"/>
        <v>4398.24</v>
      </c>
      <c r="J26">
        <f t="shared" si="6"/>
        <v>162.897777777778</v>
      </c>
      <c r="K26">
        <f t="shared" si="7"/>
        <v>244.346666666667</v>
      </c>
      <c r="L26" s="5">
        <f>J26/($B$4*$B$5)</f>
        <v>23.2711111111111</v>
      </c>
      <c r="M26">
        <f>K26/($B$4*$B$5)</f>
        <v>34.9066666666667</v>
      </c>
      <c r="N26">
        <f t="shared" si="8"/>
        <v>5817.77777777778</v>
      </c>
      <c r="O26">
        <f t="shared" si="9"/>
        <v>6981.33333333333</v>
      </c>
      <c r="P26">
        <f>E26*D26*$B$3</f>
        <v>18326</v>
      </c>
      <c r="Q26" s="3">
        <f t="shared" si="10"/>
        <v>2638.944</v>
      </c>
      <c r="R26" s="3">
        <f t="shared" si="11"/>
        <v>1759.296</v>
      </c>
      <c r="S26" s="3">
        <f t="shared" si="12"/>
        <v>146.608</v>
      </c>
      <c r="T26" s="3">
        <f t="shared" si="13"/>
        <v>97.7386666666666</v>
      </c>
      <c r="U26" s="6">
        <f>S26/($B$4*$B$5)</f>
        <v>20.944</v>
      </c>
      <c r="V26" s="6">
        <f>T26/($B$4*$B$5)</f>
        <v>13.9626666666667</v>
      </c>
      <c r="W26" s="3">
        <f t="shared" si="14"/>
        <v>4188.8</v>
      </c>
      <c r="X26" s="3">
        <f t="shared" si="15"/>
        <v>2792.53333333333</v>
      </c>
    </row>
    <row r="27" spans="1:24">
      <c r="A27" t="s">
        <v>44</v>
      </c>
      <c r="B27">
        <v>242.4</v>
      </c>
      <c r="C27">
        <f t="shared" si="0"/>
        <v>0.037037037037037</v>
      </c>
      <c r="D27">
        <f t="shared" si="1"/>
        <v>20</v>
      </c>
      <c r="E27">
        <f>B27*$B$2*$B$9</f>
        <v>38784</v>
      </c>
      <c r="F27">
        <f t="shared" si="2"/>
        <v>1436.44444444444</v>
      </c>
      <c r="G27">
        <f t="shared" si="3"/>
        <v>775680</v>
      </c>
      <c r="H27">
        <f t="shared" si="4"/>
        <v>15513.6</v>
      </c>
      <c r="I27">
        <f t="shared" si="5"/>
        <v>23270.4</v>
      </c>
      <c r="J27">
        <f t="shared" si="6"/>
        <v>574.577777777778</v>
      </c>
      <c r="K27">
        <f t="shared" si="7"/>
        <v>861.866666666667</v>
      </c>
      <c r="L27" s="5">
        <f>J27/($B$4*$B$5)</f>
        <v>82.0825396825397</v>
      </c>
      <c r="M27">
        <f>K27/($B$4*$B$5)</f>
        <v>123.12380952381</v>
      </c>
      <c r="N27">
        <f t="shared" si="8"/>
        <v>20520.6349206349</v>
      </c>
      <c r="O27">
        <f t="shared" si="9"/>
        <v>24624.7619047619</v>
      </c>
      <c r="P27">
        <f>E27*D27*$B$3</f>
        <v>77568</v>
      </c>
      <c r="Q27" s="3">
        <f t="shared" si="10"/>
        <v>23270.4</v>
      </c>
      <c r="R27" s="3">
        <f t="shared" si="11"/>
        <v>0</v>
      </c>
      <c r="S27" s="3">
        <f t="shared" si="12"/>
        <v>861.866666666667</v>
      </c>
      <c r="T27" s="3">
        <f t="shared" si="13"/>
        <v>0</v>
      </c>
      <c r="U27" s="6">
        <f>S27/($B$4*$B$5)</f>
        <v>123.12380952381</v>
      </c>
      <c r="V27" s="6">
        <f>T27/($B$4*$B$5)</f>
        <v>0</v>
      </c>
      <c r="W27" s="3">
        <f t="shared" si="14"/>
        <v>24624.7619047619</v>
      </c>
      <c r="X27" s="3">
        <f t="shared" si="15"/>
        <v>0</v>
      </c>
    </row>
    <row r="28" spans="1:24">
      <c r="A28" t="s">
        <v>45</v>
      </c>
      <c r="B28">
        <v>117.841875</v>
      </c>
      <c r="C28">
        <f t="shared" si="0"/>
        <v>0.0277777777777778</v>
      </c>
      <c r="D28">
        <f t="shared" si="1"/>
        <v>80</v>
      </c>
      <c r="E28">
        <f>B28*$B$2*$B$9</f>
        <v>18854.7</v>
      </c>
      <c r="F28">
        <f t="shared" si="2"/>
        <v>523.741666666667</v>
      </c>
      <c r="G28">
        <f t="shared" si="3"/>
        <v>1508376</v>
      </c>
      <c r="H28">
        <f t="shared" si="4"/>
        <v>7541.88</v>
      </c>
      <c r="I28">
        <f t="shared" si="5"/>
        <v>11312.82</v>
      </c>
      <c r="J28">
        <f t="shared" si="6"/>
        <v>209.496666666667</v>
      </c>
      <c r="K28">
        <f t="shared" si="7"/>
        <v>314.245</v>
      </c>
      <c r="L28" s="5">
        <f>J28/($B$4*$B$5)</f>
        <v>29.9280952380952</v>
      </c>
      <c r="M28">
        <f>K28/($B$4*$B$5)</f>
        <v>44.8921428571429</v>
      </c>
      <c r="N28">
        <f t="shared" si="8"/>
        <v>7482.02380952381</v>
      </c>
      <c r="O28">
        <f t="shared" si="9"/>
        <v>8978.42857142857</v>
      </c>
      <c r="P28">
        <f>E28*D28*$B$3</f>
        <v>150837.6</v>
      </c>
      <c r="Q28" s="3">
        <f t="shared" si="10"/>
        <v>6787.692</v>
      </c>
      <c r="R28" s="3">
        <f t="shared" si="11"/>
        <v>4525.128</v>
      </c>
      <c r="S28" s="3">
        <f t="shared" si="12"/>
        <v>188.547</v>
      </c>
      <c r="T28" s="3">
        <f t="shared" si="13"/>
        <v>125.698</v>
      </c>
      <c r="U28" s="6">
        <f>S28/($B$4*$B$5)</f>
        <v>26.9352857142857</v>
      </c>
      <c r="V28" s="6">
        <f>T28/($B$4*$B$5)</f>
        <v>17.9568571428571</v>
      </c>
      <c r="W28" s="3">
        <f t="shared" si="14"/>
        <v>5387.05714285714</v>
      </c>
      <c r="X28" s="3">
        <f t="shared" si="15"/>
        <v>3591.37142857143</v>
      </c>
    </row>
    <row r="29" spans="1:24">
      <c r="A29" t="s">
        <v>46</v>
      </c>
      <c r="B29">
        <v>273.55875</v>
      </c>
      <c r="C29">
        <f t="shared" si="0"/>
        <v>0.0277777777777778</v>
      </c>
      <c r="D29">
        <f t="shared" si="1"/>
        <v>80</v>
      </c>
      <c r="E29">
        <f>B29*$B$2*$B$9</f>
        <v>43769.4</v>
      </c>
      <c r="F29">
        <f t="shared" si="2"/>
        <v>1215.81666666667</v>
      </c>
      <c r="G29">
        <f t="shared" si="3"/>
        <v>3501552</v>
      </c>
      <c r="H29">
        <f t="shared" si="4"/>
        <v>17507.76</v>
      </c>
      <c r="I29">
        <f t="shared" si="5"/>
        <v>26261.64</v>
      </c>
      <c r="J29">
        <f t="shared" si="6"/>
        <v>486.326666666667</v>
      </c>
      <c r="K29">
        <f t="shared" si="7"/>
        <v>729.49</v>
      </c>
      <c r="L29" s="5">
        <f>J29/($B$4*$B$5)</f>
        <v>69.4752380952381</v>
      </c>
      <c r="M29">
        <f>K29/($B$4*$B$5)</f>
        <v>104.212857142857</v>
      </c>
      <c r="N29">
        <f t="shared" si="8"/>
        <v>17368.8095238095</v>
      </c>
      <c r="O29">
        <f t="shared" si="9"/>
        <v>20842.5714285714</v>
      </c>
      <c r="P29">
        <f>E29*D29*$B$3</f>
        <v>350155.2</v>
      </c>
      <c r="Q29" s="3">
        <f t="shared" si="10"/>
        <v>15756.984</v>
      </c>
      <c r="R29" s="3">
        <f t="shared" si="11"/>
        <v>10504.656</v>
      </c>
      <c r="S29" s="3">
        <f t="shared" si="12"/>
        <v>437.694</v>
      </c>
      <c r="T29" s="3">
        <f t="shared" si="13"/>
        <v>291.796</v>
      </c>
      <c r="U29" s="6">
        <f>S29/($B$4*$B$5)</f>
        <v>62.5277142857143</v>
      </c>
      <c r="V29" s="6">
        <f>T29/($B$4*$B$5)</f>
        <v>41.6851428571429</v>
      </c>
      <c r="W29" s="3">
        <f t="shared" si="14"/>
        <v>12505.5428571429</v>
      </c>
      <c r="X29" s="3">
        <f t="shared" si="15"/>
        <v>8337.02857142857</v>
      </c>
    </row>
    <row r="30" spans="1:24">
      <c r="A30" t="s">
        <v>47</v>
      </c>
      <c r="B30">
        <v>404.83375</v>
      </c>
      <c r="C30">
        <f t="shared" si="0"/>
        <v>0.0277777777777778</v>
      </c>
      <c r="D30">
        <f t="shared" si="1"/>
        <v>80</v>
      </c>
      <c r="E30">
        <f>B30*$B$2*$B$9</f>
        <v>64773.4</v>
      </c>
      <c r="F30">
        <f t="shared" si="2"/>
        <v>1799.26111111111</v>
      </c>
      <c r="G30">
        <f t="shared" si="3"/>
        <v>5181872</v>
      </c>
      <c r="H30">
        <f t="shared" si="4"/>
        <v>25909.36</v>
      </c>
      <c r="I30">
        <f t="shared" si="5"/>
        <v>38864.04</v>
      </c>
      <c r="J30">
        <f t="shared" si="6"/>
        <v>719.704444444444</v>
      </c>
      <c r="K30">
        <f t="shared" si="7"/>
        <v>1079.55666666667</v>
      </c>
      <c r="L30" s="5">
        <f>J30/($B$4*$B$5)</f>
        <v>102.814920634921</v>
      </c>
      <c r="M30">
        <f>K30/($B$4*$B$5)</f>
        <v>154.222380952381</v>
      </c>
      <c r="N30">
        <f t="shared" si="8"/>
        <v>25703.7301587302</v>
      </c>
      <c r="O30">
        <f t="shared" si="9"/>
        <v>30844.4761904762</v>
      </c>
      <c r="P30">
        <f>E30*D30*$B$3</f>
        <v>518187.2</v>
      </c>
      <c r="Q30" s="3">
        <f t="shared" si="10"/>
        <v>23318.424</v>
      </c>
      <c r="R30" s="3">
        <f t="shared" si="11"/>
        <v>15545.616</v>
      </c>
      <c r="S30" s="3">
        <f t="shared" si="12"/>
        <v>647.734</v>
      </c>
      <c r="T30" s="3">
        <f t="shared" si="13"/>
        <v>431.822666666667</v>
      </c>
      <c r="U30" s="6">
        <f>S30/($B$4*$B$5)</f>
        <v>92.5334285714285</v>
      </c>
      <c r="V30" s="6">
        <f>T30/($B$4*$B$5)</f>
        <v>61.6889523809524</v>
      </c>
      <c r="W30" s="3">
        <f t="shared" si="14"/>
        <v>18506.6857142857</v>
      </c>
      <c r="X30" s="3">
        <f t="shared" si="15"/>
        <v>12337.7904761905</v>
      </c>
    </row>
    <row r="31" spans="1:24">
      <c r="A31" t="s">
        <v>48</v>
      </c>
      <c r="B31">
        <v>297.86625</v>
      </c>
      <c r="C31">
        <f t="shared" si="0"/>
        <v>0.0277777777777778</v>
      </c>
      <c r="D31">
        <f t="shared" si="1"/>
        <v>80</v>
      </c>
      <c r="E31">
        <f>B31*$B$2*$B$9</f>
        <v>47658.6</v>
      </c>
      <c r="F31">
        <f t="shared" si="2"/>
        <v>1323.85</v>
      </c>
      <c r="G31">
        <f t="shared" si="3"/>
        <v>3812688</v>
      </c>
      <c r="H31">
        <f t="shared" si="4"/>
        <v>19063.44</v>
      </c>
      <c r="I31">
        <f t="shared" si="5"/>
        <v>28595.16</v>
      </c>
      <c r="J31">
        <f t="shared" si="6"/>
        <v>529.54</v>
      </c>
      <c r="K31">
        <f t="shared" si="7"/>
        <v>794.31</v>
      </c>
      <c r="L31" s="5">
        <f>J31/($B$4*$B$5)</f>
        <v>75.6485714285714</v>
      </c>
      <c r="M31">
        <f>K31/($B$4*$B$5)</f>
        <v>113.472857142857</v>
      </c>
      <c r="N31">
        <f t="shared" si="8"/>
        <v>18912.1428571429</v>
      </c>
      <c r="O31">
        <f t="shared" si="9"/>
        <v>22694.5714285714</v>
      </c>
      <c r="P31">
        <f>E31*D31*$B$3</f>
        <v>381268.8</v>
      </c>
      <c r="Q31" s="3">
        <f t="shared" si="10"/>
        <v>17157.096</v>
      </c>
      <c r="R31" s="3">
        <f t="shared" si="11"/>
        <v>11438.064</v>
      </c>
      <c r="S31" s="3">
        <f t="shared" si="12"/>
        <v>476.586</v>
      </c>
      <c r="T31" s="3">
        <f t="shared" si="13"/>
        <v>317.724</v>
      </c>
      <c r="U31" s="6">
        <f>S31/($B$4*$B$5)</f>
        <v>68.0837142857143</v>
      </c>
      <c r="V31" s="6">
        <f>T31/($B$4*$B$5)</f>
        <v>45.3891428571429</v>
      </c>
      <c r="W31" s="3">
        <f t="shared" si="14"/>
        <v>13616.7428571429</v>
      </c>
      <c r="X31" s="3">
        <f t="shared" si="15"/>
        <v>9077.82857142857</v>
      </c>
    </row>
    <row r="32" spans="1:24">
      <c r="A32" t="s">
        <v>89</v>
      </c>
      <c r="B32">
        <f t="shared" ref="B32:X32" si="16">SUM(B12:B31)</f>
        <v>4163.2346875</v>
      </c>
      <c r="C32">
        <f t="shared" si="16"/>
        <v>1.2037037037037</v>
      </c>
      <c r="D32">
        <f t="shared" si="16"/>
        <v>922</v>
      </c>
      <c r="E32">
        <f t="shared" si="16"/>
        <v>666117.55</v>
      </c>
      <c r="F32">
        <f t="shared" si="16"/>
        <v>37210.7099537037</v>
      </c>
      <c r="G32">
        <f t="shared" si="16"/>
        <v>32270904.55</v>
      </c>
      <c r="H32">
        <f t="shared" si="16"/>
        <v>266447.02</v>
      </c>
      <c r="I32">
        <f t="shared" si="16"/>
        <v>399670.53</v>
      </c>
      <c r="J32">
        <f t="shared" si="16"/>
        <v>14884.2839814815</v>
      </c>
      <c r="K32">
        <f t="shared" si="16"/>
        <v>22326.4259722222</v>
      </c>
      <c r="L32" s="5">
        <f t="shared" si="16"/>
        <v>2126.32628306878</v>
      </c>
      <c r="M32">
        <f t="shared" si="16"/>
        <v>3189.48942460317</v>
      </c>
      <c r="N32">
        <f t="shared" si="16"/>
        <v>531581.570767196</v>
      </c>
      <c r="O32">
        <f t="shared" si="16"/>
        <v>637897.884920635</v>
      </c>
      <c r="P32">
        <f t="shared" si="16"/>
        <v>3227090.455</v>
      </c>
      <c r="Q32">
        <f t="shared" si="16"/>
        <v>249110.478</v>
      </c>
      <c r="R32">
        <f t="shared" si="16"/>
        <v>150560.052</v>
      </c>
      <c r="S32">
        <f t="shared" si="16"/>
        <v>13740.60225</v>
      </c>
      <c r="T32">
        <f t="shared" si="16"/>
        <v>8585.82372222222</v>
      </c>
      <c r="U32" s="5">
        <f t="shared" si="16"/>
        <v>1962.94317857143</v>
      </c>
      <c r="V32" s="5">
        <f t="shared" si="16"/>
        <v>1226.54624603175</v>
      </c>
      <c r="W32">
        <f t="shared" si="16"/>
        <v>392588.635714286</v>
      </c>
      <c r="X32">
        <f t="shared" si="16"/>
        <v>245309.249206349</v>
      </c>
    </row>
    <row r="41" spans="1:10">
      <c r="A41" t="s">
        <v>40</v>
      </c>
      <c r="B41" t="s">
        <v>90</v>
      </c>
      <c r="F41" t="s">
        <v>91</v>
      </c>
      <c r="I41" t="s">
        <v>40</v>
      </c>
      <c r="J41" t="s">
        <v>136</v>
      </c>
    </row>
    <row r="42" spans="1:17">
      <c r="A42" t="s">
        <v>92</v>
      </c>
      <c r="B42" t="s">
        <v>93</v>
      </c>
      <c r="C42" t="s">
        <v>94</v>
      </c>
      <c r="D42" t="s">
        <v>95</v>
      </c>
      <c r="E42" t="s">
        <v>96</v>
      </c>
      <c r="F42" t="s">
        <v>97</v>
      </c>
      <c r="G42" t="s">
        <v>67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 t="s">
        <v>132</v>
      </c>
      <c r="P42" t="s">
        <v>133</v>
      </c>
      <c r="Q42" t="s">
        <v>134</v>
      </c>
    </row>
    <row r="43" spans="1:19">
      <c r="A43" t="s">
        <v>24</v>
      </c>
      <c r="B43">
        <v>2</v>
      </c>
      <c r="C43">
        <v>6</v>
      </c>
      <c r="D43">
        <v>6</v>
      </c>
      <c r="E43">
        <v>2</v>
      </c>
      <c r="F43">
        <v>12</v>
      </c>
      <c r="G43" s="3">
        <f t="shared" ref="G43:G62" si="17">B43*C43*D43/1728</f>
        <v>0.0416666666666667</v>
      </c>
      <c r="I43" t="s">
        <v>24</v>
      </c>
      <c r="J43">
        <v>1</v>
      </c>
      <c r="K43">
        <v>2</v>
      </c>
      <c r="L43">
        <v>4</v>
      </c>
      <c r="M43">
        <v>4</v>
      </c>
      <c r="N43">
        <v>1</v>
      </c>
      <c r="Q43">
        <v>2</v>
      </c>
      <c r="R43">
        <f>J43+K43+L43+O43</f>
        <v>7</v>
      </c>
      <c r="S43">
        <f>M43+N43+P43+Q43</f>
        <v>7</v>
      </c>
    </row>
    <row r="44" spans="1:19">
      <c r="A44" t="s">
        <v>25</v>
      </c>
      <c r="B44">
        <v>8</v>
      </c>
      <c r="C44">
        <v>8</v>
      </c>
      <c r="D44">
        <v>4</v>
      </c>
      <c r="E44">
        <v>14</v>
      </c>
      <c r="F44">
        <v>100</v>
      </c>
      <c r="G44" s="3">
        <f t="shared" si="17"/>
        <v>0.148148148148148</v>
      </c>
      <c r="I44" t="s">
        <v>25</v>
      </c>
      <c r="J44">
        <v>4</v>
      </c>
      <c r="L44">
        <v>2</v>
      </c>
      <c r="M44">
        <v>2</v>
      </c>
      <c r="Q44">
        <v>1</v>
      </c>
      <c r="R44">
        <f t="shared" ref="R44:R62" si="18">J44+K44+L44+O44</f>
        <v>6</v>
      </c>
      <c r="S44">
        <f t="shared" ref="S44:S62" si="19">M44+N44+P44+Q44</f>
        <v>3</v>
      </c>
    </row>
    <row r="45" spans="1:19">
      <c r="A45" t="s">
        <v>26</v>
      </c>
      <c r="B45">
        <v>6</v>
      </c>
      <c r="C45">
        <v>6</v>
      </c>
      <c r="D45">
        <v>6</v>
      </c>
      <c r="E45">
        <v>6</v>
      </c>
      <c r="F45">
        <v>50</v>
      </c>
      <c r="G45" s="3">
        <f t="shared" si="17"/>
        <v>0.125</v>
      </c>
      <c r="I45" t="s">
        <v>26</v>
      </c>
      <c r="M45">
        <v>4</v>
      </c>
      <c r="N45">
        <v>1</v>
      </c>
      <c r="O45">
        <v>2</v>
      </c>
      <c r="P45">
        <v>4</v>
      </c>
      <c r="Q45">
        <v>1</v>
      </c>
      <c r="R45">
        <f t="shared" si="18"/>
        <v>2</v>
      </c>
      <c r="S45">
        <f t="shared" si="19"/>
        <v>10</v>
      </c>
    </row>
    <row r="46" spans="1:19">
      <c r="A46" t="s">
        <v>27</v>
      </c>
      <c r="B46">
        <v>12</v>
      </c>
      <c r="C46">
        <v>6</v>
      </c>
      <c r="D46">
        <v>4</v>
      </c>
      <c r="E46">
        <v>16</v>
      </c>
      <c r="F46">
        <v>120</v>
      </c>
      <c r="G46" s="3">
        <f t="shared" si="17"/>
        <v>0.166666666666667</v>
      </c>
      <c r="I46" t="s">
        <v>27</v>
      </c>
      <c r="K46">
        <v>1</v>
      </c>
      <c r="L46">
        <v>2</v>
      </c>
      <c r="M46">
        <v>2</v>
      </c>
      <c r="R46">
        <f t="shared" si="18"/>
        <v>3</v>
      </c>
      <c r="S46">
        <f t="shared" si="19"/>
        <v>2</v>
      </c>
    </row>
    <row r="47" spans="1:19">
      <c r="A47" t="s">
        <v>29</v>
      </c>
      <c r="B47">
        <v>8</v>
      </c>
      <c r="C47">
        <v>4</v>
      </c>
      <c r="D47">
        <v>6</v>
      </c>
      <c r="E47">
        <v>5</v>
      </c>
      <c r="F47">
        <v>50</v>
      </c>
      <c r="G47" s="3">
        <f t="shared" si="17"/>
        <v>0.111111111111111</v>
      </c>
      <c r="I47" t="s">
        <v>29</v>
      </c>
      <c r="K47">
        <v>1</v>
      </c>
      <c r="L47">
        <v>2</v>
      </c>
      <c r="O47">
        <v>1</v>
      </c>
      <c r="P47">
        <v>1</v>
      </c>
      <c r="R47">
        <f t="shared" si="18"/>
        <v>4</v>
      </c>
      <c r="S47">
        <f t="shared" si="19"/>
        <v>1</v>
      </c>
    </row>
    <row r="48" spans="1:19">
      <c r="A48" t="s">
        <v>30</v>
      </c>
      <c r="B48">
        <v>2</v>
      </c>
      <c r="C48">
        <v>8</v>
      </c>
      <c r="D48">
        <v>6</v>
      </c>
      <c r="E48">
        <v>3</v>
      </c>
      <c r="F48">
        <v>15</v>
      </c>
      <c r="G48" s="3">
        <f t="shared" si="17"/>
        <v>0.0555555555555556</v>
      </c>
      <c r="I48" t="s">
        <v>30</v>
      </c>
      <c r="J48">
        <v>1</v>
      </c>
      <c r="N48">
        <v>2</v>
      </c>
      <c r="Q48">
        <v>3</v>
      </c>
      <c r="R48">
        <f t="shared" si="18"/>
        <v>1</v>
      </c>
      <c r="S48">
        <f t="shared" si="19"/>
        <v>5</v>
      </c>
    </row>
    <row r="49" spans="1:19">
      <c r="A49" t="s">
        <v>31</v>
      </c>
      <c r="B49">
        <v>2</v>
      </c>
      <c r="C49">
        <v>2</v>
      </c>
      <c r="D49">
        <v>12</v>
      </c>
      <c r="E49">
        <v>1</v>
      </c>
      <c r="F49">
        <v>25</v>
      </c>
      <c r="G49" s="3">
        <f t="shared" si="17"/>
        <v>0.0277777777777778</v>
      </c>
      <c r="I49" t="s">
        <v>31</v>
      </c>
      <c r="K49">
        <v>4</v>
      </c>
      <c r="N49">
        <v>4</v>
      </c>
      <c r="P49">
        <v>1</v>
      </c>
      <c r="Q49">
        <v>1</v>
      </c>
      <c r="R49">
        <f t="shared" si="18"/>
        <v>4</v>
      </c>
      <c r="S49">
        <f t="shared" si="19"/>
        <v>6</v>
      </c>
    </row>
    <row r="50" spans="1:19">
      <c r="A50" t="s">
        <v>32</v>
      </c>
      <c r="B50">
        <v>4</v>
      </c>
      <c r="C50">
        <v>4</v>
      </c>
      <c r="D50">
        <v>4</v>
      </c>
      <c r="E50">
        <v>1</v>
      </c>
      <c r="F50">
        <v>20</v>
      </c>
      <c r="G50" s="3">
        <f t="shared" si="17"/>
        <v>0.037037037037037</v>
      </c>
      <c r="I50" t="s">
        <v>32</v>
      </c>
      <c r="M50">
        <v>4</v>
      </c>
      <c r="O50">
        <v>2</v>
      </c>
      <c r="P50">
        <v>2</v>
      </c>
      <c r="Q50">
        <v>3</v>
      </c>
      <c r="R50">
        <f t="shared" si="18"/>
        <v>2</v>
      </c>
      <c r="S50">
        <f t="shared" si="19"/>
        <v>9</v>
      </c>
    </row>
    <row r="51" spans="1:19">
      <c r="A51" t="s">
        <v>34</v>
      </c>
      <c r="B51">
        <v>2</v>
      </c>
      <c r="C51">
        <v>4</v>
      </c>
      <c r="D51">
        <v>12</v>
      </c>
      <c r="E51">
        <v>2</v>
      </c>
      <c r="F51">
        <v>40</v>
      </c>
      <c r="G51" s="3">
        <f t="shared" si="17"/>
        <v>0.0555555555555556</v>
      </c>
      <c r="I51" t="s">
        <v>34</v>
      </c>
      <c r="K51">
        <v>2</v>
      </c>
      <c r="L51">
        <v>2</v>
      </c>
      <c r="O51">
        <v>1</v>
      </c>
      <c r="P51">
        <v>2</v>
      </c>
      <c r="R51">
        <f t="shared" si="18"/>
        <v>5</v>
      </c>
      <c r="S51">
        <f t="shared" si="19"/>
        <v>2</v>
      </c>
    </row>
    <row r="52" spans="1:19">
      <c r="A52" t="s">
        <v>36</v>
      </c>
      <c r="B52">
        <v>4</v>
      </c>
      <c r="C52">
        <v>4</v>
      </c>
      <c r="D52">
        <v>4</v>
      </c>
      <c r="E52">
        <v>1</v>
      </c>
      <c r="F52">
        <v>20</v>
      </c>
      <c r="G52" s="3">
        <f t="shared" si="17"/>
        <v>0.037037037037037</v>
      </c>
      <c r="I52" t="s">
        <v>36</v>
      </c>
      <c r="J52">
        <v>1</v>
      </c>
      <c r="L52">
        <v>1</v>
      </c>
      <c r="M52">
        <v>1</v>
      </c>
      <c r="Q52">
        <v>1</v>
      </c>
      <c r="R52">
        <f t="shared" si="18"/>
        <v>2</v>
      </c>
      <c r="S52">
        <f t="shared" si="19"/>
        <v>2</v>
      </c>
    </row>
    <row r="53" spans="1:19">
      <c r="A53" t="s">
        <v>37</v>
      </c>
      <c r="B53">
        <v>4</v>
      </c>
      <c r="C53">
        <v>6</v>
      </c>
      <c r="D53">
        <v>4</v>
      </c>
      <c r="E53">
        <v>2</v>
      </c>
      <c r="F53">
        <v>30</v>
      </c>
      <c r="G53" s="3">
        <f t="shared" si="17"/>
        <v>0.0555555555555556</v>
      </c>
      <c r="I53" t="s">
        <v>37</v>
      </c>
      <c r="J53">
        <v>2</v>
      </c>
      <c r="N53">
        <v>4</v>
      </c>
      <c r="O53">
        <v>4</v>
      </c>
      <c r="P53">
        <v>2</v>
      </c>
      <c r="R53">
        <f t="shared" si="18"/>
        <v>6</v>
      </c>
      <c r="S53">
        <f t="shared" si="19"/>
        <v>6</v>
      </c>
    </row>
    <row r="54" spans="1:19">
      <c r="A54" t="s">
        <v>38</v>
      </c>
      <c r="B54">
        <v>6</v>
      </c>
      <c r="C54">
        <v>6</v>
      </c>
      <c r="D54">
        <v>4</v>
      </c>
      <c r="E54">
        <v>2</v>
      </c>
      <c r="F54">
        <v>30</v>
      </c>
      <c r="G54" s="3">
        <f t="shared" si="17"/>
        <v>0.0833333333333333</v>
      </c>
      <c r="I54" t="s">
        <v>38</v>
      </c>
      <c r="J54">
        <v>4</v>
      </c>
      <c r="N54">
        <v>4</v>
      </c>
      <c r="O54">
        <v>3</v>
      </c>
      <c r="P54">
        <v>4</v>
      </c>
      <c r="R54">
        <f t="shared" si="18"/>
        <v>7</v>
      </c>
      <c r="S54">
        <f t="shared" si="19"/>
        <v>8</v>
      </c>
    </row>
    <row r="55" spans="1:19">
      <c r="A55" t="s">
        <v>39</v>
      </c>
      <c r="B55">
        <v>2</v>
      </c>
      <c r="C55">
        <v>2</v>
      </c>
      <c r="D55">
        <v>12</v>
      </c>
      <c r="E55">
        <v>1</v>
      </c>
      <c r="F55">
        <v>25</v>
      </c>
      <c r="G55" s="3">
        <f t="shared" si="17"/>
        <v>0.0277777777777778</v>
      </c>
      <c r="I55" t="s">
        <v>39</v>
      </c>
      <c r="J55">
        <v>2</v>
      </c>
      <c r="N55">
        <v>2</v>
      </c>
      <c r="O55">
        <v>2</v>
      </c>
      <c r="P55">
        <v>1</v>
      </c>
      <c r="R55">
        <f t="shared" si="18"/>
        <v>4</v>
      </c>
      <c r="S55">
        <f t="shared" si="19"/>
        <v>3</v>
      </c>
    </row>
    <row r="56" spans="1:19">
      <c r="A56" t="s">
        <v>42</v>
      </c>
      <c r="B56">
        <v>2</v>
      </c>
      <c r="C56">
        <v>4</v>
      </c>
      <c r="D56">
        <v>6</v>
      </c>
      <c r="E56">
        <v>1</v>
      </c>
      <c r="F56">
        <v>20</v>
      </c>
      <c r="G56" s="3">
        <f t="shared" si="17"/>
        <v>0.0277777777777778</v>
      </c>
      <c r="I56" t="s">
        <v>42</v>
      </c>
      <c r="K56">
        <v>4</v>
      </c>
      <c r="L56">
        <v>2</v>
      </c>
      <c r="M56">
        <v>2</v>
      </c>
      <c r="N56">
        <v>2</v>
      </c>
      <c r="Q56">
        <v>4</v>
      </c>
      <c r="R56">
        <f t="shared" si="18"/>
        <v>6</v>
      </c>
      <c r="S56">
        <f t="shared" si="19"/>
        <v>8</v>
      </c>
    </row>
    <row r="57" spans="1:19">
      <c r="A57" t="s">
        <v>43</v>
      </c>
      <c r="B57">
        <v>4</v>
      </c>
      <c r="C57">
        <v>6</v>
      </c>
      <c r="D57">
        <v>4</v>
      </c>
      <c r="E57">
        <v>2</v>
      </c>
      <c r="F57">
        <v>25</v>
      </c>
      <c r="G57" s="3">
        <f t="shared" si="17"/>
        <v>0.0555555555555556</v>
      </c>
      <c r="I57" t="s">
        <v>43</v>
      </c>
      <c r="M57">
        <v>2</v>
      </c>
      <c r="O57">
        <v>2</v>
      </c>
      <c r="Q57">
        <v>1</v>
      </c>
      <c r="R57">
        <f t="shared" si="18"/>
        <v>2</v>
      </c>
      <c r="S57">
        <f t="shared" si="19"/>
        <v>3</v>
      </c>
    </row>
    <row r="58" spans="1:19">
      <c r="A58" t="s">
        <v>44</v>
      </c>
      <c r="B58">
        <v>4</v>
      </c>
      <c r="C58">
        <v>4</v>
      </c>
      <c r="D58">
        <v>4</v>
      </c>
      <c r="E58">
        <v>1</v>
      </c>
      <c r="F58">
        <v>20</v>
      </c>
      <c r="G58" s="3">
        <f t="shared" si="17"/>
        <v>0.037037037037037</v>
      </c>
      <c r="I58" t="s">
        <v>44</v>
      </c>
      <c r="K58">
        <v>1</v>
      </c>
      <c r="L58">
        <v>4</v>
      </c>
      <c r="R58">
        <f t="shared" si="18"/>
        <v>5</v>
      </c>
      <c r="S58">
        <f t="shared" si="19"/>
        <v>0</v>
      </c>
    </row>
    <row r="59" spans="1:19">
      <c r="A59" t="s">
        <v>45</v>
      </c>
      <c r="B59">
        <v>12</v>
      </c>
      <c r="C59">
        <v>2</v>
      </c>
      <c r="D59">
        <v>2</v>
      </c>
      <c r="E59">
        <v>4</v>
      </c>
      <c r="F59">
        <v>80</v>
      </c>
      <c r="G59" s="3">
        <f t="shared" si="17"/>
        <v>0.0277777777777778</v>
      </c>
      <c r="I59" t="s">
        <v>45</v>
      </c>
      <c r="J59">
        <v>2</v>
      </c>
      <c r="N59">
        <v>2</v>
      </c>
      <c r="O59">
        <v>2</v>
      </c>
      <c r="P59">
        <v>2</v>
      </c>
      <c r="Q59">
        <v>1</v>
      </c>
      <c r="R59">
        <f t="shared" si="18"/>
        <v>4</v>
      </c>
      <c r="S59">
        <f t="shared" si="19"/>
        <v>5</v>
      </c>
    </row>
    <row r="60" spans="1:19">
      <c r="A60" t="s">
        <v>46</v>
      </c>
      <c r="B60">
        <v>12</v>
      </c>
      <c r="C60">
        <v>2</v>
      </c>
      <c r="D60">
        <v>2</v>
      </c>
      <c r="E60">
        <v>4</v>
      </c>
      <c r="F60">
        <v>80</v>
      </c>
      <c r="G60" s="3">
        <f t="shared" si="17"/>
        <v>0.0277777777777778</v>
      </c>
      <c r="I60" t="s">
        <v>46</v>
      </c>
      <c r="J60">
        <v>4</v>
      </c>
      <c r="K60">
        <v>1</v>
      </c>
      <c r="N60">
        <v>4</v>
      </c>
      <c r="O60">
        <v>1</v>
      </c>
      <c r="P60">
        <v>3</v>
      </c>
      <c r="R60">
        <f t="shared" si="18"/>
        <v>6</v>
      </c>
      <c r="S60">
        <f t="shared" si="19"/>
        <v>7</v>
      </c>
    </row>
    <row r="61" spans="1:19">
      <c r="A61" t="s">
        <v>47</v>
      </c>
      <c r="B61">
        <v>12</v>
      </c>
      <c r="C61">
        <v>2</v>
      </c>
      <c r="D61">
        <v>2</v>
      </c>
      <c r="E61">
        <v>4</v>
      </c>
      <c r="F61">
        <v>80</v>
      </c>
      <c r="G61" s="3">
        <f t="shared" si="17"/>
        <v>0.0277777777777778</v>
      </c>
      <c r="I61" t="s">
        <v>47</v>
      </c>
      <c r="K61">
        <v>2</v>
      </c>
      <c r="L61">
        <v>4</v>
      </c>
      <c r="M61">
        <v>4</v>
      </c>
      <c r="N61">
        <v>1</v>
      </c>
      <c r="Q61">
        <v>3</v>
      </c>
      <c r="R61">
        <f t="shared" si="18"/>
        <v>6</v>
      </c>
      <c r="S61">
        <f t="shared" si="19"/>
        <v>8</v>
      </c>
    </row>
    <row r="62" spans="1:19">
      <c r="A62" t="s">
        <v>48</v>
      </c>
      <c r="B62">
        <v>12</v>
      </c>
      <c r="C62">
        <v>2</v>
      </c>
      <c r="D62">
        <v>2</v>
      </c>
      <c r="E62">
        <v>4</v>
      </c>
      <c r="F62">
        <v>80</v>
      </c>
      <c r="G62" s="3">
        <f t="shared" si="17"/>
        <v>0.0277777777777778</v>
      </c>
      <c r="I62" t="s">
        <v>48</v>
      </c>
      <c r="K62">
        <v>2</v>
      </c>
      <c r="L62">
        <v>3</v>
      </c>
      <c r="M62">
        <v>3</v>
      </c>
      <c r="Q62">
        <v>4</v>
      </c>
      <c r="R62">
        <f t="shared" si="18"/>
        <v>5</v>
      </c>
      <c r="S62">
        <f t="shared" si="19"/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zoomScale="80" zoomScaleNormal="80" topLeftCell="A20" workbookViewId="0">
      <selection activeCell="D26" sqref="D26"/>
    </sheetView>
  </sheetViews>
  <sheetFormatPr defaultColWidth="8.88888888888889" defaultRowHeight="17.6"/>
  <cols>
    <col min="2" max="2" width="31.1319444444444" customWidth="1"/>
    <col min="3" max="3" width="12.5555555555556"/>
    <col min="4" max="4" width="10.8402777777778" customWidth="1"/>
    <col min="7" max="7" width="12.5555555555556"/>
    <col min="9" max="10" width="12.5555555555556"/>
    <col min="12" max="12" width="12.5555555555556"/>
    <col min="18" max="18" width="15.1875" customWidth="1"/>
    <col min="19" max="19" width="15.7638888888889" customWidth="1"/>
    <col min="20" max="20" width="9.82638888888889" customWidth="1"/>
    <col min="21" max="21" width="10.9930555555556" customWidth="1"/>
  </cols>
  <sheetData>
    <row r="1" spans="2:19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</row>
    <row r="2" ht="18" spans="1:19">
      <c r="A2" t="s">
        <v>24</v>
      </c>
      <c r="B2" t="s">
        <v>115</v>
      </c>
      <c r="C2" t="s">
        <v>116</v>
      </c>
      <c r="D2" t="s">
        <v>115</v>
      </c>
      <c r="E2" t="s">
        <v>117</v>
      </c>
      <c r="F2" t="s">
        <v>118</v>
      </c>
      <c r="G2" t="s">
        <v>119</v>
      </c>
      <c r="H2" t="s">
        <v>120</v>
      </c>
      <c r="I2">
        <f>_xlfn.XLOOKUP(A2,$A$2:$A$21,$C$26:$C$45)</f>
        <v>2297.73833333333</v>
      </c>
      <c r="J2" t="str">
        <f t="shared" ref="J2:O2" si="0">IF(AND(B2&lt;&gt;"",C2&lt;&gt;"",B2&lt;&gt;C2),B2&amp;"-&gt;"&amp;C2,"")</f>
        <v>B-&gt;A</v>
      </c>
      <c r="K2" s="3" t="str">
        <f t="shared" si="0"/>
        <v>A-&gt;B</v>
      </c>
      <c r="L2" s="3" t="str">
        <f t="shared" si="0"/>
        <v>B-&gt;C</v>
      </c>
      <c r="M2" s="3" t="str">
        <f t="shared" si="0"/>
        <v>C-&gt;D</v>
      </c>
      <c r="N2" s="3" t="str">
        <f t="shared" si="0"/>
        <v>D-&gt;I</v>
      </c>
      <c r="O2" s="3" t="str">
        <f t="shared" si="0"/>
        <v>I-&gt;J</v>
      </c>
      <c r="P2" s="4" t="s">
        <v>116</v>
      </c>
      <c r="Q2" s="4" t="s">
        <v>115</v>
      </c>
      <c r="R2" s="3">
        <f>SUMPRODUCT($I$2:$I$21*(($J$2:$J$21=$P2&amp;"-&gt;"&amp;$Q2)+($K$2:$K$21=$P2&amp;"-&gt;"&amp;$Q2)+($L$2:$L$21=$P2&amp;"-&gt;"&amp;$Q2)+($M$2:$M$21=$P2&amp;"-&gt;"&amp;$Q2)+($N$2:$N$21=$P2&amp;"-&gt;"&amp;$Q2)+($O$2:$O$21=$P2&amp;"-&gt;"&amp;$Q2)))</f>
        <v>3779.35</v>
      </c>
      <c r="S2" s="3">
        <f>SUMPRODUCT($D$26:$D$45*(($J$2:$J$21=$P2&amp;"-&gt;"&amp;$Q2)+($K$2:$K$21=$P2&amp;"-&gt;"&amp;$Q2)+($L$2:$L$21=$P2&amp;"-&gt;"&amp;$Q2)+($M$2:$M$21=$P2&amp;"-&gt;"&amp;$Q2)+($N$2:$N$21=$P2&amp;"-&gt;"&amp;$Q2)+($O$2:$O$21=$P2&amp;"-&gt;"&amp;$Q2)))</f>
        <v>47.241875</v>
      </c>
    </row>
    <row r="3" ht="18" spans="1:19">
      <c r="A3" t="s">
        <v>25</v>
      </c>
      <c r="B3" t="s">
        <v>116</v>
      </c>
      <c r="C3" t="s">
        <v>117</v>
      </c>
      <c r="D3" t="s">
        <v>118</v>
      </c>
      <c r="E3" t="s">
        <v>121</v>
      </c>
      <c r="F3" t="s">
        <v>120</v>
      </c>
      <c r="I3">
        <f>_xlfn.XLOOKUP(A3,$A$2:$A$21,$C$26:$C$45)</f>
        <v>1344.24666666667</v>
      </c>
      <c r="J3" t="str">
        <f t="shared" ref="J3:O3" si="1">IF(AND(B3&lt;&gt;"",C3&lt;&gt;"",B3&lt;&gt;C3),B3&amp;"-&gt;"&amp;C3,"")</f>
        <v>A-&gt;C</v>
      </c>
      <c r="K3" s="3" t="str">
        <f t="shared" si="1"/>
        <v>C-&gt;D</v>
      </c>
      <c r="L3" s="3" t="str">
        <f t="shared" si="1"/>
        <v>D-&gt;H</v>
      </c>
      <c r="M3" s="3" t="str">
        <f t="shared" si="1"/>
        <v>H-&gt;J</v>
      </c>
      <c r="N3" s="3" t="str">
        <f t="shared" si="1"/>
        <v/>
      </c>
      <c r="O3" s="3" t="str">
        <f t="shared" si="1"/>
        <v/>
      </c>
      <c r="P3" s="4" t="s">
        <v>116</v>
      </c>
      <c r="Q3" s="4" t="s">
        <v>117</v>
      </c>
      <c r="R3" s="3">
        <f>SUMPRODUCT($I$2:$I$21*(($J$2:$J$21=$P3&amp;"-&gt;"&amp;$Q3)+($K$2:$K$21=$P3&amp;"-&gt;"&amp;$Q3)+($L$2:$L$21=$P3&amp;"-&gt;"&amp;$Q3)+($M$2:$M$21=$P3&amp;"-&gt;"&amp;$Q3)+($N$2:$N$21=$P3&amp;"-&gt;"&amp;$Q3)+($O$2:$O$21=$P3&amp;"-&gt;"&amp;$Q3)))</f>
        <v>1344.24666666667</v>
      </c>
      <c r="S3" s="3">
        <f>SUMPRODUCT($D$26:$D$45*(($J$2:$J$21=$P3&amp;"-&gt;"&amp;$Q3)+($K$2:$K$21=$P3&amp;"-&gt;"&amp;$Q3)+($L$2:$L$21=$P3&amp;"-&gt;"&amp;$Q3)+($M$2:$M$21=$P3&amp;"-&gt;"&amp;$Q3)+($N$2:$N$21=$P3&amp;"-&gt;"&amp;$Q3)+($O$2:$O$21=$P3&amp;"-&gt;"&amp;$Q3)))</f>
        <v>16.8030833333333</v>
      </c>
    </row>
    <row r="4" ht="18" spans="1:19">
      <c r="A4" t="s">
        <v>26</v>
      </c>
      <c r="B4" t="s">
        <v>115</v>
      </c>
      <c r="C4" t="s">
        <v>118</v>
      </c>
      <c r="D4" t="s">
        <v>117</v>
      </c>
      <c r="E4" t="s">
        <v>119</v>
      </c>
      <c r="F4" t="s">
        <v>120</v>
      </c>
      <c r="I4">
        <f>_xlfn.XLOOKUP(A4,$A$2:$A$21,$C$26:$C$45)</f>
        <v>664.313333333333</v>
      </c>
      <c r="J4" t="str">
        <f t="shared" ref="J4:O4" si="2">IF(AND(B4&lt;&gt;"",C4&lt;&gt;"",B4&lt;&gt;C4),B4&amp;"-&gt;"&amp;C4,"")</f>
        <v>B-&gt;D</v>
      </c>
      <c r="K4" s="3" t="str">
        <f t="shared" si="2"/>
        <v>D-&gt;C</v>
      </c>
      <c r="L4" s="3" t="str">
        <f t="shared" si="2"/>
        <v>C-&gt;I</v>
      </c>
      <c r="M4" s="3" t="str">
        <f t="shared" si="2"/>
        <v>I-&gt;J</v>
      </c>
      <c r="N4" s="3" t="str">
        <f t="shared" si="2"/>
        <v/>
      </c>
      <c r="O4" s="3" t="str">
        <f t="shared" si="2"/>
        <v/>
      </c>
      <c r="P4" s="4" t="s">
        <v>115</v>
      </c>
      <c r="Q4" s="4" t="s">
        <v>116</v>
      </c>
      <c r="R4" s="3">
        <f>SUMPRODUCT($I$2:$I$21*(($J$2:$J$21=$P4&amp;"-&gt;"&amp;$Q4)+($K$2:$K$21=$P4&amp;"-&gt;"&amp;$Q4)+($L$2:$L$21=$P4&amp;"-&gt;"&amp;$Q4)+($M$2:$M$21=$P4&amp;"-&gt;"&amp;$Q4)+($N$2:$N$21=$P4&amp;"-&gt;"&amp;$Q4)+($O$2:$O$21=$P4&amp;"-&gt;"&amp;$Q4)))</f>
        <v>2297.73833333333</v>
      </c>
      <c r="S4" s="3">
        <f>SUMPRODUCT($D$26:$D$45*(($J$2:$J$21=$P4&amp;"-&gt;"&amp;$Q4)+($K$2:$K$21=$P4&amp;"-&gt;"&amp;$Q4)+($L$2:$L$21=$P4&amp;"-&gt;"&amp;$Q4)+($M$2:$M$21=$P4&amp;"-&gt;"&amp;$Q4)+($N$2:$N$21=$P4&amp;"-&gt;"&amp;$Q4)+($O$2:$O$21=$P4&amp;"-&gt;"&amp;$Q4)))</f>
        <v>28.7217291666667</v>
      </c>
    </row>
    <row r="5" ht="18" spans="1:19">
      <c r="A5" t="s">
        <v>27</v>
      </c>
      <c r="B5" t="s">
        <v>116</v>
      </c>
      <c r="C5" t="s">
        <v>115</v>
      </c>
      <c r="D5" t="s">
        <v>118</v>
      </c>
      <c r="E5" t="s">
        <v>122</v>
      </c>
      <c r="F5" t="s">
        <v>121</v>
      </c>
      <c r="I5">
        <f>_xlfn.XLOOKUP(A5,$A$2:$A$21,$C$26:$C$45)</f>
        <v>991.746666666667</v>
      </c>
      <c r="J5" t="str">
        <f t="shared" ref="J5:O5" si="3">IF(AND(B5&lt;&gt;"",C5&lt;&gt;"",B5&lt;&gt;C5),B5&amp;"-&gt;"&amp;C5,"")</f>
        <v>A-&gt;B</v>
      </c>
      <c r="K5" s="3" t="str">
        <f t="shared" si="3"/>
        <v>B-&gt;D</v>
      </c>
      <c r="L5" s="3" t="str">
        <f t="shared" si="3"/>
        <v>D-&gt;G</v>
      </c>
      <c r="M5" s="3" t="str">
        <f t="shared" si="3"/>
        <v>G-&gt;H</v>
      </c>
      <c r="N5" s="3" t="str">
        <f t="shared" si="3"/>
        <v/>
      </c>
      <c r="O5" s="3" t="str">
        <f t="shared" si="3"/>
        <v/>
      </c>
      <c r="P5" s="4" t="s">
        <v>115</v>
      </c>
      <c r="Q5" s="4" t="s">
        <v>117</v>
      </c>
      <c r="R5" s="3">
        <f>SUMPRODUCT($I$2:$I$21*(($J$2:$J$21=$P5&amp;"-&gt;"&amp;$Q5)+($K$2:$K$21=$P5&amp;"-&gt;"&amp;$Q5)+($L$2:$L$21=$P5&amp;"-&gt;"&amp;$Q5)+($M$2:$M$21=$P5&amp;"-&gt;"&amp;$Q5)+($N$2:$N$21=$P5&amp;"-&gt;"&amp;$Q5)+($O$2:$O$21=$P5&amp;"-&gt;"&amp;$Q5)))</f>
        <v>3535.00333333333</v>
      </c>
      <c r="S5" s="3">
        <f>SUMPRODUCT($D$26:$D$45*(($J$2:$J$21=$P5&amp;"-&gt;"&amp;$Q5)+($K$2:$K$21=$P5&amp;"-&gt;"&amp;$Q5)+($L$2:$L$21=$P5&amp;"-&gt;"&amp;$Q5)+($M$2:$M$21=$P5&amp;"-&gt;"&amp;$Q5)+($N$2:$N$21=$P5&amp;"-&gt;"&amp;$Q5)+($O$2:$O$21=$P5&amp;"-&gt;"&amp;$Q5)))</f>
        <v>44.1875416666667</v>
      </c>
    </row>
    <row r="6" ht="18" spans="1:19">
      <c r="A6" t="s">
        <v>29</v>
      </c>
      <c r="B6" t="s">
        <v>115</v>
      </c>
      <c r="C6" t="s">
        <v>117</v>
      </c>
      <c r="D6" t="s">
        <v>118</v>
      </c>
      <c r="E6" t="s">
        <v>119</v>
      </c>
      <c r="I6">
        <f>_xlfn.XLOOKUP(A6,$A$2:$A$21,$C$26:$C$45)</f>
        <v>747.4</v>
      </c>
      <c r="J6" t="str">
        <f t="shared" ref="J6:O6" si="4">IF(AND(B6&lt;&gt;"",C6&lt;&gt;"",B6&lt;&gt;C6),B6&amp;"-&gt;"&amp;C6,"")</f>
        <v>B-&gt;C</v>
      </c>
      <c r="K6" s="3" t="str">
        <f t="shared" si="4"/>
        <v>C-&gt;D</v>
      </c>
      <c r="L6" s="3" t="str">
        <f t="shared" si="4"/>
        <v>D-&gt;I</v>
      </c>
      <c r="M6" s="3" t="str">
        <f t="shared" si="4"/>
        <v/>
      </c>
      <c r="N6" s="3" t="str">
        <f t="shared" si="4"/>
        <v/>
      </c>
      <c r="O6" s="3" t="str">
        <f t="shared" si="4"/>
        <v/>
      </c>
      <c r="P6" s="4" t="s">
        <v>115</v>
      </c>
      <c r="Q6" s="4" t="s">
        <v>118</v>
      </c>
      <c r="R6" s="3">
        <f>SUMPRODUCT($I$2:$I$21*(($J$2:$J$21=$P6&amp;"-&gt;"&amp;$Q6)+($K$2:$K$21=$P6&amp;"-&gt;"&amp;$Q6)+($L$2:$L$21=$P6&amp;"-&gt;"&amp;$Q6)+($M$2:$M$21=$P6&amp;"-&gt;"&amp;$Q6)+($N$2:$N$21=$P6&amp;"-&gt;"&amp;$Q6)+($O$2:$O$21=$P6&amp;"-&gt;"&amp;$Q6)))</f>
        <v>1656.06</v>
      </c>
      <c r="S6" s="3">
        <f>SUMPRODUCT($D$26:$D$45*(($J$2:$J$21=$P6&amp;"-&gt;"&amp;$Q6)+($K$2:$K$21=$P6&amp;"-&gt;"&amp;$Q6)+($L$2:$L$21=$P6&amp;"-&gt;"&amp;$Q6)+($M$2:$M$21=$P6&amp;"-&gt;"&amp;$Q6)+($N$2:$N$21=$P6&amp;"-&gt;"&amp;$Q6)+($O$2:$O$21=$P6&amp;"-&gt;"&amp;$Q6)))</f>
        <v>20.70075</v>
      </c>
    </row>
    <row r="7" ht="18" spans="1:19">
      <c r="A7" t="s">
        <v>30</v>
      </c>
      <c r="B7" t="s">
        <v>116</v>
      </c>
      <c r="C7" t="s">
        <v>115</v>
      </c>
      <c r="D7" t="s">
        <v>117</v>
      </c>
      <c r="E7" t="s">
        <v>118</v>
      </c>
      <c r="F7" t="s">
        <v>121</v>
      </c>
      <c r="G7" t="s">
        <v>119</v>
      </c>
      <c r="H7" t="s">
        <v>120</v>
      </c>
      <c r="I7">
        <f>_xlfn.XLOOKUP(A7,$A$2:$A$21,$C$26:$C$45)</f>
        <v>489.865</v>
      </c>
      <c r="J7" t="str">
        <f t="shared" ref="J7:O7" si="5">IF(AND(B7&lt;&gt;"",C7&lt;&gt;"",B7&lt;&gt;C7),B7&amp;"-&gt;"&amp;C7,"")</f>
        <v>A-&gt;B</v>
      </c>
      <c r="K7" s="3" t="str">
        <f t="shared" si="5"/>
        <v>B-&gt;C</v>
      </c>
      <c r="L7" s="3" t="str">
        <f t="shared" si="5"/>
        <v>C-&gt;D</v>
      </c>
      <c r="M7" s="3" t="str">
        <f t="shared" si="5"/>
        <v>D-&gt;H</v>
      </c>
      <c r="N7" s="3" t="str">
        <f t="shared" si="5"/>
        <v>H-&gt;I</v>
      </c>
      <c r="O7" s="3" t="str">
        <f t="shared" si="5"/>
        <v>I-&gt;J</v>
      </c>
      <c r="P7" s="4" t="s">
        <v>117</v>
      </c>
      <c r="Q7" s="4" t="s">
        <v>118</v>
      </c>
      <c r="R7" s="3">
        <f>SUMPRODUCT($I$2:$I$21*(($J$2:$J$21=$P7&amp;"-&gt;"&amp;$Q7)+($K$2:$K$21=$P7&amp;"-&gt;"&amp;$Q7)+($L$2:$L$21=$P7&amp;"-&gt;"&amp;$Q7)+($M$2:$M$21=$P7&amp;"-&gt;"&amp;$Q7)+($N$2:$N$21=$P7&amp;"-&gt;"&amp;$Q7)+($O$2:$O$21=$P7&amp;"-&gt;"&amp;$Q7)))</f>
        <v>6389.73</v>
      </c>
      <c r="S7" s="3">
        <f>SUMPRODUCT($D$26:$D$45*(($J$2:$J$21=$P7&amp;"-&gt;"&amp;$Q7)+($K$2:$K$21=$P7&amp;"-&gt;"&amp;$Q7)+($L$2:$L$21=$P7&amp;"-&gt;"&amp;$Q7)+($M$2:$M$21=$P7&amp;"-&gt;"&amp;$Q7)+($N$2:$N$21=$P7&amp;"-&gt;"&amp;$Q7)+($O$2:$O$21=$P7&amp;"-&gt;"&amp;$Q7)))</f>
        <v>79.871625</v>
      </c>
    </row>
    <row r="8" ht="18" spans="1:19">
      <c r="A8" t="s">
        <v>31</v>
      </c>
      <c r="B8" t="s">
        <v>123</v>
      </c>
      <c r="C8" t="s">
        <v>124</v>
      </c>
      <c r="D8" t="s">
        <v>117</v>
      </c>
      <c r="E8" t="s">
        <v>118</v>
      </c>
      <c r="F8" t="s">
        <v>119</v>
      </c>
      <c r="G8" t="s">
        <v>120</v>
      </c>
      <c r="I8">
        <f>_xlfn.XLOOKUP(A8,$A$2:$A$21,$C$26:$C$45)</f>
        <v>1510.48</v>
      </c>
      <c r="J8" t="str">
        <f t="shared" ref="J8:O8" si="6">IF(AND(B8&lt;&gt;"",C8&lt;&gt;"",B8&lt;&gt;C8),B8&amp;"-&gt;"&amp;C8,"")</f>
        <v>E-&gt;F</v>
      </c>
      <c r="K8" s="3" t="str">
        <f t="shared" si="6"/>
        <v>F-&gt;C</v>
      </c>
      <c r="L8" s="3" t="str">
        <f t="shared" si="6"/>
        <v>C-&gt;D</v>
      </c>
      <c r="M8" s="3" t="str">
        <f t="shared" si="6"/>
        <v>D-&gt;I</v>
      </c>
      <c r="N8" s="3" t="str">
        <f t="shared" si="6"/>
        <v>I-&gt;J</v>
      </c>
      <c r="O8" s="3" t="str">
        <f t="shared" si="6"/>
        <v/>
      </c>
      <c r="P8" s="4" t="s">
        <v>117</v>
      </c>
      <c r="Q8" s="4" t="s">
        <v>119</v>
      </c>
      <c r="R8" s="3">
        <f>SUMPRODUCT($I$2:$I$21*(($J$2:$J$21=$P8&amp;"-&gt;"&amp;$Q8)+($K$2:$K$21=$P8&amp;"-&gt;"&amp;$Q8)+($L$2:$L$21=$P8&amp;"-&gt;"&amp;$Q8)+($M$2:$M$21=$P8&amp;"-&gt;"&amp;$Q8)+($N$2:$N$21=$P8&amp;"-&gt;"&amp;$Q8)+($O$2:$O$21=$P8&amp;"-&gt;"&amp;$Q8)))</f>
        <v>664.313333333333</v>
      </c>
      <c r="S8" s="3">
        <f>SUMPRODUCT($D$26:$D$45*(($J$2:$J$21=$P8&amp;"-&gt;"&amp;$Q8)+($K$2:$K$21=$P8&amp;"-&gt;"&amp;$Q8)+($L$2:$L$21=$P8&amp;"-&gt;"&amp;$Q8)+($M$2:$M$21=$P8&amp;"-&gt;"&amp;$Q8)+($N$2:$N$21=$P8&amp;"-&gt;"&amp;$Q8)+($O$2:$O$21=$P8&amp;"-&gt;"&amp;$Q8)))</f>
        <v>8.30391666666667</v>
      </c>
    </row>
    <row r="9" ht="18" spans="1:19">
      <c r="A9" t="s">
        <v>32</v>
      </c>
      <c r="B9" t="s">
        <v>123</v>
      </c>
      <c r="C9" t="s">
        <v>121</v>
      </c>
      <c r="D9" t="s">
        <v>120</v>
      </c>
      <c r="E9" t="s">
        <v>119</v>
      </c>
      <c r="I9">
        <f>_xlfn.XLOOKUP(A9,$A$2:$A$21,$C$26:$C$45)</f>
        <v>488.693333333333</v>
      </c>
      <c r="J9" t="str">
        <f t="shared" ref="J9:O9" si="7">IF(AND(B9&lt;&gt;"",C9&lt;&gt;"",B9&lt;&gt;C9),B9&amp;"-&gt;"&amp;C9,"")</f>
        <v>E-&gt;H</v>
      </c>
      <c r="K9" s="3" t="str">
        <f t="shared" si="7"/>
        <v>H-&gt;J</v>
      </c>
      <c r="L9" s="3" t="str">
        <f t="shared" si="7"/>
        <v>J-&gt;I</v>
      </c>
      <c r="M9" s="3" t="str">
        <f t="shared" si="7"/>
        <v/>
      </c>
      <c r="N9" s="3" t="str">
        <f t="shared" si="7"/>
        <v/>
      </c>
      <c r="O9" s="3" t="str">
        <f t="shared" si="7"/>
        <v/>
      </c>
      <c r="P9" s="4" t="s">
        <v>118</v>
      </c>
      <c r="Q9" s="4" t="s">
        <v>117</v>
      </c>
      <c r="R9" s="3">
        <f>SUMPRODUCT($I$2:$I$21*(($J$2:$J$21=$P9&amp;"-&gt;"&amp;$Q9)+($K$2:$K$21=$P9&amp;"-&gt;"&amp;$Q9)+($L$2:$L$21=$P9&amp;"-&gt;"&amp;$Q9)+($M$2:$M$21=$P9&amp;"-&gt;"&amp;$Q9)+($N$2:$N$21=$P9&amp;"-&gt;"&amp;$Q9)+($O$2:$O$21=$P9&amp;"-&gt;"&amp;$Q9)))</f>
        <v>664.313333333333</v>
      </c>
      <c r="S9" s="3">
        <f>SUMPRODUCT($D$26:$D$45*(($J$2:$J$21=$P9&amp;"-&gt;"&amp;$Q9)+($K$2:$K$21=$P9&amp;"-&gt;"&amp;$Q9)+($L$2:$L$21=$P9&amp;"-&gt;"&amp;$Q9)+($M$2:$M$21=$P9&amp;"-&gt;"&amp;$Q9)+($N$2:$N$21=$P9&amp;"-&gt;"&amp;$Q9)+($O$2:$O$21=$P9&amp;"-&gt;"&amp;$Q9)))</f>
        <v>8.30391666666667</v>
      </c>
    </row>
    <row r="10" ht="18" spans="1:19">
      <c r="A10" t="s">
        <v>34</v>
      </c>
      <c r="B10" t="s">
        <v>124</v>
      </c>
      <c r="C10" t="s">
        <v>122</v>
      </c>
      <c r="D10" t="s">
        <v>123</v>
      </c>
      <c r="E10" t="s">
        <v>122</v>
      </c>
      <c r="F10" t="s">
        <v>119</v>
      </c>
      <c r="G10" t="s">
        <v>120</v>
      </c>
      <c r="I10">
        <f>_xlfn.XLOOKUP(A10,$A$2:$A$21,$C$26:$C$45)</f>
        <v>949.4</v>
      </c>
      <c r="J10" t="str">
        <f t="shared" ref="J10:O10" si="8">IF(AND(B10&lt;&gt;"",C10&lt;&gt;"",B10&lt;&gt;C10),B10&amp;"-&gt;"&amp;C10,"")</f>
        <v>F-&gt;G</v>
      </c>
      <c r="K10" s="3" t="str">
        <f t="shared" si="8"/>
        <v>G-&gt;E</v>
      </c>
      <c r="L10" s="3" t="str">
        <f t="shared" si="8"/>
        <v>E-&gt;G</v>
      </c>
      <c r="M10" s="3" t="str">
        <f t="shared" si="8"/>
        <v>G-&gt;I</v>
      </c>
      <c r="N10" s="3" t="str">
        <f t="shared" si="8"/>
        <v>I-&gt;J</v>
      </c>
      <c r="O10" s="3" t="str">
        <f t="shared" si="8"/>
        <v/>
      </c>
      <c r="P10" s="4" t="s">
        <v>118</v>
      </c>
      <c r="Q10" s="4" t="s">
        <v>122</v>
      </c>
      <c r="R10" s="3">
        <f>SUMPRODUCT($I$2:$I$21*(($J$2:$J$21=$P10&amp;"-&gt;"&amp;$Q10)+($K$2:$K$21=$P10&amp;"-&gt;"&amp;$Q10)+($L$2:$L$21=$P10&amp;"-&gt;"&amp;$Q10)+($M$2:$M$21=$P10&amp;"-&gt;"&amp;$Q10)+($N$2:$N$21=$P10&amp;"-&gt;"&amp;$Q10)+($O$2:$O$21=$P10&amp;"-&gt;"&amp;$Q10)))</f>
        <v>991.746666666667</v>
      </c>
      <c r="S10" s="3">
        <f>SUMPRODUCT($D$26:$D$45*(($J$2:$J$21=$P10&amp;"-&gt;"&amp;$Q10)+($K$2:$K$21=$P10&amp;"-&gt;"&amp;$Q10)+($L$2:$L$21=$P10&amp;"-&gt;"&amp;$Q10)+($M$2:$M$21=$P10&amp;"-&gt;"&amp;$Q10)+($N$2:$N$21=$P10&amp;"-&gt;"&amp;$Q10)+($O$2:$O$21=$P10&amp;"-&gt;"&amp;$Q10)))</f>
        <v>12.3968333333333</v>
      </c>
    </row>
    <row r="11" ht="18" spans="1:19">
      <c r="A11" t="s">
        <v>36</v>
      </c>
      <c r="B11" t="s">
        <v>123</v>
      </c>
      <c r="C11" t="s">
        <v>124</v>
      </c>
      <c r="D11" t="s">
        <v>119</v>
      </c>
      <c r="E11" t="s">
        <v>120</v>
      </c>
      <c r="I11">
        <f>_xlfn.XLOOKUP(A11,$A$2:$A$21,$C$26:$C$45)</f>
        <v>533.498333333333</v>
      </c>
      <c r="J11" t="str">
        <f t="shared" ref="J11:O11" si="9">IF(AND(B11&lt;&gt;"",C11&lt;&gt;"",B11&lt;&gt;C11),B11&amp;"-&gt;"&amp;C11,"")</f>
        <v>E-&gt;F</v>
      </c>
      <c r="K11" s="3" t="str">
        <f t="shared" si="9"/>
        <v>F-&gt;I</v>
      </c>
      <c r="L11" s="3" t="str">
        <f t="shared" si="9"/>
        <v>I-&gt;J</v>
      </c>
      <c r="M11" s="3" t="str">
        <f t="shared" si="9"/>
        <v/>
      </c>
      <c r="N11" s="3" t="str">
        <f t="shared" si="9"/>
        <v/>
      </c>
      <c r="O11" s="3" t="str">
        <f t="shared" si="9"/>
        <v/>
      </c>
      <c r="P11" s="4" t="s">
        <v>118</v>
      </c>
      <c r="Q11" s="4" t="s">
        <v>121</v>
      </c>
      <c r="R11" s="3">
        <f>SUMPRODUCT($I$2:$I$21*(($J$2:$J$21=$P11&amp;"-&gt;"&amp;$Q11)+($K$2:$K$21=$P11&amp;"-&gt;"&amp;$Q11)+($L$2:$L$21=$P11&amp;"-&gt;"&amp;$Q11)+($M$2:$M$21=$P11&amp;"-&gt;"&amp;$Q11)+($N$2:$N$21=$P11&amp;"-&gt;"&amp;$Q11)+($O$2:$O$21=$P11&amp;"-&gt;"&amp;$Q11)))</f>
        <v>1834.11166666667</v>
      </c>
      <c r="S11" s="3">
        <f>SUMPRODUCT($D$26:$D$45*(($J$2:$J$21=$P11&amp;"-&gt;"&amp;$Q11)+($K$2:$K$21=$P11&amp;"-&gt;"&amp;$Q11)+($L$2:$L$21=$P11&amp;"-&gt;"&amp;$Q11)+($M$2:$M$21=$P11&amp;"-&gt;"&amp;$Q11)+($N$2:$N$21=$P11&amp;"-&gt;"&amp;$Q11)+($O$2:$O$21=$P11&amp;"-&gt;"&amp;$Q11)))</f>
        <v>22.9263958333333</v>
      </c>
    </row>
    <row r="12" ht="18" spans="1:19">
      <c r="A12" t="s">
        <v>37</v>
      </c>
      <c r="B12" t="s">
        <v>123</v>
      </c>
      <c r="C12" t="s">
        <v>122</v>
      </c>
      <c r="D12" t="s">
        <v>123</v>
      </c>
      <c r="E12" t="s">
        <v>122</v>
      </c>
      <c r="F12" t="s">
        <v>119</v>
      </c>
      <c r="I12">
        <f>_xlfn.XLOOKUP(A12,$A$2:$A$21,$C$26:$C$45)</f>
        <v>979.73</v>
      </c>
      <c r="J12" t="str">
        <f t="shared" ref="J12:O12" si="10">IF(AND(B12&lt;&gt;"",C12&lt;&gt;"",B12&lt;&gt;C12),B12&amp;"-&gt;"&amp;C12,"")</f>
        <v>E-&gt;G</v>
      </c>
      <c r="K12" s="3" t="str">
        <f t="shared" si="10"/>
        <v>G-&gt;E</v>
      </c>
      <c r="L12" s="3" t="str">
        <f t="shared" si="10"/>
        <v>E-&gt;G</v>
      </c>
      <c r="M12" s="3" t="str">
        <f t="shared" si="10"/>
        <v>G-&gt;I</v>
      </c>
      <c r="N12" s="3" t="str">
        <f t="shared" si="10"/>
        <v/>
      </c>
      <c r="O12" s="3" t="str">
        <f t="shared" si="10"/>
        <v/>
      </c>
      <c r="P12" s="4" t="s">
        <v>118</v>
      </c>
      <c r="Q12" s="4" t="s">
        <v>119</v>
      </c>
      <c r="R12" s="3">
        <f>SUMPRODUCT($I$2:$I$21*(($J$2:$J$21=$P12&amp;"-&gt;"&amp;$Q12)+($K$2:$K$21=$P12&amp;"-&gt;"&amp;$Q12)+($L$2:$L$21=$P12&amp;"-&gt;"&amp;$Q12)+($M$2:$M$21=$P12&amp;"-&gt;"&amp;$Q12)+($N$2:$N$21=$P12&amp;"-&gt;"&amp;$Q12)+($O$2:$O$21=$P12&amp;"-&gt;"&amp;$Q12)))</f>
        <v>4555.61833333333</v>
      </c>
      <c r="S12" s="3">
        <f>SUMPRODUCT($D$26:$D$45*(($J$2:$J$21=$P12&amp;"-&gt;"&amp;$Q12)+($K$2:$K$21=$P12&amp;"-&gt;"&amp;$Q12)+($L$2:$L$21=$P12&amp;"-&gt;"&amp;$Q12)+($M$2:$M$21=$P12&amp;"-&gt;"&amp;$Q12)+($N$2:$N$21=$P12&amp;"-&gt;"&amp;$Q12)+($O$2:$O$21=$P12&amp;"-&gt;"&amp;$Q12)))</f>
        <v>56.9452291666667</v>
      </c>
    </row>
    <row r="13" ht="18" spans="1:19">
      <c r="A13" t="s">
        <v>38</v>
      </c>
      <c r="B13" t="s">
        <v>123</v>
      </c>
      <c r="C13" t="s">
        <v>122</v>
      </c>
      <c r="D13" t="s">
        <v>124</v>
      </c>
      <c r="E13" t="s">
        <v>119</v>
      </c>
      <c r="F13" t="s">
        <v>120</v>
      </c>
      <c r="I13">
        <f>_xlfn.XLOOKUP(A13,$A$2:$A$21,$C$26:$C$45)</f>
        <v>1256.98</v>
      </c>
      <c r="J13" t="str">
        <f t="shared" ref="J13:O13" si="11">IF(AND(B13&lt;&gt;"",C13&lt;&gt;"",B13&lt;&gt;C13),B13&amp;"-&gt;"&amp;C13,"")</f>
        <v>E-&gt;G</v>
      </c>
      <c r="K13" s="3" t="str">
        <f t="shared" si="11"/>
        <v>G-&gt;F</v>
      </c>
      <c r="L13" s="3" t="str">
        <f t="shared" si="11"/>
        <v>F-&gt;I</v>
      </c>
      <c r="M13" s="3" t="str">
        <f t="shared" si="11"/>
        <v>I-&gt;J</v>
      </c>
      <c r="N13" s="3" t="str">
        <f t="shared" si="11"/>
        <v/>
      </c>
      <c r="O13" s="3" t="str">
        <f t="shared" si="11"/>
        <v/>
      </c>
      <c r="P13" s="4" t="s">
        <v>123</v>
      </c>
      <c r="Q13" s="4" t="s">
        <v>124</v>
      </c>
      <c r="R13" s="3">
        <f>SUMPRODUCT($I$2:$I$21*(($J$2:$J$21=$P13&amp;"-&gt;"&amp;$Q13)+($K$2:$K$21=$P13&amp;"-&gt;"&amp;$Q13)+($L$2:$L$21=$P13&amp;"-&gt;"&amp;$Q13)+($M$2:$M$21=$P13&amp;"-&gt;"&amp;$Q13)+($N$2:$N$21=$P13&amp;"-&gt;"&amp;$Q13)+($O$2:$O$21=$P13&amp;"-&gt;"&amp;$Q13)))</f>
        <v>4621.455</v>
      </c>
      <c r="S13" s="3">
        <f>SUMPRODUCT($D$26:$D$45*(($J$2:$J$21=$P13&amp;"-&gt;"&amp;$Q13)+($K$2:$K$21=$P13&amp;"-&gt;"&amp;$Q13)+($L$2:$L$21=$P13&amp;"-&gt;"&amp;$Q13)+($M$2:$M$21=$P13&amp;"-&gt;"&amp;$Q13)+($N$2:$N$21=$P13&amp;"-&gt;"&amp;$Q13)+($O$2:$O$21=$P13&amp;"-&gt;"&amp;$Q13)))</f>
        <v>57.7681875</v>
      </c>
    </row>
    <row r="14" ht="18" spans="1:19">
      <c r="A14" t="s">
        <v>39</v>
      </c>
      <c r="B14" t="s">
        <v>123</v>
      </c>
      <c r="C14" t="s">
        <v>124</v>
      </c>
      <c r="D14" t="s">
        <v>122</v>
      </c>
      <c r="E14" t="s">
        <v>124</v>
      </c>
      <c r="F14" t="s">
        <v>122</v>
      </c>
      <c r="G14" t="s">
        <v>121</v>
      </c>
      <c r="H14" t="s">
        <v>119</v>
      </c>
      <c r="I14">
        <f>_xlfn.XLOOKUP(A14,$A$2:$A$21,$C$26:$C$45)</f>
        <v>628.49</v>
      </c>
      <c r="J14" t="str">
        <f t="shared" ref="J14:O14" si="12">IF(AND(B14&lt;&gt;"",C14&lt;&gt;"",B14&lt;&gt;C14),B14&amp;"-&gt;"&amp;C14,"")</f>
        <v>E-&gt;F</v>
      </c>
      <c r="K14" s="3" t="str">
        <f t="shared" si="12"/>
        <v>F-&gt;G</v>
      </c>
      <c r="L14" s="3" t="str">
        <f t="shared" si="12"/>
        <v>G-&gt;F</v>
      </c>
      <c r="M14" s="3" t="str">
        <f t="shared" si="12"/>
        <v>F-&gt;G</v>
      </c>
      <c r="N14" s="3" t="str">
        <f t="shared" si="12"/>
        <v>G-&gt;H</v>
      </c>
      <c r="O14" s="3" t="str">
        <f t="shared" si="12"/>
        <v>H-&gt;I</v>
      </c>
      <c r="P14" s="4" t="s">
        <v>123</v>
      </c>
      <c r="Q14" s="4" t="s">
        <v>122</v>
      </c>
      <c r="R14" s="3">
        <f>SUMPRODUCT($I$2:$I$21*(($J$2:$J$21=$P14&amp;"-&gt;"&amp;$Q14)+($K$2:$K$21=$P14&amp;"-&gt;"&amp;$Q14)+($L$2:$L$21=$P14&amp;"-&gt;"&amp;$Q14)+($M$2:$M$21=$P14&amp;"-&gt;"&amp;$Q14)+($N$2:$N$21=$P14&amp;"-&gt;"&amp;$Q14)+($O$2:$O$21=$P14&amp;"-&gt;"&amp;$Q14)))</f>
        <v>4410.18666666667</v>
      </c>
      <c r="S14" s="3">
        <f>SUMPRODUCT($D$26:$D$45*(($J$2:$J$21=$P14&amp;"-&gt;"&amp;$Q14)+($K$2:$K$21=$P14&amp;"-&gt;"&amp;$Q14)+($L$2:$L$21=$P14&amp;"-&gt;"&amp;$Q14)+($M$2:$M$21=$P14&amp;"-&gt;"&amp;$Q14)+($N$2:$N$21=$P14&amp;"-&gt;"&amp;$Q14)+($O$2:$O$21=$P14&amp;"-&gt;"&amp;$Q14)))</f>
        <v>55.1273333333333</v>
      </c>
    </row>
    <row r="15" ht="18" spans="1:19">
      <c r="A15" t="s">
        <v>42</v>
      </c>
      <c r="B15" t="s">
        <v>123</v>
      </c>
      <c r="C15" t="s">
        <v>124</v>
      </c>
      <c r="D15" t="s">
        <v>122</v>
      </c>
      <c r="E15" t="s">
        <v>121</v>
      </c>
      <c r="I15">
        <f>_xlfn.XLOOKUP(A15,$A$2:$A$21,$C$26:$C$45)</f>
        <v>1948.98666666667</v>
      </c>
      <c r="J15" t="str">
        <f t="shared" ref="J15:O15" si="13">IF(AND(B15&lt;&gt;"",C15&lt;&gt;"",B15&lt;&gt;C15),B15&amp;"-&gt;"&amp;C15,"")</f>
        <v>E-&gt;F</v>
      </c>
      <c r="K15" s="3" t="str">
        <f t="shared" si="13"/>
        <v>F-&gt;G</v>
      </c>
      <c r="L15" s="3" t="str">
        <f t="shared" si="13"/>
        <v>G-&gt;H</v>
      </c>
      <c r="M15" s="3" t="str">
        <f t="shared" si="13"/>
        <v/>
      </c>
      <c r="N15" s="3" t="str">
        <f t="shared" si="13"/>
        <v/>
      </c>
      <c r="O15" s="3" t="str">
        <f t="shared" si="13"/>
        <v/>
      </c>
      <c r="P15" s="4" t="s">
        <v>123</v>
      </c>
      <c r="Q15" s="4" t="s">
        <v>121</v>
      </c>
      <c r="R15" s="3">
        <f>SUMPRODUCT($I$2:$I$21*(($J$2:$J$21=$P15&amp;"-&gt;"&amp;$Q15)+($K$2:$K$21=$P15&amp;"-&gt;"&amp;$Q15)+($L$2:$L$21=$P15&amp;"-&gt;"&amp;$Q15)+($M$2:$M$21=$P15&amp;"-&gt;"&amp;$Q15)+($N$2:$N$21=$P15&amp;"-&gt;"&amp;$Q15)+($O$2:$O$21=$P15&amp;"-&gt;"&amp;$Q15)))</f>
        <v>488.693333333333</v>
      </c>
      <c r="S15" s="3">
        <f>SUMPRODUCT($D$26:$D$45*(($J$2:$J$21=$P15&amp;"-&gt;"&amp;$Q15)+($K$2:$K$21=$P15&amp;"-&gt;"&amp;$Q15)+($L$2:$L$21=$P15&amp;"-&gt;"&amp;$Q15)+($M$2:$M$21=$P15&amp;"-&gt;"&amp;$Q15)+($N$2:$N$21=$P15&amp;"-&gt;"&amp;$Q15)+($O$2:$O$21=$P15&amp;"-&gt;"&amp;$Q15)))</f>
        <v>6.10866666666667</v>
      </c>
    </row>
    <row r="16" ht="18" spans="1:19">
      <c r="A16" t="s">
        <v>43</v>
      </c>
      <c r="B16" t="s">
        <v>123</v>
      </c>
      <c r="C16" t="s">
        <v>122</v>
      </c>
      <c r="D16" t="s">
        <v>124</v>
      </c>
      <c r="E16" t="s">
        <v>121</v>
      </c>
      <c r="F16" t="s">
        <v>120</v>
      </c>
      <c r="I16">
        <f>_xlfn.XLOOKUP(A16,$A$2:$A$21,$C$26:$C$45)</f>
        <v>244.346666666667</v>
      </c>
      <c r="J16" t="str">
        <f t="shared" ref="J16:O16" si="14">IF(AND(B16&lt;&gt;"",C16&lt;&gt;"",B16&lt;&gt;C16),B16&amp;"-&gt;"&amp;C16,"")</f>
        <v>E-&gt;G</v>
      </c>
      <c r="K16" s="3" t="str">
        <f t="shared" si="14"/>
        <v>G-&gt;F</v>
      </c>
      <c r="L16" s="3" t="str">
        <f t="shared" si="14"/>
        <v>F-&gt;H</v>
      </c>
      <c r="M16" s="3" t="str">
        <f t="shared" si="14"/>
        <v>H-&gt;J</v>
      </c>
      <c r="N16" s="3" t="str">
        <f t="shared" si="14"/>
        <v/>
      </c>
      <c r="O16" s="3" t="str">
        <f t="shared" si="14"/>
        <v/>
      </c>
      <c r="P16" s="4" t="s">
        <v>124</v>
      </c>
      <c r="Q16" s="4" t="s">
        <v>117</v>
      </c>
      <c r="R16" s="3">
        <f>SUMPRODUCT($I$2:$I$21*(($J$2:$J$21=$P16&amp;"-&gt;"&amp;$Q16)+($K$2:$K$21=$P16&amp;"-&gt;"&amp;$Q16)+($L$2:$L$21=$P16&amp;"-&gt;"&amp;$Q16)+($M$2:$M$21=$P16&amp;"-&gt;"&amp;$Q16)+($N$2:$N$21=$P16&amp;"-&gt;"&amp;$Q16)+($O$2:$O$21=$P16&amp;"-&gt;"&amp;$Q16)))</f>
        <v>1510.48</v>
      </c>
      <c r="S16" s="3">
        <f>SUMPRODUCT($D$26:$D$45*(($J$2:$J$21=$P16&amp;"-&gt;"&amp;$Q16)+($K$2:$K$21=$P16&amp;"-&gt;"&amp;$Q16)+($L$2:$L$21=$P16&amp;"-&gt;"&amp;$Q16)+($M$2:$M$21=$P16&amp;"-&gt;"&amp;$Q16)+($N$2:$N$21=$P16&amp;"-&gt;"&amp;$Q16)+($O$2:$O$21=$P16&amp;"-&gt;"&amp;$Q16)))</f>
        <v>18.881</v>
      </c>
    </row>
    <row r="17" ht="18" spans="1:19">
      <c r="A17" t="s">
        <v>44</v>
      </c>
      <c r="B17" t="s">
        <v>124</v>
      </c>
      <c r="C17" t="s">
        <v>121</v>
      </c>
      <c r="D17" t="s">
        <v>119</v>
      </c>
      <c r="E17" t="s">
        <v>120</v>
      </c>
      <c r="I17">
        <f>_xlfn.XLOOKUP(A17,$A$2:$A$21,$C$26:$C$45)</f>
        <v>1292.8</v>
      </c>
      <c r="J17" t="str">
        <f t="shared" ref="J17:O17" si="15">IF(AND(B17&lt;&gt;"",C17&lt;&gt;"",B17&lt;&gt;C17),B17&amp;"-&gt;"&amp;C17,"")</f>
        <v>F-&gt;H</v>
      </c>
      <c r="K17" s="3" t="str">
        <f t="shared" si="15"/>
        <v>H-&gt;I</v>
      </c>
      <c r="L17" s="3" t="str">
        <f t="shared" si="15"/>
        <v>I-&gt;J</v>
      </c>
      <c r="M17" s="3" t="str">
        <f t="shared" si="15"/>
        <v/>
      </c>
      <c r="N17" s="3" t="str">
        <f t="shared" si="15"/>
        <v/>
      </c>
      <c r="O17" s="3" t="str">
        <f t="shared" si="15"/>
        <v/>
      </c>
      <c r="P17" s="4" t="s">
        <v>124</v>
      </c>
      <c r="Q17" s="4" t="s">
        <v>122</v>
      </c>
      <c r="R17" s="3">
        <f>SUMPRODUCT($I$2:$I$21*(($J$2:$J$21=$P17&amp;"-&gt;"&amp;$Q17)+($K$2:$K$21=$P17&amp;"-&gt;"&amp;$Q17)+($L$2:$L$21=$P17&amp;"-&gt;"&amp;$Q17)+($M$2:$M$21=$P17&amp;"-&gt;"&amp;$Q17)+($N$2:$N$21=$P17&amp;"-&gt;"&amp;$Q17)+($O$2:$O$21=$P17&amp;"-&gt;"&amp;$Q17)))</f>
        <v>4155.36666666667</v>
      </c>
      <c r="S17" s="3">
        <f>SUMPRODUCT($D$26:$D$45*(($J$2:$J$21=$P17&amp;"-&gt;"&amp;$Q17)+($K$2:$K$21=$P17&amp;"-&gt;"&amp;$Q17)+($L$2:$L$21=$P17&amp;"-&gt;"&amp;$Q17)+($M$2:$M$21=$P17&amp;"-&gt;"&amp;$Q17)+($N$2:$N$21=$P17&amp;"-&gt;"&amp;$Q17)+($O$2:$O$21=$P17&amp;"-&gt;"&amp;$Q17)))</f>
        <v>51.9420833333333</v>
      </c>
    </row>
    <row r="18" ht="18" spans="1:19">
      <c r="A18" t="s">
        <v>45</v>
      </c>
      <c r="B18" t="s">
        <v>125</v>
      </c>
      <c r="C18" t="s">
        <v>126</v>
      </c>
      <c r="D18" t="s">
        <v>127</v>
      </c>
      <c r="I18">
        <f>_xlfn.XLOOKUP(A18,$A$2:$A$21,$C$26:$C$45)</f>
        <v>628.49</v>
      </c>
      <c r="J18" t="str">
        <f t="shared" ref="J18:O18" si="16">IF(AND(B18&lt;&gt;"",C18&lt;&gt;"",B18&lt;&gt;C18),B18&amp;"-&gt;"&amp;C18,"")</f>
        <v>K-&gt;L</v>
      </c>
      <c r="K18" s="3" t="str">
        <f t="shared" si="16"/>
        <v>L-&gt;M</v>
      </c>
      <c r="L18" s="3" t="str">
        <f t="shared" si="16"/>
        <v/>
      </c>
      <c r="M18" s="3" t="str">
        <f t="shared" si="16"/>
        <v/>
      </c>
      <c r="N18" s="3" t="str">
        <f t="shared" si="16"/>
        <v/>
      </c>
      <c r="O18" s="3" t="str">
        <f t="shared" si="16"/>
        <v/>
      </c>
      <c r="P18" s="4" t="s">
        <v>124</v>
      </c>
      <c r="Q18" s="4" t="s">
        <v>121</v>
      </c>
      <c r="R18" s="3">
        <f>SUMPRODUCT($I$2:$I$21*(($J$2:$J$21=$P18&amp;"-&gt;"&amp;$Q18)+($K$2:$K$21=$P18&amp;"-&gt;"&amp;$Q18)+($L$2:$L$21=$P18&amp;"-&gt;"&amp;$Q18)+($M$2:$M$21=$P18&amp;"-&gt;"&amp;$Q18)+($N$2:$N$21=$P18&amp;"-&gt;"&amp;$Q18)+($O$2:$O$21=$P18&amp;"-&gt;"&amp;$Q18)))</f>
        <v>1537.14666666667</v>
      </c>
      <c r="S18" s="3">
        <f>SUMPRODUCT($D$26:$D$45*(($J$2:$J$21=$P18&amp;"-&gt;"&amp;$Q18)+($K$2:$K$21=$P18&amp;"-&gt;"&amp;$Q18)+($L$2:$L$21=$P18&amp;"-&gt;"&amp;$Q18)+($M$2:$M$21=$P18&amp;"-&gt;"&amp;$Q18)+($N$2:$N$21=$P18&amp;"-&gt;"&amp;$Q18)+($O$2:$O$21=$P18&amp;"-&gt;"&amp;$Q18)))</f>
        <v>19.2143333333333</v>
      </c>
    </row>
    <row r="19" ht="18" spans="1:19">
      <c r="A19" t="s">
        <v>46</v>
      </c>
      <c r="B19" t="s">
        <v>125</v>
      </c>
      <c r="C19" t="s">
        <v>126</v>
      </c>
      <c r="D19" t="s">
        <v>125</v>
      </c>
      <c r="E19" t="s">
        <v>127</v>
      </c>
      <c r="I19">
        <f>_xlfn.XLOOKUP(A19,$A$2:$A$21,$C$26:$C$45)</f>
        <v>1458.98</v>
      </c>
      <c r="J19" t="str">
        <f t="shared" ref="J19:O19" si="17">IF(AND(B19&lt;&gt;"",C19&lt;&gt;"",B19&lt;&gt;C19),B19&amp;"-&gt;"&amp;C19,"")</f>
        <v>K-&gt;L</v>
      </c>
      <c r="K19" s="3" t="str">
        <f t="shared" si="17"/>
        <v>L-&gt;K</v>
      </c>
      <c r="L19" s="3" t="str">
        <f t="shared" si="17"/>
        <v>K-&gt;M</v>
      </c>
      <c r="M19" s="3" t="str">
        <f t="shared" si="17"/>
        <v/>
      </c>
      <c r="N19" s="3" t="str">
        <f t="shared" si="17"/>
        <v/>
      </c>
      <c r="O19" s="3" t="str">
        <f t="shared" si="17"/>
        <v/>
      </c>
      <c r="P19" s="4" t="s">
        <v>124</v>
      </c>
      <c r="Q19" s="4" t="s">
        <v>119</v>
      </c>
      <c r="R19" s="3">
        <f>SUMPRODUCT($I$2:$I$21*(($J$2:$J$21=$P19&amp;"-&gt;"&amp;$Q19)+($K$2:$K$21=$P19&amp;"-&gt;"&amp;$Q19)+($L$2:$L$21=$P19&amp;"-&gt;"&amp;$Q19)+($M$2:$M$21=$P19&amp;"-&gt;"&amp;$Q19)+($N$2:$N$21=$P19&amp;"-&gt;"&amp;$Q19)+($O$2:$O$21=$P19&amp;"-&gt;"&amp;$Q19)))</f>
        <v>1790.47833333333</v>
      </c>
      <c r="S19" s="3">
        <f>SUMPRODUCT($D$26:$D$45*(($J$2:$J$21=$P19&amp;"-&gt;"&amp;$Q19)+($K$2:$K$21=$P19&amp;"-&gt;"&amp;$Q19)+($L$2:$L$21=$P19&amp;"-&gt;"&amp;$Q19)+($M$2:$M$21=$P19&amp;"-&gt;"&amp;$Q19)+($N$2:$N$21=$P19&amp;"-&gt;"&amp;$Q19)+($O$2:$O$21=$P19&amp;"-&gt;"&amp;$Q19)))</f>
        <v>22.3809791666667</v>
      </c>
    </row>
    <row r="20" ht="18" spans="1:19">
      <c r="A20" t="s">
        <v>47</v>
      </c>
      <c r="B20" t="s">
        <v>126</v>
      </c>
      <c r="C20" t="s">
        <v>127</v>
      </c>
      <c r="D20" t="s">
        <v>126</v>
      </c>
      <c r="E20" t="s">
        <v>127</v>
      </c>
      <c r="I20">
        <f>_xlfn.XLOOKUP(A20,$A$2:$A$21,$C$26:$C$45)</f>
        <v>2159.11333333333</v>
      </c>
      <c r="J20" t="str">
        <f t="shared" ref="J20:O20" si="18">IF(AND(B20&lt;&gt;"",C20&lt;&gt;"",B20&lt;&gt;C20),B20&amp;"-&gt;"&amp;C20,"")</f>
        <v>L-&gt;M</v>
      </c>
      <c r="K20" s="3" t="str">
        <f t="shared" si="18"/>
        <v>M-&gt;L</v>
      </c>
      <c r="L20" s="3" t="str">
        <f t="shared" si="18"/>
        <v>L-&gt;M</v>
      </c>
      <c r="M20" s="3" t="str">
        <f t="shared" si="18"/>
        <v/>
      </c>
      <c r="N20" s="3" t="str">
        <f t="shared" si="18"/>
        <v/>
      </c>
      <c r="O20" s="3" t="str">
        <f t="shared" si="18"/>
        <v/>
      </c>
      <c r="P20" s="4" t="s">
        <v>122</v>
      </c>
      <c r="Q20" s="4" t="s">
        <v>123</v>
      </c>
      <c r="R20" s="3">
        <f>SUMPRODUCT($I$2:$I$21*(($J$2:$J$21=$P20&amp;"-&gt;"&amp;$Q20)+($K$2:$K$21=$P20&amp;"-&gt;"&amp;$Q20)+($L$2:$L$21=$P20&amp;"-&gt;"&amp;$Q20)+($M$2:$M$21=$P20&amp;"-&gt;"&amp;$Q20)+($N$2:$N$21=$P20&amp;"-&gt;"&amp;$Q20)+($O$2:$O$21=$P20&amp;"-&gt;"&amp;$Q20)))</f>
        <v>1929.13</v>
      </c>
      <c r="S20" s="3">
        <f>SUMPRODUCT($D$26:$D$45*(($J$2:$J$21=$P20&amp;"-&gt;"&amp;$Q20)+($K$2:$K$21=$P20&amp;"-&gt;"&amp;$Q20)+($L$2:$L$21=$P20&amp;"-&gt;"&amp;$Q20)+($M$2:$M$21=$P20&amp;"-&gt;"&amp;$Q20)+($N$2:$N$21=$P20&amp;"-&gt;"&amp;$Q20)+($O$2:$O$21=$P20&amp;"-&gt;"&amp;$Q20)))</f>
        <v>24.114125</v>
      </c>
    </row>
    <row r="21" ht="18" spans="1:19">
      <c r="A21" t="s">
        <v>48</v>
      </c>
      <c r="B21" t="s">
        <v>126</v>
      </c>
      <c r="C21" t="s">
        <v>125</v>
      </c>
      <c r="D21" t="s">
        <v>127</v>
      </c>
      <c r="I21">
        <f>_xlfn.XLOOKUP(A21,$A$2:$A$21,$C$26:$C$45)</f>
        <v>1588.62</v>
      </c>
      <c r="J21" t="str">
        <f t="shared" ref="J21:O21" si="19">IF(AND(B21&lt;&gt;"",C21&lt;&gt;"",B21&lt;&gt;C21),B21&amp;"-&gt;"&amp;C21,"")</f>
        <v>L-&gt;K</v>
      </c>
      <c r="K21" s="3" t="str">
        <f t="shared" si="19"/>
        <v>K-&gt;M</v>
      </c>
      <c r="L21" s="3" t="str">
        <f t="shared" si="19"/>
        <v/>
      </c>
      <c r="M21" s="3" t="str">
        <f t="shared" si="19"/>
        <v/>
      </c>
      <c r="N21" s="3" t="str">
        <f t="shared" si="19"/>
        <v/>
      </c>
      <c r="O21" s="3" t="str">
        <f t="shared" si="19"/>
        <v/>
      </c>
      <c r="P21" s="4" t="s">
        <v>122</v>
      </c>
      <c r="Q21" s="4" t="s">
        <v>124</v>
      </c>
      <c r="R21" s="3">
        <f>SUMPRODUCT($I$2:$I$21*(($J$2:$J$21=$P21&amp;"-&gt;"&amp;$Q21)+($K$2:$K$21=$P21&amp;"-&gt;"&amp;$Q21)+($L$2:$L$21=$P21&amp;"-&gt;"&amp;$Q21)+($M$2:$M$21=$P21&amp;"-&gt;"&amp;$Q21)+($N$2:$N$21=$P21&amp;"-&gt;"&amp;$Q21)+($O$2:$O$21=$P21&amp;"-&gt;"&amp;$Q21)))</f>
        <v>2129.81666666667</v>
      </c>
      <c r="S21" s="3">
        <f>SUMPRODUCT($D$26:$D$45*(($J$2:$J$21=$P21&amp;"-&gt;"&amp;$Q21)+($K$2:$K$21=$P21&amp;"-&gt;"&amp;$Q21)+($L$2:$L$21=$P21&amp;"-&gt;"&amp;$Q21)+($M$2:$M$21=$P21&amp;"-&gt;"&amp;$Q21)+($N$2:$N$21=$P21&amp;"-&gt;"&amp;$Q21)+($O$2:$O$21=$P21&amp;"-&gt;"&amp;$Q21)))</f>
        <v>26.6227083333333</v>
      </c>
    </row>
    <row r="22" spans="16:19">
      <c r="P22" s="4" t="s">
        <v>122</v>
      </c>
      <c r="Q22" s="4" t="s">
        <v>121</v>
      </c>
      <c r="R22" s="3">
        <f>SUMPRODUCT($I$2:$I$21*(($J$2:$J$21=$P22&amp;"-&gt;"&amp;$Q22)+($K$2:$K$21=$P22&amp;"-&gt;"&amp;$Q22)+($L$2:$L$21=$P22&amp;"-&gt;"&amp;$Q22)+($M$2:$M$21=$P22&amp;"-&gt;"&amp;$Q22)+($N$2:$N$21=$P22&amp;"-&gt;"&amp;$Q22)+($O$2:$O$21=$P22&amp;"-&gt;"&amp;$Q22)))</f>
        <v>3569.22333333333</v>
      </c>
      <c r="S22" s="3">
        <f>SUMPRODUCT($D$26:$D$45*(($J$2:$J$21=$P22&amp;"-&gt;"&amp;$Q22)+($K$2:$K$21=$P22&amp;"-&gt;"&amp;$Q22)+($L$2:$L$21=$P22&amp;"-&gt;"&amp;$Q22)+($M$2:$M$21=$P22&amp;"-&gt;"&amp;$Q22)+($N$2:$N$21=$P22&amp;"-&gt;"&amp;$Q22)+($O$2:$O$21=$P22&amp;"-&gt;"&amp;$Q22)))</f>
        <v>44.6152916666667</v>
      </c>
    </row>
    <row r="23" spans="16:19">
      <c r="P23" s="4" t="s">
        <v>122</v>
      </c>
      <c r="Q23" s="4" t="s">
        <v>119</v>
      </c>
      <c r="R23" s="3">
        <f>SUMPRODUCT($I$2:$I$21*(($J$2:$J$21=$P23&amp;"-&gt;"&amp;$Q23)+($K$2:$K$21=$P23&amp;"-&gt;"&amp;$Q23)+($L$2:$L$21=$P23&amp;"-&gt;"&amp;$Q23)+($M$2:$M$21=$P23&amp;"-&gt;"&amp;$Q23)+($N$2:$N$21=$P23&amp;"-&gt;"&amp;$Q23)+($O$2:$O$21=$P23&amp;"-&gt;"&amp;$Q23)))</f>
        <v>1929.13</v>
      </c>
      <c r="S23" s="3">
        <f>SUMPRODUCT($D$26:$D$45*(($J$2:$J$21=$P23&amp;"-&gt;"&amp;$Q23)+($K$2:$K$21=$P23&amp;"-&gt;"&amp;$Q23)+($L$2:$L$21=$P23&amp;"-&gt;"&amp;$Q23)+($M$2:$M$21=$P23&amp;"-&gt;"&amp;$Q23)+($N$2:$N$21=$P23&amp;"-&gt;"&amp;$Q23)+($O$2:$O$21=$P23&amp;"-&gt;"&amp;$Q23)))</f>
        <v>24.114125</v>
      </c>
    </row>
    <row r="24" spans="16:19">
      <c r="P24" s="4" t="s">
        <v>121</v>
      </c>
      <c r="Q24" s="4" t="s">
        <v>119</v>
      </c>
      <c r="R24" s="3">
        <f>SUMPRODUCT($I$2:$I$21*(($J$2:$J$21=$P24&amp;"-&gt;"&amp;$Q24)+($K$2:$K$21=$P24&amp;"-&gt;"&amp;$Q24)+($L$2:$L$21=$P24&amp;"-&gt;"&amp;$Q24)+($M$2:$M$21=$P24&amp;"-&gt;"&amp;$Q24)+($N$2:$N$21=$P24&amp;"-&gt;"&amp;$Q24)+($O$2:$O$21=$P24&amp;"-&gt;"&amp;$Q24)))</f>
        <v>2411.155</v>
      </c>
      <c r="S24" s="3">
        <f>SUMPRODUCT($D$26:$D$45*(($J$2:$J$21=$P24&amp;"-&gt;"&amp;$Q24)+($K$2:$K$21=$P24&amp;"-&gt;"&amp;$Q24)+($L$2:$L$21=$P24&amp;"-&gt;"&amp;$Q24)+($M$2:$M$21=$P24&amp;"-&gt;"&amp;$Q24)+($N$2:$N$21=$P24&amp;"-&gt;"&amp;$Q24)+($O$2:$O$21=$P24&amp;"-&gt;"&amp;$Q24)))</f>
        <v>30.1394375</v>
      </c>
    </row>
    <row r="25" spans="1:19">
      <c r="A25" s="1" t="s">
        <v>131</v>
      </c>
      <c r="B25" s="1" t="s">
        <v>128</v>
      </c>
      <c r="C25" t="s">
        <v>137</v>
      </c>
      <c r="D25" t="s">
        <v>130</v>
      </c>
      <c r="P25" s="4" t="s">
        <v>121</v>
      </c>
      <c r="Q25" s="4" t="s">
        <v>120</v>
      </c>
      <c r="R25" s="3">
        <f>SUMPRODUCT($I$2:$I$21*(($J$2:$J$21=$P25&amp;"-&gt;"&amp;$Q25)+($K$2:$K$21=$P25&amp;"-&gt;"&amp;$Q25)+($L$2:$L$21=$P25&amp;"-&gt;"&amp;$Q25)+($M$2:$M$21=$P25&amp;"-&gt;"&amp;$Q25)+($N$2:$N$21=$P25&amp;"-&gt;"&amp;$Q25)+($O$2:$O$21=$P25&amp;"-&gt;"&amp;$Q25)))</f>
        <v>2077.28666666667</v>
      </c>
      <c r="S25" s="3">
        <f>SUMPRODUCT($D$26:$D$45*(($J$2:$J$21=$P25&amp;"-&gt;"&amp;$Q25)+($K$2:$K$21=$P25&amp;"-&gt;"&amp;$Q25)+($L$2:$L$21=$P25&amp;"-&gt;"&amp;$Q25)+($M$2:$M$21=$P25&amp;"-&gt;"&amp;$Q25)+($N$2:$N$21=$P25&amp;"-&gt;"&amp;$Q25)+($O$2:$O$21=$P25&amp;"-&gt;"&amp;$Q25)))</f>
        <v>25.9660833333333</v>
      </c>
    </row>
    <row r="26" spans="1:19">
      <c r="A26" s="1" t="s">
        <v>24</v>
      </c>
      <c r="B26" s="1">
        <v>34466.075</v>
      </c>
      <c r="C26">
        <f>B26/15</f>
        <v>2297.73833333333</v>
      </c>
      <c r="D26">
        <f t="shared" ref="D26:D45" si="20">C26/16/5</f>
        <v>28.7217291666667</v>
      </c>
      <c r="P26" s="4" t="s">
        <v>119</v>
      </c>
      <c r="Q26" s="4" t="s">
        <v>120</v>
      </c>
      <c r="R26" s="3">
        <f>SUMPRODUCT($I$2:$I$21*(($J$2:$J$21=$P26&amp;"-&gt;"&amp;$Q26)+($K$2:$K$21=$P26&amp;"-&gt;"&amp;$Q26)+($L$2:$L$21=$P26&amp;"-&gt;"&amp;$Q26)+($M$2:$M$21=$P26&amp;"-&gt;"&amp;$Q26)+($N$2:$N$21=$P26&amp;"-&gt;"&amp;$Q26)+($O$2:$O$21=$P26&amp;"-&gt;"&amp;$Q26)))</f>
        <v>8995.075</v>
      </c>
      <c r="S26" s="3">
        <f>SUMPRODUCT($D$26:$D$45*(($J$2:$J$21=$P26&amp;"-&gt;"&amp;$Q26)+($K$2:$K$21=$P26&amp;"-&gt;"&amp;$Q26)+($L$2:$L$21=$P26&amp;"-&gt;"&amp;$Q26)+($M$2:$M$21=$P26&amp;"-&gt;"&amp;$Q26)+($N$2:$N$21=$P26&amp;"-&gt;"&amp;$Q26)+($O$2:$O$21=$P26&amp;"-&gt;"&amp;$Q26)))</f>
        <v>112.4384375</v>
      </c>
    </row>
    <row r="27" spans="1:19">
      <c r="A27" s="1" t="s">
        <v>25</v>
      </c>
      <c r="B27" s="1">
        <v>20163.7</v>
      </c>
      <c r="C27">
        <f t="shared" ref="C27:C45" si="21">B27/15</f>
        <v>1344.24666666667</v>
      </c>
      <c r="D27">
        <f t="shared" si="20"/>
        <v>16.8030833333333</v>
      </c>
      <c r="P27" s="4" t="s">
        <v>125</v>
      </c>
      <c r="Q27" s="4" t="s">
        <v>126</v>
      </c>
      <c r="R27" s="3">
        <f>SUMPRODUCT($I$2:$I$21*(($J$2:$J$21=$P27&amp;"-&gt;"&amp;$Q27)+($K$2:$K$21=$P27&amp;"-&gt;"&amp;$Q27)+($L$2:$L$21=$P27&amp;"-&gt;"&amp;$Q27)+($M$2:$M$21=$P27&amp;"-&gt;"&amp;$Q27)+($N$2:$N$21=$P27&amp;"-&gt;"&amp;$Q27)+($O$2:$O$21=$P27&amp;"-&gt;"&amp;$Q27)))</f>
        <v>2087.47</v>
      </c>
      <c r="S27" s="3">
        <f>SUMPRODUCT($D$26:$D$45*(($J$2:$J$21=$P27&amp;"-&gt;"&amp;$Q27)+($K$2:$K$21=$P27&amp;"-&gt;"&amp;$Q27)+($L$2:$L$21=$P27&amp;"-&gt;"&amp;$Q27)+($M$2:$M$21=$P27&amp;"-&gt;"&amp;$Q27)+($N$2:$N$21=$P27&amp;"-&gt;"&amp;$Q27)+($O$2:$O$21=$P27&amp;"-&gt;"&amp;$Q27)))</f>
        <v>26.093375</v>
      </c>
    </row>
    <row r="28" spans="1:19">
      <c r="A28" s="1" t="s">
        <v>26</v>
      </c>
      <c r="B28" s="1">
        <v>9964.7</v>
      </c>
      <c r="C28">
        <f t="shared" si="21"/>
        <v>664.313333333333</v>
      </c>
      <c r="D28">
        <f t="shared" si="20"/>
        <v>8.30391666666667</v>
      </c>
      <c r="P28" s="4" t="s">
        <v>125</v>
      </c>
      <c r="Q28" s="4" t="s">
        <v>127</v>
      </c>
      <c r="R28" s="3">
        <f>SUMPRODUCT($I$2:$I$21*(($J$2:$J$21=$P28&amp;"-&gt;"&amp;$Q28)+($K$2:$K$21=$P28&amp;"-&gt;"&amp;$Q28)+($L$2:$L$21=$P28&amp;"-&gt;"&amp;$Q28)+($M$2:$M$21=$P28&amp;"-&gt;"&amp;$Q28)+($N$2:$N$21=$P28&amp;"-&gt;"&amp;$Q28)+($O$2:$O$21=$P28&amp;"-&gt;"&amp;$Q28)))</f>
        <v>3047.6</v>
      </c>
      <c r="S28" s="3">
        <f>SUMPRODUCT($D$26:$D$45*(($J$2:$J$21=$P28&amp;"-&gt;"&amp;$Q28)+($K$2:$K$21=$P28&amp;"-&gt;"&amp;$Q28)+($L$2:$L$21=$P28&amp;"-&gt;"&amp;$Q28)+($M$2:$M$21=$P28&amp;"-&gt;"&amp;$Q28)+($N$2:$N$21=$P28&amp;"-&gt;"&amp;$Q28)+($O$2:$O$21=$P28&amp;"-&gt;"&amp;$Q28)))</f>
        <v>38.095</v>
      </c>
    </row>
    <row r="29" spans="1:19">
      <c r="A29" s="1" t="s">
        <v>27</v>
      </c>
      <c r="B29" s="1">
        <v>14876.2</v>
      </c>
      <c r="C29">
        <f t="shared" si="21"/>
        <v>991.746666666667</v>
      </c>
      <c r="D29">
        <f t="shared" si="20"/>
        <v>12.3968333333333</v>
      </c>
      <c r="P29" s="4" t="s">
        <v>126</v>
      </c>
      <c r="Q29" s="4" t="s">
        <v>125</v>
      </c>
      <c r="R29" s="3">
        <f>SUMPRODUCT($I$2:$I$21*(($J$2:$J$21=$P29&amp;"-&gt;"&amp;$Q29)+($K$2:$K$21=$P29&amp;"-&gt;"&amp;$Q29)+($L$2:$L$21=$P29&amp;"-&gt;"&amp;$Q29)+($M$2:$M$21=$P29&amp;"-&gt;"&amp;$Q29)+($N$2:$N$21=$P29&amp;"-&gt;"&amp;$Q29)+($O$2:$O$21=$P29&amp;"-&gt;"&amp;$Q29)))</f>
        <v>3047.6</v>
      </c>
      <c r="S29" s="3">
        <f>SUMPRODUCT($D$26:$D$45*(($J$2:$J$21=$P29&amp;"-&gt;"&amp;$Q29)+($K$2:$K$21=$P29&amp;"-&gt;"&amp;$Q29)+($L$2:$L$21=$P29&amp;"-&gt;"&amp;$Q29)+($M$2:$M$21=$P29&amp;"-&gt;"&amp;$Q29)+($N$2:$N$21=$P29&amp;"-&gt;"&amp;$Q29)+($O$2:$O$21=$P29&amp;"-&gt;"&amp;$Q29)))</f>
        <v>38.095</v>
      </c>
    </row>
    <row r="30" spans="1:19">
      <c r="A30" s="1" t="s">
        <v>29</v>
      </c>
      <c r="B30" s="1">
        <v>11211</v>
      </c>
      <c r="C30">
        <f t="shared" si="21"/>
        <v>747.4</v>
      </c>
      <c r="D30">
        <f t="shared" si="20"/>
        <v>9.3425</v>
      </c>
      <c r="P30" s="4" t="s">
        <v>126</v>
      </c>
      <c r="Q30" s="4" t="s">
        <v>127</v>
      </c>
      <c r="R30" s="3">
        <f>SUMPRODUCT($I$2:$I$21*(($J$2:$J$21=$P30&amp;"-&gt;"&amp;$Q30)+($K$2:$K$21=$P30&amp;"-&gt;"&amp;$Q30)+($L$2:$L$21=$P30&amp;"-&gt;"&amp;$Q30)+($M$2:$M$21=$P30&amp;"-&gt;"&amp;$Q30)+($N$2:$N$21=$P30&amp;"-&gt;"&amp;$Q30)+($O$2:$O$21=$P30&amp;"-&gt;"&amp;$Q30)))</f>
        <v>4946.71666666667</v>
      </c>
      <c r="S30" s="3">
        <f>SUMPRODUCT($D$26:$D$45*(($J$2:$J$21=$P30&amp;"-&gt;"&amp;$Q30)+($K$2:$K$21=$P30&amp;"-&gt;"&amp;$Q30)+($L$2:$L$21=$P30&amp;"-&gt;"&amp;$Q30)+($M$2:$M$21=$P30&amp;"-&gt;"&amp;$Q30)+($N$2:$N$21=$P30&amp;"-&gt;"&amp;$Q30)+($O$2:$O$21=$P30&amp;"-&gt;"&amp;$Q30)))</f>
        <v>61.8339583333333</v>
      </c>
    </row>
    <row r="31" spans="1:4">
      <c r="A31" s="1" t="s">
        <v>30</v>
      </c>
      <c r="B31" s="1">
        <v>7347.975</v>
      </c>
      <c r="C31">
        <f t="shared" si="21"/>
        <v>489.865</v>
      </c>
      <c r="D31">
        <f t="shared" si="20"/>
        <v>6.1233125</v>
      </c>
    </row>
    <row r="32" spans="1:4">
      <c r="A32" s="1" t="s">
        <v>31</v>
      </c>
      <c r="B32" s="1">
        <v>22657.2</v>
      </c>
      <c r="C32">
        <f t="shared" si="21"/>
        <v>1510.48</v>
      </c>
      <c r="D32">
        <f t="shared" si="20"/>
        <v>18.881</v>
      </c>
    </row>
    <row r="33" spans="1:4">
      <c r="A33" s="1" t="s">
        <v>32</v>
      </c>
      <c r="B33" s="1">
        <v>7330.4</v>
      </c>
      <c r="C33">
        <f t="shared" si="21"/>
        <v>488.693333333333</v>
      </c>
      <c r="D33">
        <f t="shared" si="20"/>
        <v>6.10866666666667</v>
      </c>
    </row>
    <row r="34" spans="1:4">
      <c r="A34" s="1" t="s">
        <v>34</v>
      </c>
      <c r="B34" s="1">
        <v>14241</v>
      </c>
      <c r="C34">
        <f t="shared" si="21"/>
        <v>949.4</v>
      </c>
      <c r="D34">
        <f t="shared" si="20"/>
        <v>11.8675</v>
      </c>
    </row>
    <row r="35" spans="1:4">
      <c r="A35" s="1" t="s">
        <v>36</v>
      </c>
      <c r="B35" s="1">
        <v>8002.475</v>
      </c>
      <c r="C35">
        <f t="shared" si="21"/>
        <v>533.498333333333</v>
      </c>
      <c r="D35">
        <f t="shared" si="20"/>
        <v>6.66872916666667</v>
      </c>
    </row>
    <row r="36" spans="1:4">
      <c r="A36" s="1" t="s">
        <v>37</v>
      </c>
      <c r="B36" s="1">
        <v>14695.95</v>
      </c>
      <c r="C36">
        <f t="shared" si="21"/>
        <v>979.73</v>
      </c>
      <c r="D36">
        <f t="shared" si="20"/>
        <v>12.246625</v>
      </c>
    </row>
    <row r="37" spans="1:4">
      <c r="A37" s="1" t="s">
        <v>38</v>
      </c>
      <c r="B37" s="1">
        <v>18854.7</v>
      </c>
      <c r="C37">
        <f t="shared" si="21"/>
        <v>1256.98</v>
      </c>
      <c r="D37">
        <f t="shared" si="20"/>
        <v>15.71225</v>
      </c>
    </row>
    <row r="38" spans="1:4">
      <c r="A38" s="1" t="s">
        <v>39</v>
      </c>
      <c r="B38" s="1">
        <v>9427.35</v>
      </c>
      <c r="C38">
        <f t="shared" si="21"/>
        <v>628.49</v>
      </c>
      <c r="D38">
        <f t="shared" si="20"/>
        <v>7.856125</v>
      </c>
    </row>
    <row r="39" spans="1:4">
      <c r="A39" s="1" t="s">
        <v>42</v>
      </c>
      <c r="B39" s="1">
        <v>29234.8</v>
      </c>
      <c r="C39">
        <f t="shared" si="21"/>
        <v>1948.98666666667</v>
      </c>
      <c r="D39">
        <f t="shared" si="20"/>
        <v>24.3623333333333</v>
      </c>
    </row>
    <row r="40" spans="1:4">
      <c r="A40" s="1" t="s">
        <v>43</v>
      </c>
      <c r="B40" s="1">
        <v>3665.2</v>
      </c>
      <c r="C40">
        <f t="shared" si="21"/>
        <v>244.346666666667</v>
      </c>
      <c r="D40">
        <f t="shared" si="20"/>
        <v>3.05433333333333</v>
      </c>
    </row>
    <row r="41" spans="1:4">
      <c r="A41" s="1" t="s">
        <v>44</v>
      </c>
      <c r="B41" s="1">
        <v>19392</v>
      </c>
      <c r="C41">
        <f t="shared" si="21"/>
        <v>1292.8</v>
      </c>
      <c r="D41">
        <f t="shared" si="20"/>
        <v>16.16</v>
      </c>
    </row>
    <row r="42" spans="1:4">
      <c r="A42" s="1" t="s">
        <v>45</v>
      </c>
      <c r="B42" s="1">
        <v>9427.35</v>
      </c>
      <c r="C42">
        <f t="shared" si="21"/>
        <v>628.49</v>
      </c>
      <c r="D42">
        <f t="shared" si="20"/>
        <v>7.856125</v>
      </c>
    </row>
    <row r="43" spans="1:4">
      <c r="A43" s="1" t="s">
        <v>46</v>
      </c>
      <c r="B43" s="1">
        <v>21884.7</v>
      </c>
      <c r="C43">
        <f t="shared" si="21"/>
        <v>1458.98</v>
      </c>
      <c r="D43">
        <f t="shared" si="20"/>
        <v>18.23725</v>
      </c>
    </row>
    <row r="44" spans="1:4">
      <c r="A44" s="1" t="s">
        <v>47</v>
      </c>
      <c r="B44" s="1">
        <v>32386.7</v>
      </c>
      <c r="C44">
        <f t="shared" si="21"/>
        <v>2159.11333333333</v>
      </c>
      <c r="D44">
        <f t="shared" si="20"/>
        <v>26.9889166666667</v>
      </c>
    </row>
    <row r="45" spans="1:4">
      <c r="A45" s="1" t="s">
        <v>48</v>
      </c>
      <c r="B45" s="1">
        <v>23829.3</v>
      </c>
      <c r="C45">
        <f t="shared" si="21"/>
        <v>1588.62</v>
      </c>
      <c r="D45">
        <f t="shared" si="20"/>
        <v>19.85775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7"/>
  <sheetViews>
    <sheetView zoomScale="50" zoomScaleNormal="50" topLeftCell="A23" workbookViewId="0">
      <selection activeCell="V45" sqref="V45:V64"/>
    </sheetView>
  </sheetViews>
  <sheetFormatPr defaultColWidth="8.88888888888889" defaultRowHeight="17.6"/>
  <cols>
    <col min="14" max="21" width="12.5555555555556"/>
    <col min="22" max="22" width="20.1041666666667" customWidth="1"/>
    <col min="23" max="23" width="23.7222222222222" customWidth="1"/>
    <col min="24" max="24" width="12.5555555555556"/>
    <col min="25" max="25" width="35.8819444444444" customWidth="1"/>
  </cols>
  <sheetData>
    <row r="1" spans="1: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8"/>
      <c r="B16" s="10" t="s">
        <v>5</v>
      </c>
      <c r="C16" s="11"/>
      <c r="D16" s="11"/>
      <c r="E16" s="11"/>
      <c r="F16" s="11"/>
      <c r="G16" s="11"/>
      <c r="H16" s="34"/>
      <c r="I16" s="35"/>
      <c r="J16" s="35"/>
      <c r="K16" s="35"/>
      <c r="L16" s="8"/>
      <c r="M16" s="45"/>
      <c r="N16" s="46" t="s">
        <v>6</v>
      </c>
      <c r="O16" s="46" t="s">
        <v>7</v>
      </c>
      <c r="P16" s="46" t="s">
        <v>8</v>
      </c>
      <c r="Q16" s="46" t="s">
        <v>9</v>
      </c>
      <c r="R16" s="46" t="s">
        <v>10</v>
      </c>
      <c r="S16" s="46" t="s">
        <v>132</v>
      </c>
      <c r="T16" s="46" t="s">
        <v>133</v>
      </c>
      <c r="U16" s="46" t="s">
        <v>134</v>
      </c>
      <c r="V16" s="45"/>
      <c r="W16" s="45"/>
      <c r="X16" s="45"/>
      <c r="Y16" s="45"/>
    </row>
    <row r="17" spans="1:25">
      <c r="A17" s="8"/>
      <c r="B17" s="12" t="s">
        <v>11</v>
      </c>
      <c r="C17" s="13" t="s">
        <v>6</v>
      </c>
      <c r="D17" s="13" t="s">
        <v>7</v>
      </c>
      <c r="E17" s="13" t="s">
        <v>8</v>
      </c>
      <c r="F17" s="13" t="s">
        <v>9</v>
      </c>
      <c r="G17" s="13" t="s">
        <v>10</v>
      </c>
      <c r="H17" s="13" t="s">
        <v>132</v>
      </c>
      <c r="I17" s="13" t="s">
        <v>133</v>
      </c>
      <c r="J17" s="13" t="s">
        <v>134</v>
      </c>
      <c r="K17" s="36" t="s">
        <v>12</v>
      </c>
      <c r="L17" s="8"/>
      <c r="M17" s="45" t="s">
        <v>13</v>
      </c>
      <c r="N17" s="45">
        <f t="shared" ref="N17:U17" si="0">C28*C32</f>
        <v>180</v>
      </c>
      <c r="O17" s="45">
        <f t="shared" si="0"/>
        <v>300</v>
      </c>
      <c r="P17" s="45">
        <f t="shared" si="0"/>
        <v>580</v>
      </c>
      <c r="Q17" s="45">
        <f t="shared" si="0"/>
        <v>192</v>
      </c>
      <c r="R17" s="45">
        <f t="shared" si="0"/>
        <v>378</v>
      </c>
      <c r="S17" s="45">
        <f t="shared" si="0"/>
        <v>375</v>
      </c>
      <c r="T17" s="45">
        <f t="shared" si="0"/>
        <v>150</v>
      </c>
      <c r="U17" s="45">
        <f t="shared" si="0"/>
        <v>120</v>
      </c>
      <c r="V17" s="45"/>
      <c r="W17" s="45"/>
      <c r="X17" s="45"/>
      <c r="Y17" s="45"/>
    </row>
    <row r="18" spans="1:25">
      <c r="A18" s="8"/>
      <c r="B18" s="72" t="s">
        <v>138</v>
      </c>
      <c r="C18" s="32">
        <v>62400</v>
      </c>
      <c r="D18" s="33">
        <v>78000</v>
      </c>
      <c r="E18" s="33">
        <v>150800</v>
      </c>
      <c r="F18" s="33">
        <v>83200</v>
      </c>
      <c r="G18" s="33">
        <v>109200</v>
      </c>
      <c r="H18" s="33">
        <v>78000</v>
      </c>
      <c r="I18" s="33">
        <v>52000</v>
      </c>
      <c r="J18" s="33">
        <v>78000</v>
      </c>
      <c r="K18" s="37">
        <v>629200</v>
      </c>
      <c r="L18" s="8"/>
      <c r="M18" s="45" t="s">
        <v>15</v>
      </c>
      <c r="N18" s="45">
        <f t="shared" ref="N18:U18" si="1">C28+2.575*N17</f>
        <v>1663.5</v>
      </c>
      <c r="O18" s="45">
        <f t="shared" si="1"/>
        <v>2272.5</v>
      </c>
      <c r="P18" s="45">
        <f t="shared" si="1"/>
        <v>4393.5</v>
      </c>
      <c r="Q18" s="45">
        <f t="shared" si="1"/>
        <v>2094.4</v>
      </c>
      <c r="R18" s="45">
        <f t="shared" si="1"/>
        <v>3073.35</v>
      </c>
      <c r="S18" s="45">
        <f t="shared" si="1"/>
        <v>2465.625</v>
      </c>
      <c r="T18" s="45">
        <f t="shared" si="1"/>
        <v>1386.25</v>
      </c>
      <c r="U18" s="45">
        <f t="shared" si="1"/>
        <v>1809</v>
      </c>
      <c r="V18" s="45"/>
      <c r="W18" s="45"/>
      <c r="X18" s="45"/>
      <c r="Y18" s="45"/>
    </row>
    <row r="19" spans="1:21">
      <c r="A19" s="8"/>
      <c r="B19" s="17"/>
      <c r="C19" s="17"/>
      <c r="D19" s="17"/>
      <c r="E19" s="17"/>
      <c r="F19" s="17"/>
      <c r="G19" s="17"/>
      <c r="H19" s="8"/>
      <c r="I19" s="8"/>
      <c r="J19" s="8"/>
      <c r="K19" s="8"/>
      <c r="L19" s="8"/>
      <c r="M19" s="45" t="s">
        <v>16</v>
      </c>
      <c r="N19" s="45">
        <f t="shared" ref="N19:U19" si="2">N18/(16*5)</f>
        <v>20.79375</v>
      </c>
      <c r="O19" s="45">
        <f t="shared" si="2"/>
        <v>28.40625</v>
      </c>
      <c r="P19" s="45">
        <f t="shared" si="2"/>
        <v>54.91875</v>
      </c>
      <c r="Q19" s="45">
        <f t="shared" si="2"/>
        <v>26.18</v>
      </c>
      <c r="R19" s="45">
        <f t="shared" si="2"/>
        <v>38.416875</v>
      </c>
      <c r="S19" s="45">
        <f t="shared" si="2"/>
        <v>30.8203125</v>
      </c>
      <c r="T19" s="45">
        <f t="shared" si="2"/>
        <v>17.328125</v>
      </c>
      <c r="U19" s="45">
        <f t="shared" si="2"/>
        <v>22.6125</v>
      </c>
    </row>
    <row r="20" spans="1:12">
      <c r="A20" s="8"/>
      <c r="B20" s="17"/>
      <c r="C20" s="17"/>
      <c r="D20" s="17"/>
      <c r="E20" s="17"/>
      <c r="F20" s="17"/>
      <c r="G20" s="17"/>
      <c r="H20" s="8"/>
      <c r="I20" s="8"/>
      <c r="J20" s="8"/>
      <c r="K20" s="8"/>
      <c r="L20" s="8"/>
    </row>
    <row r="21" spans="1:25">
      <c r="A21" s="8"/>
      <c r="B21" s="10" t="s">
        <v>17</v>
      </c>
      <c r="C21" s="11"/>
      <c r="D21" s="11"/>
      <c r="E21" s="11"/>
      <c r="F21" s="11"/>
      <c r="G21" s="11"/>
      <c r="H21" s="34"/>
      <c r="I21" s="35"/>
      <c r="J21" s="35"/>
      <c r="K21" s="35"/>
      <c r="L21" s="8"/>
      <c r="M21" t="s">
        <v>18</v>
      </c>
      <c r="N21" s="47" t="s">
        <v>6</v>
      </c>
      <c r="O21" s="47" t="s">
        <v>7</v>
      </c>
      <c r="P21" s="47" t="s">
        <v>8</v>
      </c>
      <c r="Q21" s="47" t="s">
        <v>9</v>
      </c>
      <c r="R21" s="47" t="s">
        <v>10</v>
      </c>
      <c r="S21" s="47" t="s">
        <v>132</v>
      </c>
      <c r="T21" s="47" t="s">
        <v>133</v>
      </c>
      <c r="U21" s="47" t="s">
        <v>134</v>
      </c>
      <c r="V21" s="45" t="s">
        <v>139</v>
      </c>
      <c r="W21" s="45" t="s">
        <v>20</v>
      </c>
      <c r="X21" s="45" t="s">
        <v>21</v>
      </c>
      <c r="Y21" s="45" t="s">
        <v>22</v>
      </c>
    </row>
    <row r="22" spans="1:25">
      <c r="A22" s="17"/>
      <c r="B22" s="12" t="s">
        <v>11</v>
      </c>
      <c r="C22" s="18" t="s">
        <v>6</v>
      </c>
      <c r="D22" s="13" t="s">
        <v>7</v>
      </c>
      <c r="E22" s="13" t="s">
        <v>8</v>
      </c>
      <c r="F22" s="13" t="s">
        <v>9</v>
      </c>
      <c r="G22" s="13" t="s">
        <v>10</v>
      </c>
      <c r="H22" s="13" t="s">
        <v>132</v>
      </c>
      <c r="I22" s="13" t="s">
        <v>133</v>
      </c>
      <c r="J22" s="13" t="s">
        <v>134</v>
      </c>
      <c r="K22" s="36" t="s">
        <v>23</v>
      </c>
      <c r="L22" s="17"/>
      <c r="M22" s="45" t="s">
        <v>24</v>
      </c>
      <c r="N22" s="45">
        <f t="shared" ref="N22:N41" si="3">$N$18*C37</f>
        <v>1663.5</v>
      </c>
      <c r="O22" s="45">
        <f t="shared" ref="O22:O41" si="4">$O$18*D37</f>
        <v>4545</v>
      </c>
      <c r="P22" s="45">
        <f t="shared" ref="P22:P41" si="5">$P$18*E37</f>
        <v>17574</v>
      </c>
      <c r="Q22" s="45">
        <f t="shared" ref="Q22:Q41" si="6">$Q$18*F37</f>
        <v>8377.6</v>
      </c>
      <c r="R22" s="45">
        <f t="shared" ref="R22:R41" si="7">$R$18*G37</f>
        <v>3073.35</v>
      </c>
      <c r="S22" s="45">
        <f t="shared" ref="S22:S41" si="8">$S$18*H37</f>
        <v>0</v>
      </c>
      <c r="T22" s="45">
        <f t="shared" ref="T22:T41" si="9">$T$18*I37</f>
        <v>0</v>
      </c>
      <c r="U22" s="45">
        <f t="shared" ref="U22:U41" si="10">$U$18*J37</f>
        <v>3618</v>
      </c>
      <c r="V22" s="45">
        <f t="shared" ref="V22:V41" si="11">SUM(N22:R22)</f>
        <v>35233.45</v>
      </c>
      <c r="W22" s="45">
        <v>12.75</v>
      </c>
      <c r="X22" s="45">
        <f t="shared" ref="X22:X41" si="12">0.98*0.9</f>
        <v>0.882</v>
      </c>
      <c r="Y22" s="45">
        <f t="shared" ref="Y22:Y41" si="13">V22*W22/X22</f>
        <v>509327.083333333</v>
      </c>
    </row>
    <row r="23" spans="1:25">
      <c r="A23" s="8"/>
      <c r="B23" s="72" t="s">
        <v>138</v>
      </c>
      <c r="C23" s="48">
        <v>721.110255092798</v>
      </c>
      <c r="D23" s="49">
        <v>1081.6653826392</v>
      </c>
      <c r="E23" s="49">
        <v>3605.55127546399</v>
      </c>
      <c r="F23" s="49">
        <v>2163.33076527839</v>
      </c>
      <c r="G23" s="49">
        <v>1442.2205101856</v>
      </c>
      <c r="H23" s="49">
        <v>2163.33076527839</v>
      </c>
      <c r="I23" s="49">
        <v>1297.99845916704</v>
      </c>
      <c r="J23" s="49">
        <v>793.221280602078</v>
      </c>
      <c r="K23" s="50">
        <v>5333.29166650391</v>
      </c>
      <c r="L23" s="8"/>
      <c r="M23" s="45" t="s">
        <v>25</v>
      </c>
      <c r="N23" s="45">
        <f t="shared" si="3"/>
        <v>6654</v>
      </c>
      <c r="O23" s="45">
        <f t="shared" si="4"/>
        <v>0</v>
      </c>
      <c r="P23" s="45">
        <f t="shared" si="5"/>
        <v>8787</v>
      </c>
      <c r="Q23" s="45">
        <f t="shared" si="6"/>
        <v>4188.8</v>
      </c>
      <c r="R23" s="45">
        <f t="shared" si="7"/>
        <v>0</v>
      </c>
      <c r="S23" s="45">
        <f t="shared" si="8"/>
        <v>0</v>
      </c>
      <c r="T23" s="45">
        <f t="shared" si="9"/>
        <v>0</v>
      </c>
      <c r="U23" s="45">
        <f t="shared" si="10"/>
        <v>1809</v>
      </c>
      <c r="V23" s="45">
        <f t="shared" si="11"/>
        <v>19629.8</v>
      </c>
      <c r="W23" s="45">
        <v>7.75</v>
      </c>
      <c r="X23" s="45">
        <f t="shared" si="12"/>
        <v>0.882</v>
      </c>
      <c r="Y23" s="45">
        <f t="shared" si="13"/>
        <v>172484.070294785</v>
      </c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45" t="s">
        <v>26</v>
      </c>
      <c r="N24" s="45">
        <f t="shared" si="3"/>
        <v>0</v>
      </c>
      <c r="O24" s="45">
        <f t="shared" si="4"/>
        <v>0</v>
      </c>
      <c r="P24" s="45">
        <f t="shared" si="5"/>
        <v>0</v>
      </c>
      <c r="Q24" s="45">
        <f t="shared" si="6"/>
        <v>8377.6</v>
      </c>
      <c r="R24" s="45">
        <f t="shared" si="7"/>
        <v>3073.35</v>
      </c>
      <c r="S24" s="45">
        <f t="shared" si="8"/>
        <v>4931.25</v>
      </c>
      <c r="T24" s="45">
        <f t="shared" si="9"/>
        <v>5545</v>
      </c>
      <c r="U24" s="45">
        <f t="shared" si="10"/>
        <v>1809</v>
      </c>
      <c r="V24" s="45">
        <f t="shared" si="11"/>
        <v>11450.95</v>
      </c>
      <c r="W24" s="45">
        <v>9.5</v>
      </c>
      <c r="X24" s="45">
        <f t="shared" si="12"/>
        <v>0.882</v>
      </c>
      <c r="Y24" s="45">
        <f t="shared" si="13"/>
        <v>123337.896825397</v>
      </c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45" t="s">
        <v>27</v>
      </c>
      <c r="N25" s="45">
        <f t="shared" si="3"/>
        <v>0</v>
      </c>
      <c r="O25" s="45">
        <f t="shared" si="4"/>
        <v>2272.5</v>
      </c>
      <c r="P25" s="45">
        <f t="shared" si="5"/>
        <v>8787</v>
      </c>
      <c r="Q25" s="45">
        <f t="shared" si="6"/>
        <v>4188.8</v>
      </c>
      <c r="R25" s="45">
        <f t="shared" si="7"/>
        <v>0</v>
      </c>
      <c r="S25" s="45">
        <f t="shared" si="8"/>
        <v>0</v>
      </c>
      <c r="T25" s="45">
        <f t="shared" si="9"/>
        <v>0</v>
      </c>
      <c r="U25" s="45">
        <f t="shared" si="10"/>
        <v>0</v>
      </c>
      <c r="V25" s="45">
        <f t="shared" si="11"/>
        <v>15248.3</v>
      </c>
      <c r="W25" s="45">
        <v>7.5</v>
      </c>
      <c r="X25" s="45">
        <f t="shared" si="12"/>
        <v>0.882</v>
      </c>
      <c r="Y25" s="45">
        <f t="shared" si="13"/>
        <v>129662.414965986</v>
      </c>
    </row>
    <row r="26" spans="1:25">
      <c r="A26" s="8"/>
      <c r="B26" s="10" t="s">
        <v>28</v>
      </c>
      <c r="C26" s="11"/>
      <c r="D26" s="11"/>
      <c r="E26" s="11"/>
      <c r="F26" s="11"/>
      <c r="G26" s="11"/>
      <c r="H26" s="34"/>
      <c r="I26" s="35"/>
      <c r="J26" s="35"/>
      <c r="K26" s="35"/>
      <c r="L26" s="8"/>
      <c r="M26" s="45" t="s">
        <v>29</v>
      </c>
      <c r="N26" s="45">
        <f t="shared" si="3"/>
        <v>0</v>
      </c>
      <c r="O26" s="45">
        <f t="shared" si="4"/>
        <v>2272.5</v>
      </c>
      <c r="P26" s="45">
        <f t="shared" si="5"/>
        <v>8787</v>
      </c>
      <c r="Q26" s="45">
        <f t="shared" si="6"/>
        <v>0</v>
      </c>
      <c r="R26" s="45">
        <f t="shared" si="7"/>
        <v>0</v>
      </c>
      <c r="S26" s="45">
        <f t="shared" si="8"/>
        <v>2465.625</v>
      </c>
      <c r="T26" s="45">
        <f t="shared" si="9"/>
        <v>1386.25</v>
      </c>
      <c r="U26" s="45">
        <f t="shared" si="10"/>
        <v>0</v>
      </c>
      <c r="V26" s="45">
        <f t="shared" si="11"/>
        <v>11059.5</v>
      </c>
      <c r="W26" s="45">
        <v>7.5</v>
      </c>
      <c r="X26" s="45">
        <f t="shared" si="12"/>
        <v>0.882</v>
      </c>
      <c r="Y26" s="45">
        <f t="shared" si="13"/>
        <v>94043.3673469388</v>
      </c>
    </row>
    <row r="27" spans="1:25">
      <c r="A27" s="8"/>
      <c r="B27" s="12" t="s">
        <v>11</v>
      </c>
      <c r="C27" s="18" t="s">
        <v>6</v>
      </c>
      <c r="D27" s="13" t="s">
        <v>7</v>
      </c>
      <c r="E27" s="13" t="s">
        <v>8</v>
      </c>
      <c r="F27" s="13" t="s">
        <v>9</v>
      </c>
      <c r="G27" s="13" t="s">
        <v>10</v>
      </c>
      <c r="H27" s="13" t="s">
        <v>132</v>
      </c>
      <c r="I27" s="13" t="s">
        <v>133</v>
      </c>
      <c r="J27" s="13" t="s">
        <v>134</v>
      </c>
      <c r="K27" s="36" t="s">
        <v>12</v>
      </c>
      <c r="L27" s="8"/>
      <c r="M27" s="45" t="s">
        <v>30</v>
      </c>
      <c r="N27" s="45">
        <f t="shared" si="3"/>
        <v>1663.5</v>
      </c>
      <c r="O27" s="45">
        <f t="shared" si="4"/>
        <v>0</v>
      </c>
      <c r="P27" s="45">
        <f t="shared" si="5"/>
        <v>0</v>
      </c>
      <c r="Q27" s="45">
        <f t="shared" si="6"/>
        <v>0</v>
      </c>
      <c r="R27" s="45">
        <f t="shared" si="7"/>
        <v>6146.7</v>
      </c>
      <c r="S27" s="45">
        <f t="shared" si="8"/>
        <v>0</v>
      </c>
      <c r="T27" s="45">
        <f t="shared" si="9"/>
        <v>0</v>
      </c>
      <c r="U27" s="45">
        <f t="shared" si="10"/>
        <v>5427</v>
      </c>
      <c r="V27" s="45">
        <f t="shared" si="11"/>
        <v>7810.2</v>
      </c>
      <c r="W27" s="45">
        <v>10.5</v>
      </c>
      <c r="X27" s="45">
        <f t="shared" si="12"/>
        <v>0.882</v>
      </c>
      <c r="Y27" s="45">
        <f t="shared" si="13"/>
        <v>92978.5714285714</v>
      </c>
    </row>
    <row r="28" spans="1:25">
      <c r="A28" s="8"/>
      <c r="B28" s="72" t="s">
        <v>138</v>
      </c>
      <c r="C28" s="32">
        <v>1200</v>
      </c>
      <c r="D28" s="33">
        <v>1500</v>
      </c>
      <c r="E28" s="33">
        <v>2900</v>
      </c>
      <c r="F28" s="33">
        <v>1600</v>
      </c>
      <c r="G28" s="33">
        <v>2100</v>
      </c>
      <c r="H28" s="33">
        <v>1500</v>
      </c>
      <c r="I28" s="33">
        <v>1000</v>
      </c>
      <c r="J28" s="33">
        <v>1500</v>
      </c>
      <c r="K28" s="39">
        <v>12100</v>
      </c>
      <c r="L28" s="8"/>
      <c r="M28" s="45" t="s">
        <v>31</v>
      </c>
      <c r="N28" s="45">
        <f t="shared" si="3"/>
        <v>0</v>
      </c>
      <c r="O28" s="45">
        <f t="shared" si="4"/>
        <v>9090</v>
      </c>
      <c r="P28" s="45">
        <f t="shared" si="5"/>
        <v>0</v>
      </c>
      <c r="Q28" s="45">
        <f t="shared" si="6"/>
        <v>0</v>
      </c>
      <c r="R28" s="45">
        <f t="shared" si="7"/>
        <v>12293.4</v>
      </c>
      <c r="S28" s="45">
        <f t="shared" si="8"/>
        <v>0</v>
      </c>
      <c r="T28" s="45">
        <f t="shared" si="9"/>
        <v>1386.25</v>
      </c>
      <c r="U28" s="45">
        <f t="shared" si="10"/>
        <v>1809</v>
      </c>
      <c r="V28" s="45">
        <f t="shared" si="11"/>
        <v>21383.4</v>
      </c>
      <c r="W28" s="45">
        <v>10</v>
      </c>
      <c r="X28" s="45">
        <f t="shared" si="12"/>
        <v>0.882</v>
      </c>
      <c r="Y28" s="45">
        <f t="shared" si="13"/>
        <v>242442.176870748</v>
      </c>
    </row>
    <row r="29" spans="1:25">
      <c r="A29" s="8"/>
      <c r="B29" s="17"/>
      <c r="C29" s="17"/>
      <c r="D29" s="17"/>
      <c r="E29" s="17"/>
      <c r="F29" s="17"/>
      <c r="G29" s="17"/>
      <c r="H29" s="8"/>
      <c r="I29" s="8"/>
      <c r="J29" s="8"/>
      <c r="K29" s="8"/>
      <c r="L29" s="8"/>
      <c r="M29" s="45" t="s">
        <v>32</v>
      </c>
      <c r="N29" s="45">
        <f t="shared" si="3"/>
        <v>0</v>
      </c>
      <c r="O29" s="45">
        <f t="shared" si="4"/>
        <v>0</v>
      </c>
      <c r="P29" s="45">
        <f t="shared" si="5"/>
        <v>0</v>
      </c>
      <c r="Q29" s="45">
        <f t="shared" si="6"/>
        <v>8377.6</v>
      </c>
      <c r="R29" s="45">
        <f t="shared" si="7"/>
        <v>0</v>
      </c>
      <c r="S29" s="45">
        <f t="shared" si="8"/>
        <v>4931.25</v>
      </c>
      <c r="T29" s="45">
        <f t="shared" si="9"/>
        <v>2772.5</v>
      </c>
      <c r="U29" s="45">
        <f t="shared" si="10"/>
        <v>5427</v>
      </c>
      <c r="V29" s="45">
        <f t="shared" si="11"/>
        <v>8377.6</v>
      </c>
      <c r="W29" s="45">
        <v>4.75</v>
      </c>
      <c r="X29" s="45">
        <f t="shared" si="12"/>
        <v>0.882</v>
      </c>
      <c r="Y29" s="45">
        <f t="shared" si="13"/>
        <v>45117.4603174603</v>
      </c>
    </row>
    <row r="30" spans="1:25">
      <c r="A30" s="8"/>
      <c r="B30" s="10" t="s">
        <v>33</v>
      </c>
      <c r="C30" s="11"/>
      <c r="D30" s="11"/>
      <c r="E30" s="11"/>
      <c r="F30" s="11"/>
      <c r="G30" s="11"/>
      <c r="H30" s="34"/>
      <c r="I30" s="35"/>
      <c r="J30" s="35"/>
      <c r="K30" s="35"/>
      <c r="L30" s="8"/>
      <c r="M30" s="45" t="s">
        <v>34</v>
      </c>
      <c r="N30" s="45">
        <f t="shared" si="3"/>
        <v>0</v>
      </c>
      <c r="O30" s="45">
        <f t="shared" si="4"/>
        <v>4545</v>
      </c>
      <c r="P30" s="45">
        <f t="shared" si="5"/>
        <v>8787</v>
      </c>
      <c r="Q30" s="45">
        <f t="shared" si="6"/>
        <v>0</v>
      </c>
      <c r="R30" s="45">
        <f t="shared" si="7"/>
        <v>0</v>
      </c>
      <c r="S30" s="45">
        <f t="shared" si="8"/>
        <v>2465.625</v>
      </c>
      <c r="T30" s="45">
        <f t="shared" si="9"/>
        <v>2772.5</v>
      </c>
      <c r="U30" s="45">
        <f t="shared" si="10"/>
        <v>0</v>
      </c>
      <c r="V30" s="45">
        <f t="shared" si="11"/>
        <v>13332</v>
      </c>
      <c r="W30" s="45">
        <v>8.5</v>
      </c>
      <c r="X30" s="45">
        <f t="shared" si="12"/>
        <v>0.882</v>
      </c>
      <c r="Y30" s="45">
        <f t="shared" si="13"/>
        <v>128482.993197279</v>
      </c>
    </row>
    <row r="31" spans="1:25">
      <c r="A31" s="8"/>
      <c r="B31" s="21" t="s">
        <v>11</v>
      </c>
      <c r="C31" s="22" t="s">
        <v>6</v>
      </c>
      <c r="D31" s="22" t="s">
        <v>7</v>
      </c>
      <c r="E31" s="22" t="s">
        <v>8</v>
      </c>
      <c r="F31" s="22" t="s">
        <v>9</v>
      </c>
      <c r="G31" s="22" t="s">
        <v>10</v>
      </c>
      <c r="H31" s="22" t="s">
        <v>132</v>
      </c>
      <c r="I31" s="22" t="s">
        <v>133</v>
      </c>
      <c r="J31" s="22" t="s">
        <v>134</v>
      </c>
      <c r="K31" s="40" t="s">
        <v>35</v>
      </c>
      <c r="L31" s="8"/>
      <c r="M31" s="45" t="s">
        <v>36</v>
      </c>
      <c r="N31" s="45">
        <f t="shared" si="3"/>
        <v>1663.5</v>
      </c>
      <c r="O31" s="45">
        <f t="shared" si="4"/>
        <v>0</v>
      </c>
      <c r="P31" s="45">
        <f t="shared" si="5"/>
        <v>4393.5</v>
      </c>
      <c r="Q31" s="45">
        <f t="shared" si="6"/>
        <v>2094.4</v>
      </c>
      <c r="R31" s="45">
        <f t="shared" si="7"/>
        <v>0</v>
      </c>
      <c r="S31" s="45">
        <f t="shared" si="8"/>
        <v>0</v>
      </c>
      <c r="T31" s="45">
        <f t="shared" si="9"/>
        <v>0</v>
      </c>
      <c r="U31" s="45">
        <f t="shared" si="10"/>
        <v>1809</v>
      </c>
      <c r="V31" s="45">
        <f t="shared" si="11"/>
        <v>8151.4</v>
      </c>
      <c r="W31" s="45">
        <v>6.5</v>
      </c>
      <c r="X31" s="45">
        <f t="shared" si="12"/>
        <v>0.882</v>
      </c>
      <c r="Y31" s="45">
        <f t="shared" si="13"/>
        <v>60072.6757369614</v>
      </c>
    </row>
    <row r="32" spans="1:25">
      <c r="A32" s="8"/>
      <c r="B32" s="72" t="s">
        <v>138</v>
      </c>
      <c r="C32" s="23">
        <v>0.15</v>
      </c>
      <c r="D32" s="24">
        <v>0.2</v>
      </c>
      <c r="E32" s="24">
        <v>0.2</v>
      </c>
      <c r="F32" s="24">
        <v>0.12</v>
      </c>
      <c r="G32" s="24">
        <v>0.18</v>
      </c>
      <c r="H32" s="24">
        <v>0.25</v>
      </c>
      <c r="I32" s="24">
        <v>0.15</v>
      </c>
      <c r="J32" s="24">
        <v>0.08</v>
      </c>
      <c r="K32" s="41">
        <v>0.17</v>
      </c>
      <c r="L32" s="8"/>
      <c r="M32" s="45" t="s">
        <v>37</v>
      </c>
      <c r="N32" s="45">
        <f t="shared" si="3"/>
        <v>3327</v>
      </c>
      <c r="O32" s="45">
        <f t="shared" si="4"/>
        <v>0</v>
      </c>
      <c r="P32" s="45">
        <f t="shared" si="5"/>
        <v>0</v>
      </c>
      <c r="Q32" s="45">
        <f t="shared" si="6"/>
        <v>0</v>
      </c>
      <c r="R32" s="45">
        <f t="shared" si="7"/>
        <v>12293.4</v>
      </c>
      <c r="S32" s="45">
        <f t="shared" si="8"/>
        <v>9862.5</v>
      </c>
      <c r="T32" s="45">
        <f t="shared" si="9"/>
        <v>2772.5</v>
      </c>
      <c r="U32" s="45">
        <f t="shared" si="10"/>
        <v>0</v>
      </c>
      <c r="V32" s="45">
        <f t="shared" si="11"/>
        <v>15620.4</v>
      </c>
      <c r="W32" s="45">
        <v>4</v>
      </c>
      <c r="X32" s="45">
        <f t="shared" si="12"/>
        <v>0.882</v>
      </c>
      <c r="Y32" s="45">
        <f t="shared" si="13"/>
        <v>70840.8163265306</v>
      </c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45" t="s">
        <v>38</v>
      </c>
      <c r="N33" s="45">
        <f t="shared" si="3"/>
        <v>6654</v>
      </c>
      <c r="O33" s="45">
        <f t="shared" si="4"/>
        <v>0</v>
      </c>
      <c r="P33" s="45">
        <f t="shared" si="5"/>
        <v>0</v>
      </c>
      <c r="Q33" s="45">
        <f t="shared" si="6"/>
        <v>0</v>
      </c>
      <c r="R33" s="45">
        <f t="shared" si="7"/>
        <v>12293.4</v>
      </c>
      <c r="S33" s="45">
        <f t="shared" si="8"/>
        <v>7396.875</v>
      </c>
      <c r="T33" s="45">
        <f t="shared" si="9"/>
        <v>5545</v>
      </c>
      <c r="U33" s="45">
        <f t="shared" si="10"/>
        <v>0</v>
      </c>
      <c r="V33" s="45">
        <f t="shared" si="11"/>
        <v>18947.4</v>
      </c>
      <c r="W33" s="45">
        <v>6</v>
      </c>
      <c r="X33" s="45">
        <f t="shared" si="12"/>
        <v>0.882</v>
      </c>
      <c r="Y33" s="45">
        <f t="shared" si="13"/>
        <v>128893.87755102</v>
      </c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45" t="s">
        <v>39</v>
      </c>
      <c r="N34" s="45">
        <f t="shared" si="3"/>
        <v>3327</v>
      </c>
      <c r="O34" s="45">
        <f t="shared" si="4"/>
        <v>0</v>
      </c>
      <c r="P34" s="45">
        <f t="shared" si="5"/>
        <v>0</v>
      </c>
      <c r="Q34" s="45">
        <f t="shared" si="6"/>
        <v>0</v>
      </c>
      <c r="R34" s="45">
        <f t="shared" si="7"/>
        <v>6146.7</v>
      </c>
      <c r="S34" s="45">
        <f t="shared" si="8"/>
        <v>4931.25</v>
      </c>
      <c r="T34" s="45">
        <f t="shared" si="9"/>
        <v>1386.25</v>
      </c>
      <c r="U34" s="45">
        <f t="shared" si="10"/>
        <v>0</v>
      </c>
      <c r="V34" s="45">
        <f t="shared" si="11"/>
        <v>9473.7</v>
      </c>
      <c r="W34" s="45">
        <v>7.5</v>
      </c>
      <c r="X34" s="45">
        <f t="shared" si="12"/>
        <v>0.882</v>
      </c>
      <c r="Y34" s="45">
        <f t="shared" si="13"/>
        <v>80558.6734693878</v>
      </c>
    </row>
    <row r="35" spans="1:25">
      <c r="A35" s="8"/>
      <c r="B35" s="25" t="s">
        <v>40</v>
      </c>
      <c r="C35" s="26" t="s">
        <v>136</v>
      </c>
      <c r="D35" s="27"/>
      <c r="E35" s="27"/>
      <c r="F35" s="27"/>
      <c r="G35" s="27"/>
      <c r="H35" s="27"/>
      <c r="I35" s="27"/>
      <c r="J35" s="42"/>
      <c r="K35" s="8"/>
      <c r="L35" s="8"/>
      <c r="M35" s="45" t="s">
        <v>42</v>
      </c>
      <c r="N35" s="45">
        <f t="shared" si="3"/>
        <v>0</v>
      </c>
      <c r="O35" s="45">
        <f t="shared" si="4"/>
        <v>9090</v>
      </c>
      <c r="P35" s="45">
        <f t="shared" si="5"/>
        <v>8787</v>
      </c>
      <c r="Q35" s="45">
        <f t="shared" si="6"/>
        <v>4188.8</v>
      </c>
      <c r="R35" s="45">
        <f t="shared" si="7"/>
        <v>6146.7</v>
      </c>
      <c r="S35" s="45">
        <f t="shared" si="8"/>
        <v>0</v>
      </c>
      <c r="T35" s="45">
        <f t="shared" si="9"/>
        <v>0</v>
      </c>
      <c r="U35" s="45">
        <f t="shared" si="10"/>
        <v>7236</v>
      </c>
      <c r="V35" s="45">
        <f t="shared" si="11"/>
        <v>28212.5</v>
      </c>
      <c r="W35" s="45">
        <v>4.75</v>
      </c>
      <c r="X35" s="45">
        <f t="shared" si="12"/>
        <v>0.882</v>
      </c>
      <c r="Y35" s="45">
        <f t="shared" si="13"/>
        <v>151938.066893424</v>
      </c>
    </row>
    <row r="36" spans="1:25">
      <c r="A36" s="8"/>
      <c r="B36" s="28"/>
      <c r="C36" s="29" t="s">
        <v>6</v>
      </c>
      <c r="D36" s="22" t="s">
        <v>7</v>
      </c>
      <c r="E36" s="22" t="s">
        <v>8</v>
      </c>
      <c r="F36" s="22" t="s">
        <v>9</v>
      </c>
      <c r="G36" s="22" t="s">
        <v>10</v>
      </c>
      <c r="H36" s="22" t="s">
        <v>132</v>
      </c>
      <c r="I36" s="22" t="s">
        <v>133</v>
      </c>
      <c r="J36" s="40" t="s">
        <v>134</v>
      </c>
      <c r="K36" s="8"/>
      <c r="L36" s="8"/>
      <c r="M36" s="45" t="s">
        <v>43</v>
      </c>
      <c r="N36" s="45">
        <f t="shared" si="3"/>
        <v>0</v>
      </c>
      <c r="O36" s="45">
        <f t="shared" si="4"/>
        <v>0</v>
      </c>
      <c r="P36" s="45">
        <f t="shared" si="5"/>
        <v>0</v>
      </c>
      <c r="Q36" s="45">
        <f t="shared" si="6"/>
        <v>4188.8</v>
      </c>
      <c r="R36" s="45">
        <f t="shared" si="7"/>
        <v>0</v>
      </c>
      <c r="S36" s="45">
        <f t="shared" si="8"/>
        <v>4931.25</v>
      </c>
      <c r="T36" s="45">
        <f t="shared" si="9"/>
        <v>0</v>
      </c>
      <c r="U36" s="45">
        <f t="shared" si="10"/>
        <v>1809</v>
      </c>
      <c r="V36" s="45">
        <f t="shared" si="11"/>
        <v>4188.8</v>
      </c>
      <c r="W36" s="45">
        <v>7.5</v>
      </c>
      <c r="X36" s="45">
        <f t="shared" si="12"/>
        <v>0.882</v>
      </c>
      <c r="Y36" s="45">
        <f t="shared" si="13"/>
        <v>35619.0476190476</v>
      </c>
    </row>
    <row r="37" spans="1:25">
      <c r="A37" s="8"/>
      <c r="B37" s="28" t="s">
        <v>24</v>
      </c>
      <c r="C37" s="30">
        <v>1</v>
      </c>
      <c r="D37" s="31">
        <v>2</v>
      </c>
      <c r="E37" s="31">
        <v>4</v>
      </c>
      <c r="F37" s="31">
        <v>4</v>
      </c>
      <c r="G37" s="31">
        <v>1</v>
      </c>
      <c r="H37" s="31"/>
      <c r="I37" s="31"/>
      <c r="J37" s="43">
        <v>2</v>
      </c>
      <c r="K37" s="8"/>
      <c r="L37" s="8"/>
      <c r="M37" s="45" t="s">
        <v>44</v>
      </c>
      <c r="N37" s="45">
        <f t="shared" si="3"/>
        <v>0</v>
      </c>
      <c r="O37" s="45">
        <f t="shared" si="4"/>
        <v>2272.5</v>
      </c>
      <c r="P37" s="45">
        <f t="shared" si="5"/>
        <v>17574</v>
      </c>
      <c r="Q37" s="45">
        <f t="shared" si="6"/>
        <v>0</v>
      </c>
      <c r="R37" s="45">
        <f t="shared" si="7"/>
        <v>0</v>
      </c>
      <c r="S37" s="45">
        <f t="shared" si="8"/>
        <v>0</v>
      </c>
      <c r="T37" s="45">
        <f t="shared" si="9"/>
        <v>0</v>
      </c>
      <c r="U37" s="45">
        <f t="shared" si="10"/>
        <v>0</v>
      </c>
      <c r="V37" s="45">
        <f t="shared" si="11"/>
        <v>19846.5</v>
      </c>
      <c r="W37" s="45">
        <v>10</v>
      </c>
      <c r="X37" s="45">
        <f t="shared" si="12"/>
        <v>0.882</v>
      </c>
      <c r="Y37" s="45">
        <f t="shared" si="13"/>
        <v>225017.006802721</v>
      </c>
    </row>
    <row r="38" spans="1:25">
      <c r="A38" s="8"/>
      <c r="B38" s="28" t="s">
        <v>25</v>
      </c>
      <c r="C38" s="32">
        <v>4</v>
      </c>
      <c r="D38" s="33"/>
      <c r="E38" s="33">
        <v>2</v>
      </c>
      <c r="F38" s="33">
        <v>2</v>
      </c>
      <c r="G38" s="33"/>
      <c r="H38" s="33"/>
      <c r="I38" s="33"/>
      <c r="J38" s="39">
        <v>1</v>
      </c>
      <c r="K38" s="8"/>
      <c r="L38" s="8"/>
      <c r="M38" s="45" t="s">
        <v>45</v>
      </c>
      <c r="N38" s="45">
        <f t="shared" si="3"/>
        <v>3327</v>
      </c>
      <c r="O38" s="45">
        <f t="shared" si="4"/>
        <v>0</v>
      </c>
      <c r="P38" s="45">
        <f t="shared" si="5"/>
        <v>0</v>
      </c>
      <c r="Q38" s="45">
        <f t="shared" si="6"/>
        <v>0</v>
      </c>
      <c r="R38" s="45">
        <f t="shared" si="7"/>
        <v>6146.7</v>
      </c>
      <c r="S38" s="45">
        <f t="shared" si="8"/>
        <v>4931.25</v>
      </c>
      <c r="T38" s="45">
        <f t="shared" si="9"/>
        <v>2772.5</v>
      </c>
      <c r="U38" s="45">
        <f t="shared" si="10"/>
        <v>1809</v>
      </c>
      <c r="V38" s="45">
        <f t="shared" si="11"/>
        <v>9473.7</v>
      </c>
      <c r="W38" s="45">
        <v>7.25</v>
      </c>
      <c r="X38" s="45">
        <f t="shared" si="12"/>
        <v>0.882</v>
      </c>
      <c r="Y38" s="45">
        <f t="shared" si="13"/>
        <v>77873.3843537415</v>
      </c>
    </row>
    <row r="39" spans="1:25">
      <c r="A39" s="8"/>
      <c r="B39" s="28" t="s">
        <v>26</v>
      </c>
      <c r="C39" s="32"/>
      <c r="D39" s="33"/>
      <c r="E39" s="33"/>
      <c r="F39" s="33">
        <v>4</v>
      </c>
      <c r="G39" s="33">
        <v>1</v>
      </c>
      <c r="H39" s="33">
        <v>2</v>
      </c>
      <c r="I39" s="33">
        <v>4</v>
      </c>
      <c r="J39" s="39">
        <v>1</v>
      </c>
      <c r="K39" s="8"/>
      <c r="L39" s="8"/>
      <c r="M39" s="45" t="s">
        <v>46</v>
      </c>
      <c r="N39" s="45">
        <f t="shared" si="3"/>
        <v>6654</v>
      </c>
      <c r="O39" s="45">
        <f t="shared" si="4"/>
        <v>2272.5</v>
      </c>
      <c r="P39" s="45">
        <f t="shared" si="5"/>
        <v>0</v>
      </c>
      <c r="Q39" s="45">
        <f t="shared" si="6"/>
        <v>0</v>
      </c>
      <c r="R39" s="45">
        <f t="shared" si="7"/>
        <v>12293.4</v>
      </c>
      <c r="S39" s="45">
        <f t="shared" si="8"/>
        <v>2465.625</v>
      </c>
      <c r="T39" s="45">
        <f t="shared" si="9"/>
        <v>4158.75</v>
      </c>
      <c r="U39" s="45">
        <f t="shared" si="10"/>
        <v>0</v>
      </c>
      <c r="V39" s="45">
        <f t="shared" si="11"/>
        <v>21219.9</v>
      </c>
      <c r="W39" s="45">
        <v>6.25</v>
      </c>
      <c r="X39" s="45">
        <f t="shared" si="12"/>
        <v>0.882</v>
      </c>
      <c r="Y39" s="45">
        <f t="shared" si="13"/>
        <v>150367.772108844</v>
      </c>
    </row>
    <row r="40" spans="1:25">
      <c r="A40" s="8"/>
      <c r="B40" s="28" t="s">
        <v>27</v>
      </c>
      <c r="C40" s="32"/>
      <c r="D40" s="33">
        <v>1</v>
      </c>
      <c r="E40" s="33">
        <v>2</v>
      </c>
      <c r="F40" s="33">
        <v>2</v>
      </c>
      <c r="G40" s="33"/>
      <c r="H40" s="33"/>
      <c r="I40" s="33"/>
      <c r="J40" s="39"/>
      <c r="K40" s="8"/>
      <c r="L40" s="8"/>
      <c r="M40" s="45" t="s">
        <v>47</v>
      </c>
      <c r="N40" s="45">
        <f t="shared" si="3"/>
        <v>0</v>
      </c>
      <c r="O40" s="45">
        <f t="shared" si="4"/>
        <v>4545</v>
      </c>
      <c r="P40" s="45">
        <f t="shared" si="5"/>
        <v>17574</v>
      </c>
      <c r="Q40" s="45">
        <f t="shared" si="6"/>
        <v>8377.6</v>
      </c>
      <c r="R40" s="45">
        <f t="shared" si="7"/>
        <v>3073.35</v>
      </c>
      <c r="S40" s="45">
        <f t="shared" si="8"/>
        <v>0</v>
      </c>
      <c r="T40" s="45">
        <f t="shared" si="9"/>
        <v>0</v>
      </c>
      <c r="U40" s="45">
        <f t="shared" si="10"/>
        <v>5427</v>
      </c>
      <c r="V40" s="45">
        <f t="shared" si="11"/>
        <v>33569.95</v>
      </c>
      <c r="W40" s="45">
        <v>10.5</v>
      </c>
      <c r="X40" s="45">
        <f t="shared" si="12"/>
        <v>0.882</v>
      </c>
      <c r="Y40" s="45">
        <f t="shared" si="13"/>
        <v>399642.261904762</v>
      </c>
    </row>
    <row r="41" spans="1:25">
      <c r="A41" s="8"/>
      <c r="B41" s="28" t="s">
        <v>29</v>
      </c>
      <c r="C41" s="32"/>
      <c r="D41" s="33">
        <v>1</v>
      </c>
      <c r="E41" s="33">
        <v>2</v>
      </c>
      <c r="F41" s="33"/>
      <c r="G41" s="33"/>
      <c r="H41" s="33">
        <v>1</v>
      </c>
      <c r="I41" s="33">
        <v>1</v>
      </c>
      <c r="J41" s="39"/>
      <c r="K41" s="8"/>
      <c r="L41" s="8"/>
      <c r="M41" s="45" t="s">
        <v>48</v>
      </c>
      <c r="N41" s="45">
        <f t="shared" si="3"/>
        <v>0</v>
      </c>
      <c r="O41" s="45">
        <f t="shared" si="4"/>
        <v>4545</v>
      </c>
      <c r="P41" s="45">
        <f t="shared" si="5"/>
        <v>13180.5</v>
      </c>
      <c r="Q41" s="45">
        <f t="shared" si="6"/>
        <v>6283.2</v>
      </c>
      <c r="R41" s="45">
        <f t="shared" si="7"/>
        <v>0</v>
      </c>
      <c r="S41" s="45">
        <f t="shared" si="8"/>
        <v>0</v>
      </c>
      <c r="T41" s="45">
        <f t="shared" si="9"/>
        <v>0</v>
      </c>
      <c r="U41" s="45">
        <f t="shared" si="10"/>
        <v>7236</v>
      </c>
      <c r="V41" s="45">
        <f t="shared" si="11"/>
        <v>24008.7</v>
      </c>
      <c r="W41" s="45">
        <v>5.75</v>
      </c>
      <c r="X41" s="45">
        <f t="shared" si="12"/>
        <v>0.882</v>
      </c>
      <c r="Y41" s="45">
        <f t="shared" si="13"/>
        <v>156519.302721088</v>
      </c>
    </row>
    <row r="42" spans="1:25">
      <c r="A42" s="8"/>
      <c r="B42" s="28" t="s">
        <v>30</v>
      </c>
      <c r="C42" s="32">
        <v>1</v>
      </c>
      <c r="D42" s="33"/>
      <c r="E42" s="33"/>
      <c r="F42" s="33"/>
      <c r="G42" s="33">
        <v>2</v>
      </c>
      <c r="H42" s="33"/>
      <c r="I42" s="33"/>
      <c r="J42" s="39">
        <v>3</v>
      </c>
      <c r="K42" s="8"/>
      <c r="L42" s="8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>
      <c r="A43" s="8"/>
      <c r="B43" s="28" t="s">
        <v>31</v>
      </c>
      <c r="C43" s="32"/>
      <c r="D43" s="33">
        <v>4</v>
      </c>
      <c r="E43" s="33"/>
      <c r="F43" s="33"/>
      <c r="G43" s="33">
        <v>4</v>
      </c>
      <c r="H43" s="33"/>
      <c r="I43" s="33">
        <v>1</v>
      </c>
      <c r="J43" s="39">
        <v>1</v>
      </c>
      <c r="K43" s="8"/>
      <c r="L43" s="8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>
      <c r="A44" s="8"/>
      <c r="B44" s="28" t="s">
        <v>32</v>
      </c>
      <c r="C44" s="32"/>
      <c r="D44" s="33"/>
      <c r="E44" s="33"/>
      <c r="F44" s="33">
        <v>4</v>
      </c>
      <c r="G44" s="33"/>
      <c r="H44" s="33">
        <v>2</v>
      </c>
      <c r="I44" s="33">
        <v>2</v>
      </c>
      <c r="J44" s="39">
        <v>3</v>
      </c>
      <c r="K44" s="8"/>
      <c r="L44" s="8"/>
      <c r="M44" s="45" t="s">
        <v>49</v>
      </c>
      <c r="N44" s="45" t="s">
        <v>6</v>
      </c>
      <c r="O44" s="45" t="s">
        <v>7</v>
      </c>
      <c r="P44" s="45" t="s">
        <v>8</v>
      </c>
      <c r="Q44" s="45" t="s">
        <v>9</v>
      </c>
      <c r="R44" s="45" t="s">
        <v>10</v>
      </c>
      <c r="S44" s="45" t="s">
        <v>132</v>
      </c>
      <c r="T44" s="45" t="s">
        <v>133</v>
      </c>
      <c r="U44" s="45" t="s">
        <v>134</v>
      </c>
      <c r="V44" s="45" t="s">
        <v>50</v>
      </c>
      <c r="W44" s="45" t="s">
        <v>51</v>
      </c>
      <c r="X44" s="45"/>
      <c r="Y44" s="45"/>
    </row>
    <row r="45" spans="1:25">
      <c r="A45" s="8"/>
      <c r="B45" s="28" t="s">
        <v>34</v>
      </c>
      <c r="C45" s="32"/>
      <c r="D45" s="33">
        <v>2</v>
      </c>
      <c r="E45" s="33">
        <v>2</v>
      </c>
      <c r="F45" s="33"/>
      <c r="G45" s="33"/>
      <c r="H45" s="33">
        <v>1</v>
      </c>
      <c r="I45" s="33">
        <v>2</v>
      </c>
      <c r="J45" s="39"/>
      <c r="K45" s="8"/>
      <c r="L45" s="8"/>
      <c r="M45" s="45" t="s">
        <v>24</v>
      </c>
      <c r="N45" s="45">
        <f t="shared" ref="N45:N64" si="14">$N$19*C37</f>
        <v>20.79375</v>
      </c>
      <c r="O45" s="45">
        <f t="shared" ref="O45:O64" si="15">$O$19*D37</f>
        <v>56.8125</v>
      </c>
      <c r="P45" s="45">
        <f t="shared" ref="P45:P64" si="16">$P$19*E37</f>
        <v>219.675</v>
      </c>
      <c r="Q45" s="45">
        <f t="shared" ref="Q45:Q64" si="17">$Q$19*F37</f>
        <v>104.72</v>
      </c>
      <c r="R45" s="45">
        <f t="shared" ref="R45:R64" si="18">$R$19*G37</f>
        <v>38.416875</v>
      </c>
      <c r="S45" s="45">
        <f t="shared" ref="S45:S64" si="19">$S$19*H37</f>
        <v>0</v>
      </c>
      <c r="T45" s="45">
        <f t="shared" ref="T45:T64" si="20">$T$19*I37</f>
        <v>0</v>
      </c>
      <c r="U45" s="45">
        <f t="shared" ref="U45:U64" si="21">$U$19*J37</f>
        <v>45.225</v>
      </c>
      <c r="V45" s="45">
        <f t="shared" ref="V45:V64" si="22">SUM(N45:R45)</f>
        <v>440.418125</v>
      </c>
      <c r="W45" s="45">
        <v>444</v>
      </c>
      <c r="X45" s="45">
        <f t="shared" ref="X45:X64" si="23">W45*X22</f>
        <v>391.608</v>
      </c>
      <c r="Y45" s="45">
        <f t="shared" ref="Y45:Y64" si="24">X45-V45</f>
        <v>-48.810125</v>
      </c>
    </row>
    <row r="46" spans="1:25">
      <c r="A46" s="8"/>
      <c r="B46" s="28" t="s">
        <v>36</v>
      </c>
      <c r="C46" s="32">
        <v>1</v>
      </c>
      <c r="D46" s="33"/>
      <c r="E46" s="33">
        <v>1</v>
      </c>
      <c r="F46" s="33">
        <v>1</v>
      </c>
      <c r="G46" s="33"/>
      <c r="H46" s="33"/>
      <c r="I46" s="33"/>
      <c r="J46" s="39">
        <v>1</v>
      </c>
      <c r="K46" s="8"/>
      <c r="L46" s="8"/>
      <c r="M46" s="45" t="s">
        <v>25</v>
      </c>
      <c r="N46" s="45">
        <f t="shared" si="14"/>
        <v>83.175</v>
      </c>
      <c r="O46" s="45">
        <f t="shared" si="15"/>
        <v>0</v>
      </c>
      <c r="P46" s="45">
        <f t="shared" si="16"/>
        <v>109.8375</v>
      </c>
      <c r="Q46" s="45">
        <f t="shared" si="17"/>
        <v>52.36</v>
      </c>
      <c r="R46" s="45">
        <f t="shared" si="18"/>
        <v>0</v>
      </c>
      <c r="S46" s="45">
        <f t="shared" si="19"/>
        <v>0</v>
      </c>
      <c r="T46" s="45">
        <f t="shared" si="20"/>
        <v>0</v>
      </c>
      <c r="U46" s="45">
        <f t="shared" si="21"/>
        <v>22.6125</v>
      </c>
      <c r="V46" s="45">
        <f t="shared" si="22"/>
        <v>245.3725</v>
      </c>
      <c r="W46" s="45">
        <v>240</v>
      </c>
      <c r="X46" s="45">
        <f t="shared" si="23"/>
        <v>211.68</v>
      </c>
      <c r="Y46" s="45">
        <f t="shared" si="24"/>
        <v>-33.6925</v>
      </c>
    </row>
    <row r="47" spans="1:25">
      <c r="A47" s="8"/>
      <c r="B47" s="28" t="s">
        <v>37</v>
      </c>
      <c r="C47" s="32">
        <v>2</v>
      </c>
      <c r="D47" s="33"/>
      <c r="E47" s="33"/>
      <c r="F47" s="33"/>
      <c r="G47" s="33">
        <v>4</v>
      </c>
      <c r="H47" s="33">
        <v>4</v>
      </c>
      <c r="I47" s="33">
        <v>2</v>
      </c>
      <c r="J47" s="39"/>
      <c r="K47" s="8"/>
      <c r="L47" s="8"/>
      <c r="M47" s="45" t="s">
        <v>26</v>
      </c>
      <c r="N47" s="45">
        <f t="shared" si="14"/>
        <v>0</v>
      </c>
      <c r="O47" s="45">
        <f t="shared" si="15"/>
        <v>0</v>
      </c>
      <c r="P47" s="45">
        <f t="shared" si="16"/>
        <v>0</v>
      </c>
      <c r="Q47" s="45">
        <f t="shared" si="17"/>
        <v>104.72</v>
      </c>
      <c r="R47" s="45">
        <f t="shared" si="18"/>
        <v>38.416875</v>
      </c>
      <c r="S47" s="45">
        <f t="shared" si="19"/>
        <v>61.640625</v>
      </c>
      <c r="T47" s="45">
        <f t="shared" si="20"/>
        <v>69.3125</v>
      </c>
      <c r="U47" s="45">
        <f t="shared" si="21"/>
        <v>22.6125</v>
      </c>
      <c r="V47" s="45">
        <f t="shared" si="22"/>
        <v>143.136875</v>
      </c>
      <c r="W47" s="45">
        <v>120</v>
      </c>
      <c r="X47" s="45">
        <f t="shared" si="23"/>
        <v>105.84</v>
      </c>
      <c r="Y47" s="45">
        <f t="shared" si="24"/>
        <v>-37.296875</v>
      </c>
    </row>
    <row r="48" spans="1:25">
      <c r="A48" s="8"/>
      <c r="B48" s="28" t="s">
        <v>38</v>
      </c>
      <c r="C48" s="32">
        <v>4</v>
      </c>
      <c r="D48" s="33"/>
      <c r="E48" s="33"/>
      <c r="F48" s="33"/>
      <c r="G48" s="33">
        <v>4</v>
      </c>
      <c r="H48" s="33">
        <v>3</v>
      </c>
      <c r="I48" s="33">
        <v>4</v>
      </c>
      <c r="J48" s="39"/>
      <c r="K48" s="8"/>
      <c r="L48" s="8"/>
      <c r="M48" s="45" t="s">
        <v>27</v>
      </c>
      <c r="N48" s="45">
        <f t="shared" si="14"/>
        <v>0</v>
      </c>
      <c r="O48" s="45">
        <f t="shared" si="15"/>
        <v>28.40625</v>
      </c>
      <c r="P48" s="45">
        <f t="shared" si="16"/>
        <v>109.8375</v>
      </c>
      <c r="Q48" s="45">
        <f t="shared" si="17"/>
        <v>52.36</v>
      </c>
      <c r="R48" s="45">
        <f t="shared" si="18"/>
        <v>0</v>
      </c>
      <c r="S48" s="45">
        <f t="shared" si="19"/>
        <v>0</v>
      </c>
      <c r="T48" s="45">
        <f t="shared" si="20"/>
        <v>0</v>
      </c>
      <c r="U48" s="45">
        <f t="shared" si="21"/>
        <v>0</v>
      </c>
      <c r="V48" s="45">
        <f t="shared" si="22"/>
        <v>190.60375</v>
      </c>
      <c r="W48" s="45">
        <v>192</v>
      </c>
      <c r="X48" s="45">
        <f t="shared" si="23"/>
        <v>169.344</v>
      </c>
      <c r="Y48" s="45">
        <f t="shared" si="24"/>
        <v>-21.25975</v>
      </c>
    </row>
    <row r="49" spans="1:25">
      <c r="A49" s="8"/>
      <c r="B49" s="28" t="s">
        <v>39</v>
      </c>
      <c r="C49" s="32">
        <v>2</v>
      </c>
      <c r="D49" s="33"/>
      <c r="E49" s="33"/>
      <c r="F49" s="33"/>
      <c r="G49" s="33">
        <v>2</v>
      </c>
      <c r="H49" s="33">
        <v>2</v>
      </c>
      <c r="I49" s="33">
        <v>1</v>
      </c>
      <c r="J49" s="39"/>
      <c r="K49" s="8"/>
      <c r="L49" s="8"/>
      <c r="M49" s="45" t="s">
        <v>29</v>
      </c>
      <c r="N49" s="45">
        <f t="shared" si="14"/>
        <v>0</v>
      </c>
      <c r="O49" s="45">
        <f t="shared" si="15"/>
        <v>28.40625</v>
      </c>
      <c r="P49" s="45">
        <f t="shared" si="16"/>
        <v>109.8375</v>
      </c>
      <c r="Q49" s="45">
        <f t="shared" si="17"/>
        <v>0</v>
      </c>
      <c r="R49" s="45">
        <f t="shared" si="18"/>
        <v>0</v>
      </c>
      <c r="S49" s="45">
        <f t="shared" si="19"/>
        <v>30.8203125</v>
      </c>
      <c r="T49" s="45">
        <f t="shared" si="20"/>
        <v>17.328125</v>
      </c>
      <c r="U49" s="45">
        <f t="shared" si="21"/>
        <v>0</v>
      </c>
      <c r="V49" s="45">
        <f t="shared" si="22"/>
        <v>138.24375</v>
      </c>
      <c r="W49" s="45">
        <v>154.285714285714</v>
      </c>
      <c r="X49" s="45">
        <f t="shared" si="23"/>
        <v>136.08</v>
      </c>
      <c r="Y49" s="45">
        <f t="shared" si="24"/>
        <v>-2.16375000000002</v>
      </c>
    </row>
    <row r="50" spans="1:25">
      <c r="A50" s="8"/>
      <c r="B50" s="28" t="s">
        <v>42</v>
      </c>
      <c r="C50" s="32"/>
      <c r="D50" s="33">
        <v>4</v>
      </c>
      <c r="E50" s="33">
        <v>2</v>
      </c>
      <c r="F50" s="33">
        <v>2</v>
      </c>
      <c r="G50" s="33">
        <v>2</v>
      </c>
      <c r="H50" s="33"/>
      <c r="I50" s="33"/>
      <c r="J50" s="39">
        <v>4</v>
      </c>
      <c r="K50" s="8"/>
      <c r="L50" s="8"/>
      <c r="M50" s="45" t="s">
        <v>30</v>
      </c>
      <c r="N50" s="45">
        <f t="shared" si="14"/>
        <v>20.79375</v>
      </c>
      <c r="O50" s="45">
        <f t="shared" si="15"/>
        <v>0</v>
      </c>
      <c r="P50" s="45">
        <f t="shared" si="16"/>
        <v>0</v>
      </c>
      <c r="Q50" s="45">
        <f t="shared" si="17"/>
        <v>0</v>
      </c>
      <c r="R50" s="45">
        <f t="shared" si="18"/>
        <v>76.83375</v>
      </c>
      <c r="S50" s="45">
        <f t="shared" si="19"/>
        <v>0</v>
      </c>
      <c r="T50" s="45">
        <f t="shared" si="20"/>
        <v>0</v>
      </c>
      <c r="U50" s="45">
        <f t="shared" si="21"/>
        <v>67.8375</v>
      </c>
      <c r="V50" s="45">
        <f t="shared" si="22"/>
        <v>97.6275</v>
      </c>
      <c r="W50" s="45">
        <v>87.2727272727273</v>
      </c>
      <c r="X50" s="45">
        <f t="shared" si="23"/>
        <v>76.9745454545454</v>
      </c>
      <c r="Y50" s="45">
        <f t="shared" si="24"/>
        <v>-20.6529545454545</v>
      </c>
    </row>
    <row r="51" spans="1:25">
      <c r="A51" s="8"/>
      <c r="B51" s="28" t="s">
        <v>43</v>
      </c>
      <c r="C51" s="32"/>
      <c r="D51" s="33"/>
      <c r="E51" s="33"/>
      <c r="F51" s="33">
        <v>2</v>
      </c>
      <c r="G51" s="33"/>
      <c r="H51" s="33">
        <v>2</v>
      </c>
      <c r="I51" s="33"/>
      <c r="J51" s="39">
        <v>1</v>
      </c>
      <c r="K51" s="8"/>
      <c r="L51" s="8"/>
      <c r="M51" s="45" t="s">
        <v>31</v>
      </c>
      <c r="N51" s="45">
        <f t="shared" si="14"/>
        <v>0</v>
      </c>
      <c r="O51" s="45">
        <f t="shared" si="15"/>
        <v>113.625</v>
      </c>
      <c r="P51" s="45">
        <f t="shared" si="16"/>
        <v>0</v>
      </c>
      <c r="Q51" s="45">
        <f t="shared" si="17"/>
        <v>0</v>
      </c>
      <c r="R51" s="45">
        <f t="shared" si="18"/>
        <v>153.6675</v>
      </c>
      <c r="S51" s="45">
        <f t="shared" si="19"/>
        <v>0</v>
      </c>
      <c r="T51" s="45">
        <f t="shared" si="20"/>
        <v>17.328125</v>
      </c>
      <c r="U51" s="45">
        <f t="shared" si="21"/>
        <v>22.6125</v>
      </c>
      <c r="V51" s="45">
        <f t="shared" si="22"/>
        <v>267.2925</v>
      </c>
      <c r="W51" s="45">
        <v>300</v>
      </c>
      <c r="X51" s="45">
        <f t="shared" si="23"/>
        <v>264.6</v>
      </c>
      <c r="Y51" s="45">
        <f t="shared" si="24"/>
        <v>-2.6925</v>
      </c>
    </row>
    <row r="52" spans="1:25">
      <c r="A52" s="8"/>
      <c r="B52" s="28" t="s">
        <v>44</v>
      </c>
      <c r="C52" s="32"/>
      <c r="D52" s="33">
        <v>1</v>
      </c>
      <c r="E52" s="33">
        <v>4</v>
      </c>
      <c r="F52" s="33"/>
      <c r="G52" s="33"/>
      <c r="H52" s="33"/>
      <c r="I52" s="33"/>
      <c r="J52" s="39"/>
      <c r="K52" s="8"/>
      <c r="L52" s="8"/>
      <c r="M52" s="45" t="s">
        <v>32</v>
      </c>
      <c r="N52" s="45">
        <f t="shared" si="14"/>
        <v>0</v>
      </c>
      <c r="O52" s="45">
        <f t="shared" si="15"/>
        <v>0</v>
      </c>
      <c r="P52" s="45">
        <f t="shared" si="16"/>
        <v>0</v>
      </c>
      <c r="Q52" s="45">
        <f t="shared" si="17"/>
        <v>104.72</v>
      </c>
      <c r="R52" s="45">
        <f t="shared" si="18"/>
        <v>0</v>
      </c>
      <c r="S52" s="45">
        <f t="shared" si="19"/>
        <v>61.640625</v>
      </c>
      <c r="T52" s="45">
        <f t="shared" si="20"/>
        <v>34.65625</v>
      </c>
      <c r="U52" s="45">
        <f t="shared" si="21"/>
        <v>67.8375</v>
      </c>
      <c r="V52" s="45">
        <f t="shared" si="22"/>
        <v>104.72</v>
      </c>
      <c r="W52" s="45">
        <v>90</v>
      </c>
      <c r="X52" s="45">
        <f t="shared" si="23"/>
        <v>79.38</v>
      </c>
      <c r="Y52" s="45">
        <f t="shared" si="24"/>
        <v>-25.34</v>
      </c>
    </row>
    <row r="53" spans="1:25">
      <c r="A53" s="8"/>
      <c r="B53" s="28" t="s">
        <v>45</v>
      </c>
      <c r="C53" s="32">
        <v>2</v>
      </c>
      <c r="D53" s="33"/>
      <c r="E53" s="33"/>
      <c r="F53" s="33"/>
      <c r="G53" s="33">
        <v>2</v>
      </c>
      <c r="H53" s="33">
        <v>2</v>
      </c>
      <c r="I53" s="33">
        <v>2</v>
      </c>
      <c r="J53" s="39">
        <v>1</v>
      </c>
      <c r="K53" s="8"/>
      <c r="L53" s="8"/>
      <c r="M53" s="45" t="s">
        <v>34</v>
      </c>
      <c r="N53" s="45">
        <f t="shared" si="14"/>
        <v>0</v>
      </c>
      <c r="O53" s="45">
        <f t="shared" si="15"/>
        <v>56.8125</v>
      </c>
      <c r="P53" s="45">
        <f t="shared" si="16"/>
        <v>109.8375</v>
      </c>
      <c r="Q53" s="45">
        <f t="shared" si="17"/>
        <v>0</v>
      </c>
      <c r="R53" s="45">
        <f t="shared" si="18"/>
        <v>0</v>
      </c>
      <c r="S53" s="45">
        <f t="shared" si="19"/>
        <v>30.8203125</v>
      </c>
      <c r="T53" s="45">
        <f t="shared" si="20"/>
        <v>34.65625</v>
      </c>
      <c r="U53" s="45">
        <f t="shared" si="21"/>
        <v>0</v>
      </c>
      <c r="V53" s="45">
        <f t="shared" si="22"/>
        <v>166.65</v>
      </c>
      <c r="W53" s="45">
        <v>192</v>
      </c>
      <c r="X53" s="45">
        <f t="shared" si="23"/>
        <v>169.344</v>
      </c>
      <c r="Y53" s="45">
        <f t="shared" si="24"/>
        <v>2.69399999999999</v>
      </c>
    </row>
    <row r="54" spans="1:25">
      <c r="A54" s="8"/>
      <c r="B54" s="28" t="s">
        <v>46</v>
      </c>
      <c r="C54" s="32">
        <v>4</v>
      </c>
      <c r="D54" s="33">
        <v>1</v>
      </c>
      <c r="E54" s="33"/>
      <c r="F54" s="33"/>
      <c r="G54" s="33">
        <v>4</v>
      </c>
      <c r="H54" s="33">
        <v>1</v>
      </c>
      <c r="I54" s="33">
        <v>3</v>
      </c>
      <c r="J54" s="39"/>
      <c r="K54" s="8"/>
      <c r="L54" s="8"/>
      <c r="M54" s="45" t="s">
        <v>36</v>
      </c>
      <c r="N54" s="45">
        <f t="shared" si="14"/>
        <v>20.79375</v>
      </c>
      <c r="O54" s="45">
        <f t="shared" si="15"/>
        <v>0</v>
      </c>
      <c r="P54" s="45">
        <f t="shared" si="16"/>
        <v>54.91875</v>
      </c>
      <c r="Q54" s="45">
        <f t="shared" si="17"/>
        <v>26.18</v>
      </c>
      <c r="R54" s="45">
        <f t="shared" si="18"/>
        <v>0</v>
      </c>
      <c r="S54" s="45">
        <f t="shared" si="19"/>
        <v>0</v>
      </c>
      <c r="T54" s="45">
        <f t="shared" si="20"/>
        <v>0</v>
      </c>
      <c r="U54" s="45">
        <f t="shared" si="21"/>
        <v>22.6125</v>
      </c>
      <c r="V54" s="45">
        <f t="shared" si="22"/>
        <v>101.8925</v>
      </c>
      <c r="W54" s="45">
        <v>96</v>
      </c>
      <c r="X54" s="45">
        <f t="shared" si="23"/>
        <v>84.672</v>
      </c>
      <c r="Y54" s="45">
        <f t="shared" si="24"/>
        <v>-17.2205</v>
      </c>
    </row>
    <row r="55" spans="1:25">
      <c r="A55" s="8"/>
      <c r="B55" s="28" t="s">
        <v>47</v>
      </c>
      <c r="C55" s="32"/>
      <c r="D55" s="33">
        <v>2</v>
      </c>
      <c r="E55" s="33">
        <v>4</v>
      </c>
      <c r="F55" s="33">
        <v>4</v>
      </c>
      <c r="G55" s="33">
        <v>1</v>
      </c>
      <c r="H55" s="33"/>
      <c r="I55" s="33"/>
      <c r="J55" s="39">
        <v>3</v>
      </c>
      <c r="K55" s="8"/>
      <c r="L55" s="8"/>
      <c r="M55" s="45" t="s">
        <v>37</v>
      </c>
      <c r="N55" s="45">
        <f t="shared" si="14"/>
        <v>41.5875</v>
      </c>
      <c r="O55" s="45">
        <f t="shared" si="15"/>
        <v>0</v>
      </c>
      <c r="P55" s="45">
        <f t="shared" si="16"/>
        <v>0</v>
      </c>
      <c r="Q55" s="45">
        <f t="shared" si="17"/>
        <v>0</v>
      </c>
      <c r="R55" s="45">
        <f t="shared" si="18"/>
        <v>153.6675</v>
      </c>
      <c r="S55" s="45">
        <f t="shared" si="19"/>
        <v>123.28125</v>
      </c>
      <c r="T55" s="45">
        <f t="shared" si="20"/>
        <v>34.65625</v>
      </c>
      <c r="U55" s="45">
        <f t="shared" si="21"/>
        <v>0</v>
      </c>
      <c r="V55" s="45">
        <f t="shared" si="22"/>
        <v>195.255</v>
      </c>
      <c r="W55" s="45">
        <v>168</v>
      </c>
      <c r="X55" s="45">
        <f t="shared" si="23"/>
        <v>148.176</v>
      </c>
      <c r="Y55" s="45">
        <f t="shared" si="24"/>
        <v>-47.079</v>
      </c>
    </row>
    <row r="56" spans="1:25">
      <c r="A56" s="8"/>
      <c r="B56" s="14" t="s">
        <v>48</v>
      </c>
      <c r="C56" s="15"/>
      <c r="D56" s="16">
        <v>2</v>
      </c>
      <c r="E56" s="16">
        <v>3</v>
      </c>
      <c r="F56" s="16">
        <v>3</v>
      </c>
      <c r="G56" s="16"/>
      <c r="H56" s="16"/>
      <c r="I56" s="16"/>
      <c r="J56" s="44">
        <v>4</v>
      </c>
      <c r="K56" s="8"/>
      <c r="L56" s="8"/>
      <c r="M56" s="45" t="s">
        <v>38</v>
      </c>
      <c r="N56" s="45">
        <f t="shared" si="14"/>
        <v>83.175</v>
      </c>
      <c r="O56" s="45">
        <f t="shared" si="15"/>
        <v>0</v>
      </c>
      <c r="P56" s="45">
        <f t="shared" si="16"/>
        <v>0</v>
      </c>
      <c r="Q56" s="45">
        <f t="shared" si="17"/>
        <v>0</v>
      </c>
      <c r="R56" s="45">
        <f t="shared" si="18"/>
        <v>153.6675</v>
      </c>
      <c r="S56" s="45">
        <f t="shared" si="19"/>
        <v>92.4609375</v>
      </c>
      <c r="T56" s="45">
        <f t="shared" si="20"/>
        <v>69.3125</v>
      </c>
      <c r="U56" s="45">
        <f t="shared" si="21"/>
        <v>0</v>
      </c>
      <c r="V56" s="45">
        <f t="shared" si="22"/>
        <v>236.8425</v>
      </c>
      <c r="W56" s="45">
        <v>213.333333333333</v>
      </c>
      <c r="X56" s="45">
        <f t="shared" si="23"/>
        <v>188.16</v>
      </c>
      <c r="Y56" s="45">
        <f t="shared" si="24"/>
        <v>-48.6825</v>
      </c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45" t="s">
        <v>39</v>
      </c>
      <c r="N57" s="45">
        <f t="shared" si="14"/>
        <v>41.5875</v>
      </c>
      <c r="O57" s="45">
        <f t="shared" si="15"/>
        <v>0</v>
      </c>
      <c r="P57" s="45">
        <f t="shared" si="16"/>
        <v>0</v>
      </c>
      <c r="Q57" s="45">
        <f t="shared" si="17"/>
        <v>0</v>
      </c>
      <c r="R57" s="45">
        <f t="shared" si="18"/>
        <v>76.83375</v>
      </c>
      <c r="S57" s="45">
        <f t="shared" si="19"/>
        <v>61.640625</v>
      </c>
      <c r="T57" s="45">
        <f t="shared" si="20"/>
        <v>17.328125</v>
      </c>
      <c r="U57" s="45">
        <f t="shared" si="21"/>
        <v>0</v>
      </c>
      <c r="V57" s="45">
        <f t="shared" si="22"/>
        <v>118.42125</v>
      </c>
      <c r="W57" s="45">
        <v>106.666666666667</v>
      </c>
      <c r="X57" s="45">
        <f t="shared" si="23"/>
        <v>94.08</v>
      </c>
      <c r="Y57" s="45">
        <f t="shared" si="24"/>
        <v>-24.34125</v>
      </c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45" t="s">
        <v>42</v>
      </c>
      <c r="N58" s="45">
        <f t="shared" si="14"/>
        <v>0</v>
      </c>
      <c r="O58" s="45">
        <f t="shared" si="15"/>
        <v>113.625</v>
      </c>
      <c r="P58" s="45">
        <f t="shared" si="16"/>
        <v>109.8375</v>
      </c>
      <c r="Q58" s="45">
        <f t="shared" si="17"/>
        <v>52.36</v>
      </c>
      <c r="R58" s="45">
        <f t="shared" si="18"/>
        <v>76.83375</v>
      </c>
      <c r="S58" s="45">
        <f t="shared" si="19"/>
        <v>0</v>
      </c>
      <c r="T58" s="45">
        <f t="shared" si="20"/>
        <v>0</v>
      </c>
      <c r="U58" s="45">
        <f t="shared" si="21"/>
        <v>90.45</v>
      </c>
      <c r="V58" s="45">
        <f t="shared" si="22"/>
        <v>352.65625</v>
      </c>
      <c r="W58" s="45">
        <v>400</v>
      </c>
      <c r="X58" s="45">
        <f t="shared" si="23"/>
        <v>352.8</v>
      </c>
      <c r="Y58" s="45">
        <f t="shared" si="24"/>
        <v>0.143750000000011</v>
      </c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45" t="s">
        <v>43</v>
      </c>
      <c r="N59" s="45">
        <f t="shared" si="14"/>
        <v>0</v>
      </c>
      <c r="O59" s="45">
        <f t="shared" si="15"/>
        <v>0</v>
      </c>
      <c r="P59" s="45">
        <f t="shared" si="16"/>
        <v>0</v>
      </c>
      <c r="Q59" s="45">
        <f t="shared" si="17"/>
        <v>52.36</v>
      </c>
      <c r="R59" s="45">
        <f t="shared" si="18"/>
        <v>0</v>
      </c>
      <c r="S59" s="45">
        <f t="shared" si="19"/>
        <v>61.640625</v>
      </c>
      <c r="T59" s="45">
        <f t="shared" si="20"/>
        <v>0</v>
      </c>
      <c r="U59" s="45">
        <f t="shared" si="21"/>
        <v>22.6125</v>
      </c>
      <c r="V59" s="45">
        <f t="shared" si="22"/>
        <v>52.36</v>
      </c>
      <c r="W59" s="45">
        <v>48</v>
      </c>
      <c r="X59" s="45">
        <f t="shared" si="23"/>
        <v>42.336</v>
      </c>
      <c r="Y59" s="45">
        <f t="shared" si="24"/>
        <v>-10.024</v>
      </c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45" t="s">
        <v>44</v>
      </c>
      <c r="N60" s="45">
        <f t="shared" si="14"/>
        <v>0</v>
      </c>
      <c r="O60" s="45">
        <f t="shared" si="15"/>
        <v>28.40625</v>
      </c>
      <c r="P60" s="45">
        <f t="shared" si="16"/>
        <v>219.675</v>
      </c>
      <c r="Q60" s="45">
        <f t="shared" si="17"/>
        <v>0</v>
      </c>
      <c r="R60" s="45">
        <f t="shared" si="18"/>
        <v>0</v>
      </c>
      <c r="S60" s="45">
        <f t="shared" si="19"/>
        <v>0</v>
      </c>
      <c r="T60" s="45">
        <f t="shared" si="20"/>
        <v>0</v>
      </c>
      <c r="U60" s="45">
        <f t="shared" si="21"/>
        <v>0</v>
      </c>
      <c r="V60" s="45">
        <f t="shared" si="22"/>
        <v>248.08125</v>
      </c>
      <c r="W60" s="45">
        <v>264</v>
      </c>
      <c r="X60" s="45">
        <f t="shared" si="23"/>
        <v>232.848</v>
      </c>
      <c r="Y60" s="45">
        <f t="shared" si="24"/>
        <v>-15.23325</v>
      </c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45" t="s">
        <v>45</v>
      </c>
      <c r="N61" s="45">
        <f t="shared" si="14"/>
        <v>41.5875</v>
      </c>
      <c r="O61" s="45">
        <f t="shared" si="15"/>
        <v>0</v>
      </c>
      <c r="P61" s="45">
        <f t="shared" si="16"/>
        <v>0</v>
      </c>
      <c r="Q61" s="45">
        <f t="shared" si="17"/>
        <v>0</v>
      </c>
      <c r="R61" s="45">
        <f t="shared" si="18"/>
        <v>76.83375</v>
      </c>
      <c r="S61" s="45">
        <f t="shared" si="19"/>
        <v>61.640625</v>
      </c>
      <c r="T61" s="45">
        <f t="shared" si="20"/>
        <v>34.65625</v>
      </c>
      <c r="U61" s="45">
        <f t="shared" si="21"/>
        <v>22.6125</v>
      </c>
      <c r="V61" s="45">
        <f t="shared" si="22"/>
        <v>118.42125</v>
      </c>
      <c r="W61" s="45">
        <v>102.857142857143</v>
      </c>
      <c r="X61" s="45">
        <f t="shared" si="23"/>
        <v>90.72</v>
      </c>
      <c r="Y61" s="45">
        <f t="shared" si="24"/>
        <v>-27.70125</v>
      </c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45" t="s">
        <v>46</v>
      </c>
      <c r="N62" s="45">
        <f t="shared" si="14"/>
        <v>83.175</v>
      </c>
      <c r="O62" s="45">
        <f t="shared" si="15"/>
        <v>28.40625</v>
      </c>
      <c r="P62" s="45">
        <f t="shared" si="16"/>
        <v>0</v>
      </c>
      <c r="Q62" s="45">
        <f t="shared" si="17"/>
        <v>0</v>
      </c>
      <c r="R62" s="45">
        <f t="shared" si="18"/>
        <v>153.6675</v>
      </c>
      <c r="S62" s="45">
        <f t="shared" si="19"/>
        <v>30.8203125</v>
      </c>
      <c r="T62" s="45">
        <f t="shared" si="20"/>
        <v>51.984375</v>
      </c>
      <c r="U62" s="45">
        <f t="shared" si="21"/>
        <v>0</v>
      </c>
      <c r="V62" s="45">
        <f t="shared" si="22"/>
        <v>265.24875</v>
      </c>
      <c r="W62" s="45">
        <v>256</v>
      </c>
      <c r="X62" s="45">
        <f t="shared" si="23"/>
        <v>225.792</v>
      </c>
      <c r="Y62" s="45">
        <f t="shared" si="24"/>
        <v>-39.45675</v>
      </c>
    </row>
    <row r="63" spans="13:25">
      <c r="M63" s="45" t="s">
        <v>47</v>
      </c>
      <c r="N63" s="45">
        <f t="shared" si="14"/>
        <v>0</v>
      </c>
      <c r="O63" s="45">
        <f t="shared" si="15"/>
        <v>56.8125</v>
      </c>
      <c r="P63" s="45">
        <f t="shared" si="16"/>
        <v>219.675</v>
      </c>
      <c r="Q63" s="45">
        <f t="shared" si="17"/>
        <v>104.72</v>
      </c>
      <c r="R63" s="45">
        <f t="shared" si="18"/>
        <v>38.416875</v>
      </c>
      <c r="S63" s="45">
        <f t="shared" si="19"/>
        <v>0</v>
      </c>
      <c r="T63" s="45">
        <f t="shared" si="20"/>
        <v>0</v>
      </c>
      <c r="U63" s="45">
        <f t="shared" si="21"/>
        <v>67.8375</v>
      </c>
      <c r="V63" s="45">
        <f t="shared" si="22"/>
        <v>419.624375</v>
      </c>
      <c r="W63" s="45">
        <v>422.4</v>
      </c>
      <c r="X63" s="45">
        <f t="shared" si="23"/>
        <v>372.5568</v>
      </c>
      <c r="Y63" s="45">
        <f t="shared" si="24"/>
        <v>-47.067575</v>
      </c>
    </row>
    <row r="64" spans="13:25">
      <c r="M64" s="45" t="s">
        <v>48</v>
      </c>
      <c r="N64" s="45">
        <f t="shared" si="14"/>
        <v>0</v>
      </c>
      <c r="O64" s="45">
        <f t="shared" si="15"/>
        <v>56.8125</v>
      </c>
      <c r="P64" s="45">
        <f t="shared" si="16"/>
        <v>164.75625</v>
      </c>
      <c r="Q64" s="45">
        <f t="shared" si="17"/>
        <v>78.54</v>
      </c>
      <c r="R64" s="45">
        <f t="shared" si="18"/>
        <v>0</v>
      </c>
      <c r="S64" s="45">
        <f t="shared" si="19"/>
        <v>0</v>
      </c>
      <c r="T64" s="45">
        <f t="shared" si="20"/>
        <v>0</v>
      </c>
      <c r="U64" s="45">
        <f t="shared" si="21"/>
        <v>90.45</v>
      </c>
      <c r="V64" s="45">
        <f t="shared" si="22"/>
        <v>300.10875</v>
      </c>
      <c r="W64" s="45">
        <v>320</v>
      </c>
      <c r="X64" s="45">
        <f t="shared" si="23"/>
        <v>282.24</v>
      </c>
      <c r="Y64" s="45">
        <f t="shared" si="24"/>
        <v>-17.86875</v>
      </c>
    </row>
    <row r="67" spans="13:25">
      <c r="M67" s="47" t="s">
        <v>52</v>
      </c>
      <c r="N67" s="47" t="s">
        <v>6</v>
      </c>
      <c r="O67" s="47" t="s">
        <v>7</v>
      </c>
      <c r="P67" s="47" t="s">
        <v>8</v>
      </c>
      <c r="Q67" s="47" t="s">
        <v>9</v>
      </c>
      <c r="R67" s="47" t="s">
        <v>10</v>
      </c>
      <c r="S67" s="47" t="s">
        <v>132</v>
      </c>
      <c r="T67" s="47" t="s">
        <v>133</v>
      </c>
      <c r="U67" s="47" t="s">
        <v>134</v>
      </c>
      <c r="V67" s="47" t="s">
        <v>140</v>
      </c>
      <c r="W67" s="47" t="s">
        <v>20</v>
      </c>
      <c r="X67" s="47" t="s">
        <v>21</v>
      </c>
      <c r="Y67" s="47" t="s">
        <v>54</v>
      </c>
    </row>
    <row r="68" spans="13:25">
      <c r="M68" s="47" t="s">
        <v>24</v>
      </c>
      <c r="N68" s="47">
        <f>($C$18+2.576*$C$23)*C37</f>
        <v>64257.580017119</v>
      </c>
      <c r="O68" s="47">
        <f>($D$18+2.576*$D$23)*D37</f>
        <v>161572.740051357</v>
      </c>
      <c r="P68" s="47">
        <f>($E$18+2.576*$E$23)*E37</f>
        <v>640351.600342381</v>
      </c>
      <c r="Q68" s="47">
        <f>($F$18+2.576*$F$23)*F37</f>
        <v>355090.960205429</v>
      </c>
      <c r="R68" s="47">
        <f>($G$18+2.576*$G$23)*G37</f>
        <v>112915.160034238</v>
      </c>
      <c r="S68" s="47">
        <f>($H$18+2.576*$H$23)*H37</f>
        <v>0</v>
      </c>
      <c r="T68" s="47">
        <f>($I$18+2.576*$I$23)*I37</f>
        <v>0</v>
      </c>
      <c r="U68" s="47">
        <f>($J$18+2.576*$J$23)*J37</f>
        <v>160086.676037662</v>
      </c>
      <c r="V68" s="47">
        <f>SUM(N68:U68)</f>
        <v>1494274.71668819</v>
      </c>
      <c r="W68" s="47">
        <v>12.75</v>
      </c>
      <c r="X68" s="47">
        <f>0.98*0.9</f>
        <v>0.882</v>
      </c>
      <c r="Y68" s="47">
        <f>V68*W68/X68</f>
        <v>21600910.0201523</v>
      </c>
    </row>
    <row r="69" spans="13:25">
      <c r="M69" s="47" t="s">
        <v>25</v>
      </c>
      <c r="N69" s="47">
        <f t="shared" ref="N69:N87" si="25">($C$18+2.576*$C$23)*C38</f>
        <v>257030.320068476</v>
      </c>
      <c r="O69" s="47">
        <f t="shared" ref="O69:O87" si="26">($D$18+2.576*$D$23)*D38</f>
        <v>0</v>
      </c>
      <c r="P69" s="47">
        <f t="shared" ref="P69:P87" si="27">($E$18+2.576*$E$23)*E38</f>
        <v>320175.80017119</v>
      </c>
      <c r="Q69" s="47">
        <f t="shared" ref="Q69:Q87" si="28">($F$18+2.576*$F$23)*F38</f>
        <v>177545.480102714</v>
      </c>
      <c r="R69" s="47">
        <f t="shared" ref="R69:R87" si="29">($G$18+2.576*$G$23)*G38</f>
        <v>0</v>
      </c>
      <c r="S69" s="47">
        <f t="shared" ref="S69:S87" si="30">($H$18+2.576*$H$23)*H38</f>
        <v>0</v>
      </c>
      <c r="T69" s="47">
        <f t="shared" ref="T69:T87" si="31">($I$18+2.576*$I$23)*I38</f>
        <v>0</v>
      </c>
      <c r="U69" s="47">
        <f t="shared" ref="U69:U87" si="32">($J$18+2.576*$J$23)*J38</f>
        <v>80043.338018831</v>
      </c>
      <c r="V69" s="47">
        <f t="shared" ref="V69:V87" si="33">SUM(N69:U69)</f>
        <v>834794.938361212</v>
      </c>
      <c r="W69" s="47">
        <v>7.75</v>
      </c>
      <c r="X69" s="47">
        <f t="shared" ref="X69:X78" si="34">0.98*0.9</f>
        <v>0.882</v>
      </c>
      <c r="Y69" s="47">
        <f t="shared" ref="Y69:Y87" si="35">V69*W69/X69</f>
        <v>7335216.29512403</v>
      </c>
    </row>
    <row r="70" spans="13:25">
      <c r="M70" s="47" t="s">
        <v>26</v>
      </c>
      <c r="N70" s="47">
        <f t="shared" si="25"/>
        <v>0</v>
      </c>
      <c r="O70" s="47">
        <f t="shared" si="26"/>
        <v>0</v>
      </c>
      <c r="P70" s="47">
        <f t="shared" si="27"/>
        <v>0</v>
      </c>
      <c r="Q70" s="47">
        <f t="shared" si="28"/>
        <v>355090.960205429</v>
      </c>
      <c r="R70" s="47">
        <f t="shared" si="29"/>
        <v>112915.160034238</v>
      </c>
      <c r="S70" s="47">
        <f t="shared" si="30"/>
        <v>167145.480102714</v>
      </c>
      <c r="T70" s="47">
        <f t="shared" si="31"/>
        <v>221374.576123257</v>
      </c>
      <c r="U70" s="47">
        <f t="shared" si="32"/>
        <v>80043.338018831</v>
      </c>
      <c r="V70" s="47">
        <f t="shared" si="33"/>
        <v>936569.514484469</v>
      </c>
      <c r="W70" s="47">
        <v>9.5</v>
      </c>
      <c r="X70" s="47">
        <f t="shared" si="34"/>
        <v>0.882</v>
      </c>
      <c r="Y70" s="47">
        <f t="shared" si="35"/>
        <v>10087766.8793679</v>
      </c>
    </row>
    <row r="71" spans="13:25">
      <c r="M71" s="47" t="s">
        <v>27</v>
      </c>
      <c r="N71" s="47">
        <f t="shared" si="25"/>
        <v>0</v>
      </c>
      <c r="O71" s="47">
        <f t="shared" si="26"/>
        <v>80786.3700256786</v>
      </c>
      <c r="P71" s="47">
        <f t="shared" si="27"/>
        <v>320175.80017119</v>
      </c>
      <c r="Q71" s="47">
        <f t="shared" si="28"/>
        <v>177545.480102714</v>
      </c>
      <c r="R71" s="47">
        <f t="shared" si="29"/>
        <v>0</v>
      </c>
      <c r="S71" s="47">
        <f t="shared" si="30"/>
        <v>0</v>
      </c>
      <c r="T71" s="47">
        <f t="shared" si="31"/>
        <v>0</v>
      </c>
      <c r="U71" s="47">
        <f t="shared" si="32"/>
        <v>0</v>
      </c>
      <c r="V71" s="47">
        <f t="shared" si="33"/>
        <v>578507.650299583</v>
      </c>
      <c r="W71" s="47">
        <v>7.5</v>
      </c>
      <c r="X71" s="47">
        <f t="shared" si="34"/>
        <v>0.882</v>
      </c>
      <c r="Y71" s="47">
        <f t="shared" si="35"/>
        <v>4919282.74064272</v>
      </c>
    </row>
    <row r="72" spans="13:25">
      <c r="M72" s="47" t="s">
        <v>29</v>
      </c>
      <c r="N72" s="47">
        <f t="shared" si="25"/>
        <v>0</v>
      </c>
      <c r="O72" s="47">
        <f t="shared" si="26"/>
        <v>80786.3700256786</v>
      </c>
      <c r="P72" s="47">
        <f t="shared" si="27"/>
        <v>320175.80017119</v>
      </c>
      <c r="Q72" s="47">
        <f t="shared" si="28"/>
        <v>0</v>
      </c>
      <c r="R72" s="47">
        <f t="shared" si="29"/>
        <v>0</v>
      </c>
      <c r="S72" s="47">
        <f t="shared" si="30"/>
        <v>83572.7400513571</v>
      </c>
      <c r="T72" s="47">
        <f t="shared" si="31"/>
        <v>55343.6440308143</v>
      </c>
      <c r="U72" s="47">
        <f t="shared" si="32"/>
        <v>0</v>
      </c>
      <c r="V72" s="47">
        <f t="shared" si="33"/>
        <v>539878.55427904</v>
      </c>
      <c r="W72" s="47">
        <v>7.5</v>
      </c>
      <c r="X72" s="47">
        <f t="shared" si="34"/>
        <v>0.882</v>
      </c>
      <c r="Y72" s="47">
        <f t="shared" si="35"/>
        <v>4590804.03298504</v>
      </c>
    </row>
    <row r="73" spans="13:25">
      <c r="M73" s="47" t="s">
        <v>30</v>
      </c>
      <c r="N73" s="47">
        <f t="shared" si="25"/>
        <v>64257.580017119</v>
      </c>
      <c r="O73" s="47">
        <f t="shared" si="26"/>
        <v>0</v>
      </c>
      <c r="P73" s="47">
        <f t="shared" si="27"/>
        <v>0</v>
      </c>
      <c r="Q73" s="47">
        <f t="shared" si="28"/>
        <v>0</v>
      </c>
      <c r="R73" s="47">
        <f t="shared" si="29"/>
        <v>225830.320068476</v>
      </c>
      <c r="S73" s="47">
        <f t="shared" si="30"/>
        <v>0</v>
      </c>
      <c r="T73" s="47">
        <f t="shared" si="31"/>
        <v>0</v>
      </c>
      <c r="U73" s="47">
        <f t="shared" si="32"/>
        <v>240130.014056493</v>
      </c>
      <c r="V73" s="47">
        <f t="shared" si="33"/>
        <v>530217.914142088</v>
      </c>
      <c r="W73" s="47">
        <v>10.5</v>
      </c>
      <c r="X73" s="47">
        <f t="shared" si="34"/>
        <v>0.882</v>
      </c>
      <c r="Y73" s="47">
        <f t="shared" si="35"/>
        <v>6312118.02550105</v>
      </c>
    </row>
    <row r="74" spans="13:25">
      <c r="M74" s="47" t="s">
        <v>31</v>
      </c>
      <c r="N74" s="47">
        <f t="shared" si="25"/>
        <v>0</v>
      </c>
      <c r="O74" s="47">
        <f t="shared" si="26"/>
        <v>323145.480102714</v>
      </c>
      <c r="P74" s="47">
        <f t="shared" si="27"/>
        <v>0</v>
      </c>
      <c r="Q74" s="47">
        <f t="shared" si="28"/>
        <v>0</v>
      </c>
      <c r="R74" s="47">
        <f t="shared" si="29"/>
        <v>451660.640136952</v>
      </c>
      <c r="S74" s="47">
        <f t="shared" si="30"/>
        <v>0</v>
      </c>
      <c r="T74" s="47">
        <f t="shared" si="31"/>
        <v>55343.6440308143</v>
      </c>
      <c r="U74" s="47">
        <f t="shared" si="32"/>
        <v>80043.338018831</v>
      </c>
      <c r="V74" s="47">
        <f t="shared" si="33"/>
        <v>910193.102289312</v>
      </c>
      <c r="W74" s="47">
        <v>10</v>
      </c>
      <c r="X74" s="47">
        <f t="shared" si="34"/>
        <v>0.882</v>
      </c>
      <c r="Y74" s="47">
        <f t="shared" si="35"/>
        <v>10319649.6858199</v>
      </c>
    </row>
    <row r="75" spans="13:25">
      <c r="M75" s="47" t="s">
        <v>32</v>
      </c>
      <c r="N75" s="47">
        <f t="shared" si="25"/>
        <v>0</v>
      </c>
      <c r="O75" s="47">
        <f t="shared" si="26"/>
        <v>0</v>
      </c>
      <c r="P75" s="47">
        <f t="shared" si="27"/>
        <v>0</v>
      </c>
      <c r="Q75" s="47">
        <f t="shared" si="28"/>
        <v>355090.960205429</v>
      </c>
      <c r="R75" s="47">
        <f t="shared" si="29"/>
        <v>0</v>
      </c>
      <c r="S75" s="47">
        <f t="shared" si="30"/>
        <v>167145.480102714</v>
      </c>
      <c r="T75" s="47">
        <f t="shared" si="31"/>
        <v>110687.288061629</v>
      </c>
      <c r="U75" s="47">
        <f t="shared" si="32"/>
        <v>240130.014056493</v>
      </c>
      <c r="V75" s="47">
        <f t="shared" si="33"/>
        <v>873053.742426264</v>
      </c>
      <c r="W75" s="47">
        <v>4.75</v>
      </c>
      <c r="X75" s="47">
        <f t="shared" si="34"/>
        <v>0.882</v>
      </c>
      <c r="Y75" s="47">
        <f t="shared" si="35"/>
        <v>4701820.04141129</v>
      </c>
    </row>
    <row r="76" spans="13:25">
      <c r="M76" s="47" t="s">
        <v>34</v>
      </c>
      <c r="N76" s="47">
        <f t="shared" si="25"/>
        <v>0</v>
      </c>
      <c r="O76" s="47">
        <f t="shared" si="26"/>
        <v>161572.740051357</v>
      </c>
      <c r="P76" s="47">
        <f t="shared" si="27"/>
        <v>320175.80017119</v>
      </c>
      <c r="Q76" s="47">
        <f t="shared" si="28"/>
        <v>0</v>
      </c>
      <c r="R76" s="47">
        <f t="shared" si="29"/>
        <v>0</v>
      </c>
      <c r="S76" s="47">
        <f t="shared" si="30"/>
        <v>83572.7400513571</v>
      </c>
      <c r="T76" s="47">
        <f t="shared" si="31"/>
        <v>110687.288061629</v>
      </c>
      <c r="U76" s="47">
        <f t="shared" si="32"/>
        <v>0</v>
      </c>
      <c r="V76" s="47">
        <f t="shared" si="33"/>
        <v>676008.568335533</v>
      </c>
      <c r="W76" s="47">
        <v>8.5</v>
      </c>
      <c r="X76" s="47">
        <f t="shared" si="34"/>
        <v>0.882</v>
      </c>
      <c r="Y76" s="47">
        <f t="shared" si="35"/>
        <v>6514821.80368711</v>
      </c>
    </row>
    <row r="77" spans="13:25">
      <c r="M77" s="47" t="s">
        <v>36</v>
      </c>
      <c r="N77" s="47">
        <f t="shared" si="25"/>
        <v>64257.580017119</v>
      </c>
      <c r="O77" s="47">
        <f t="shared" si="26"/>
        <v>0</v>
      </c>
      <c r="P77" s="47">
        <f t="shared" si="27"/>
        <v>160087.900085595</v>
      </c>
      <c r="Q77" s="47">
        <f t="shared" si="28"/>
        <v>88772.7400513571</v>
      </c>
      <c r="R77" s="47">
        <f t="shared" si="29"/>
        <v>0</v>
      </c>
      <c r="S77" s="47">
        <f t="shared" si="30"/>
        <v>0</v>
      </c>
      <c r="T77" s="47">
        <f t="shared" si="31"/>
        <v>0</v>
      </c>
      <c r="U77" s="47">
        <f t="shared" si="32"/>
        <v>80043.338018831</v>
      </c>
      <c r="V77" s="47">
        <f t="shared" si="33"/>
        <v>393161.558172902</v>
      </c>
      <c r="W77" s="47">
        <v>6.5</v>
      </c>
      <c r="X77" s="47">
        <f t="shared" si="34"/>
        <v>0.882</v>
      </c>
      <c r="Y77" s="47">
        <f t="shared" si="35"/>
        <v>2897449.12485699</v>
      </c>
    </row>
    <row r="78" spans="13:25">
      <c r="M78" s="47" t="s">
        <v>37</v>
      </c>
      <c r="N78" s="47">
        <f t="shared" si="25"/>
        <v>128515.160034238</v>
      </c>
      <c r="O78" s="47">
        <f t="shared" si="26"/>
        <v>0</v>
      </c>
      <c r="P78" s="47">
        <f t="shared" si="27"/>
        <v>0</v>
      </c>
      <c r="Q78" s="47">
        <f t="shared" si="28"/>
        <v>0</v>
      </c>
      <c r="R78" s="47">
        <f t="shared" si="29"/>
        <v>451660.640136952</v>
      </c>
      <c r="S78" s="47">
        <f t="shared" si="30"/>
        <v>334290.960205429</v>
      </c>
      <c r="T78" s="47">
        <f t="shared" si="31"/>
        <v>110687.288061629</v>
      </c>
      <c r="U78" s="47">
        <f t="shared" si="32"/>
        <v>0</v>
      </c>
      <c r="V78" s="47">
        <f t="shared" si="33"/>
        <v>1025154.04843825</v>
      </c>
      <c r="W78" s="47">
        <v>4</v>
      </c>
      <c r="X78" s="47">
        <f t="shared" si="34"/>
        <v>0.882</v>
      </c>
      <c r="Y78" s="47">
        <f t="shared" si="35"/>
        <v>4649224.70947051</v>
      </c>
    </row>
    <row r="79" spans="13:25">
      <c r="M79" s="47" t="s">
        <v>38</v>
      </c>
      <c r="N79" s="47">
        <f t="shared" si="25"/>
        <v>257030.320068476</v>
      </c>
      <c r="O79" s="47">
        <f t="shared" si="26"/>
        <v>0</v>
      </c>
      <c r="P79" s="47">
        <f t="shared" si="27"/>
        <v>0</v>
      </c>
      <c r="Q79" s="47">
        <f t="shared" si="28"/>
        <v>0</v>
      </c>
      <c r="R79" s="47">
        <f t="shared" si="29"/>
        <v>451660.640136952</v>
      </c>
      <c r="S79" s="47">
        <f t="shared" si="30"/>
        <v>250718.220154071</v>
      </c>
      <c r="T79" s="47">
        <f t="shared" si="31"/>
        <v>221374.576123257</v>
      </c>
      <c r="U79" s="47">
        <f t="shared" si="32"/>
        <v>0</v>
      </c>
      <c r="V79" s="47">
        <f t="shared" si="33"/>
        <v>1180783.75648276</v>
      </c>
      <c r="W79" s="47">
        <v>6</v>
      </c>
      <c r="X79" s="47">
        <f t="shared" ref="X79:X87" si="36">0.98*0.9</f>
        <v>0.882</v>
      </c>
      <c r="Y79" s="47">
        <f t="shared" si="35"/>
        <v>8032542.56110719</v>
      </c>
    </row>
    <row r="80" spans="13:25">
      <c r="M80" s="47" t="s">
        <v>39</v>
      </c>
      <c r="N80" s="47">
        <f t="shared" si="25"/>
        <v>128515.160034238</v>
      </c>
      <c r="O80" s="47">
        <f t="shared" si="26"/>
        <v>0</v>
      </c>
      <c r="P80" s="47">
        <f t="shared" si="27"/>
        <v>0</v>
      </c>
      <c r="Q80" s="47">
        <f t="shared" si="28"/>
        <v>0</v>
      </c>
      <c r="R80" s="47">
        <f t="shared" si="29"/>
        <v>225830.320068476</v>
      </c>
      <c r="S80" s="47">
        <f t="shared" si="30"/>
        <v>167145.480102714</v>
      </c>
      <c r="T80" s="47">
        <f t="shared" si="31"/>
        <v>55343.6440308143</v>
      </c>
      <c r="U80" s="47">
        <f t="shared" si="32"/>
        <v>0</v>
      </c>
      <c r="V80" s="47">
        <f t="shared" si="33"/>
        <v>576834.604236243</v>
      </c>
      <c r="W80" s="47">
        <v>7.5</v>
      </c>
      <c r="X80" s="47">
        <f t="shared" si="36"/>
        <v>0.882</v>
      </c>
      <c r="Y80" s="47">
        <f t="shared" si="35"/>
        <v>4905056.15847145</v>
      </c>
    </row>
    <row r="81" spans="13:25">
      <c r="M81" s="47" t="s">
        <v>42</v>
      </c>
      <c r="N81" s="47">
        <f t="shared" si="25"/>
        <v>0</v>
      </c>
      <c r="O81" s="47">
        <f t="shared" si="26"/>
        <v>323145.480102714</v>
      </c>
      <c r="P81" s="47">
        <f t="shared" si="27"/>
        <v>320175.80017119</v>
      </c>
      <c r="Q81" s="47">
        <f t="shared" si="28"/>
        <v>177545.480102714</v>
      </c>
      <c r="R81" s="47">
        <f t="shared" si="29"/>
        <v>225830.320068476</v>
      </c>
      <c r="S81" s="47">
        <f t="shared" si="30"/>
        <v>0</v>
      </c>
      <c r="T81" s="47">
        <f t="shared" si="31"/>
        <v>0</v>
      </c>
      <c r="U81" s="47">
        <f t="shared" si="32"/>
        <v>320173.352075324</v>
      </c>
      <c r="V81" s="47">
        <f t="shared" si="33"/>
        <v>1366870.43252042</v>
      </c>
      <c r="W81" s="47">
        <v>4.75</v>
      </c>
      <c r="X81" s="47">
        <f t="shared" si="36"/>
        <v>0.882</v>
      </c>
      <c r="Y81" s="47">
        <f t="shared" si="35"/>
        <v>7361263.6672018</v>
      </c>
    </row>
    <row r="82" spans="13:25">
      <c r="M82" s="47" t="s">
        <v>43</v>
      </c>
      <c r="N82" s="47">
        <f t="shared" si="25"/>
        <v>0</v>
      </c>
      <c r="O82" s="47">
        <f t="shared" si="26"/>
        <v>0</v>
      </c>
      <c r="P82" s="47">
        <f t="shared" si="27"/>
        <v>0</v>
      </c>
      <c r="Q82" s="47">
        <f t="shared" si="28"/>
        <v>177545.480102714</v>
      </c>
      <c r="R82" s="47">
        <f t="shared" si="29"/>
        <v>0</v>
      </c>
      <c r="S82" s="47">
        <f t="shared" si="30"/>
        <v>167145.480102714</v>
      </c>
      <c r="T82" s="47">
        <f t="shared" si="31"/>
        <v>0</v>
      </c>
      <c r="U82" s="47">
        <f t="shared" si="32"/>
        <v>80043.338018831</v>
      </c>
      <c r="V82" s="47">
        <f t="shared" si="33"/>
        <v>424734.29822426</v>
      </c>
      <c r="W82" s="47">
        <v>7.5</v>
      </c>
      <c r="X82" s="47">
        <f t="shared" si="36"/>
        <v>0.882</v>
      </c>
      <c r="Y82" s="47">
        <f t="shared" si="35"/>
        <v>3611686.20938996</v>
      </c>
    </row>
    <row r="83" spans="13:25">
      <c r="M83" s="47" t="s">
        <v>44</v>
      </c>
      <c r="N83" s="47">
        <f t="shared" si="25"/>
        <v>0</v>
      </c>
      <c r="O83" s="47">
        <f t="shared" si="26"/>
        <v>80786.3700256786</v>
      </c>
      <c r="P83" s="47">
        <f t="shared" si="27"/>
        <v>640351.600342381</v>
      </c>
      <c r="Q83" s="47">
        <f t="shared" si="28"/>
        <v>0</v>
      </c>
      <c r="R83" s="47">
        <f t="shared" si="29"/>
        <v>0</v>
      </c>
      <c r="S83" s="47">
        <f t="shared" si="30"/>
        <v>0</v>
      </c>
      <c r="T83" s="47">
        <f t="shared" si="31"/>
        <v>0</v>
      </c>
      <c r="U83" s="47">
        <f t="shared" si="32"/>
        <v>0</v>
      </c>
      <c r="V83" s="47">
        <f t="shared" si="33"/>
        <v>721137.970368059</v>
      </c>
      <c r="W83" s="47">
        <v>10</v>
      </c>
      <c r="X83" s="47">
        <f t="shared" si="36"/>
        <v>0.882</v>
      </c>
      <c r="Y83" s="47">
        <f t="shared" si="35"/>
        <v>8176167.46449047</v>
      </c>
    </row>
    <row r="84" spans="13:25">
      <c r="M84" s="47" t="s">
        <v>45</v>
      </c>
      <c r="N84" s="47">
        <f t="shared" si="25"/>
        <v>128515.160034238</v>
      </c>
      <c r="O84" s="47">
        <f t="shared" si="26"/>
        <v>0</v>
      </c>
      <c r="P84" s="47">
        <f t="shared" si="27"/>
        <v>0</v>
      </c>
      <c r="Q84" s="47">
        <f t="shared" si="28"/>
        <v>0</v>
      </c>
      <c r="R84" s="47">
        <f t="shared" si="29"/>
        <v>225830.320068476</v>
      </c>
      <c r="S84" s="47">
        <f t="shared" si="30"/>
        <v>167145.480102714</v>
      </c>
      <c r="T84" s="47">
        <f t="shared" si="31"/>
        <v>110687.288061629</v>
      </c>
      <c r="U84" s="47">
        <f t="shared" si="32"/>
        <v>80043.338018831</v>
      </c>
      <c r="V84" s="47">
        <f t="shared" si="33"/>
        <v>712221.586285888</v>
      </c>
      <c r="W84" s="47">
        <v>7.25</v>
      </c>
      <c r="X84" s="47">
        <f t="shared" si="36"/>
        <v>0.882</v>
      </c>
      <c r="Y84" s="47">
        <f t="shared" si="35"/>
        <v>5854429.1389713</v>
      </c>
    </row>
    <row r="85" spans="13:25">
      <c r="M85" s="47" t="s">
        <v>46</v>
      </c>
      <c r="N85" s="47">
        <f t="shared" si="25"/>
        <v>257030.320068476</v>
      </c>
      <c r="O85" s="47">
        <f t="shared" si="26"/>
        <v>80786.3700256786</v>
      </c>
      <c r="P85" s="47">
        <f t="shared" si="27"/>
        <v>0</v>
      </c>
      <c r="Q85" s="47">
        <f t="shared" si="28"/>
        <v>0</v>
      </c>
      <c r="R85" s="47">
        <f t="shared" si="29"/>
        <v>451660.640136952</v>
      </c>
      <c r="S85" s="47">
        <f t="shared" si="30"/>
        <v>83572.7400513571</v>
      </c>
      <c r="T85" s="47">
        <f t="shared" si="31"/>
        <v>166030.932092443</v>
      </c>
      <c r="U85" s="47">
        <f t="shared" si="32"/>
        <v>0</v>
      </c>
      <c r="V85" s="47">
        <f t="shared" si="33"/>
        <v>1039081.00237491</v>
      </c>
      <c r="W85" s="47">
        <v>6.25</v>
      </c>
      <c r="X85" s="47">
        <f t="shared" si="36"/>
        <v>0.882</v>
      </c>
      <c r="Y85" s="47">
        <f t="shared" si="35"/>
        <v>7363102.34109203</v>
      </c>
    </row>
    <row r="86" spans="13:25">
      <c r="M86" s="47" t="s">
        <v>47</v>
      </c>
      <c r="N86" s="47">
        <f t="shared" si="25"/>
        <v>0</v>
      </c>
      <c r="O86" s="47">
        <f t="shared" si="26"/>
        <v>161572.740051357</v>
      </c>
      <c r="P86" s="47">
        <f t="shared" si="27"/>
        <v>640351.600342381</v>
      </c>
      <c r="Q86" s="47">
        <f t="shared" si="28"/>
        <v>355090.960205429</v>
      </c>
      <c r="R86" s="47">
        <f t="shared" si="29"/>
        <v>112915.160034238</v>
      </c>
      <c r="S86" s="47">
        <f t="shared" si="30"/>
        <v>0</v>
      </c>
      <c r="T86" s="47">
        <f t="shared" si="31"/>
        <v>0</v>
      </c>
      <c r="U86" s="47">
        <f t="shared" si="32"/>
        <v>240130.014056493</v>
      </c>
      <c r="V86" s="47">
        <f t="shared" si="33"/>
        <v>1510060.4746899</v>
      </c>
      <c r="W86" s="47">
        <v>10.5</v>
      </c>
      <c r="X86" s="47">
        <f t="shared" si="36"/>
        <v>0.882</v>
      </c>
      <c r="Y86" s="47">
        <f t="shared" si="35"/>
        <v>17976910.412975</v>
      </c>
    </row>
    <row r="87" spans="13:25">
      <c r="M87" s="47" t="s">
        <v>48</v>
      </c>
      <c r="N87" s="47">
        <f t="shared" si="25"/>
        <v>0</v>
      </c>
      <c r="O87" s="47">
        <f t="shared" si="26"/>
        <v>161572.740051357</v>
      </c>
      <c r="P87" s="47">
        <f t="shared" si="27"/>
        <v>480263.700256786</v>
      </c>
      <c r="Q87" s="47">
        <f t="shared" si="28"/>
        <v>266318.220154071</v>
      </c>
      <c r="R87" s="47">
        <f t="shared" si="29"/>
        <v>0</v>
      </c>
      <c r="S87" s="47">
        <f t="shared" si="30"/>
        <v>0</v>
      </c>
      <c r="T87" s="47">
        <f t="shared" si="31"/>
        <v>0</v>
      </c>
      <c r="U87" s="47">
        <f t="shared" si="32"/>
        <v>320173.352075324</v>
      </c>
      <c r="V87" s="47">
        <f t="shared" si="33"/>
        <v>1228328.01253754</v>
      </c>
      <c r="W87" s="47">
        <v>5.75</v>
      </c>
      <c r="X87" s="47">
        <f t="shared" si="36"/>
        <v>0.882</v>
      </c>
      <c r="Y87" s="47">
        <f t="shared" si="35"/>
        <v>8007807.33797148</v>
      </c>
    </row>
  </sheetData>
  <mergeCells count="5">
    <mergeCell ref="B16:H16"/>
    <mergeCell ref="B21:H21"/>
    <mergeCell ref="B26:H26"/>
    <mergeCell ref="B30:H30"/>
    <mergeCell ref="C35:J3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zoomScale="50" zoomScaleNormal="50" workbookViewId="0">
      <selection activeCell="B12" sqref="B12:B31"/>
    </sheetView>
  </sheetViews>
  <sheetFormatPr defaultColWidth="8.88888888888889" defaultRowHeight="17.6"/>
  <cols>
    <col min="1" max="1" width="22.4513888888889" customWidth="1"/>
    <col min="2" max="2" width="21.4097222222222" customWidth="1"/>
    <col min="3" max="3" width="14" customWidth="1"/>
    <col min="5" max="5" width="13.1944444444444" customWidth="1"/>
    <col min="6" max="6" width="18.4027777777778" customWidth="1"/>
    <col min="7" max="7" width="14.8125" customWidth="1"/>
    <col min="8" max="8" width="15.2777777777778" customWidth="1"/>
    <col min="9" max="9" width="10.2986111111111" customWidth="1"/>
    <col min="10" max="10" width="15.9652777777778" customWidth="1"/>
    <col min="11" max="11" width="11.5694444444444" customWidth="1"/>
    <col min="12" max="12" width="16.8958333333333" customWidth="1"/>
    <col min="13" max="13" width="10.2986111111111" customWidth="1"/>
    <col min="14" max="14" width="15.9375" customWidth="1"/>
    <col min="15" max="15" width="11.8263888888889" customWidth="1"/>
    <col min="16" max="16" width="17.4861111111111" customWidth="1"/>
    <col min="17" max="17" width="12.7222222222222" customWidth="1"/>
    <col min="18" max="18" width="12.9583333333333" customWidth="1"/>
    <col min="19" max="19" width="14.1180555555556" customWidth="1"/>
    <col min="20" max="20" width="14.3472222222222" customWidth="1"/>
    <col min="21" max="21" width="13.1875" customWidth="1"/>
    <col min="22" max="22" width="12.2638888888889" customWidth="1"/>
    <col min="23" max="23" width="14.8125" customWidth="1"/>
    <col min="24" max="24" width="15.0416666666667" customWidth="1"/>
  </cols>
  <sheetData>
    <row r="1" spans="1:2">
      <c r="A1" t="s">
        <v>55</v>
      </c>
      <c r="B1" t="s">
        <v>56</v>
      </c>
    </row>
    <row r="2" spans="1:2">
      <c r="A2" t="s">
        <v>57</v>
      </c>
      <c r="B2">
        <v>2</v>
      </c>
    </row>
    <row r="3" spans="1:2">
      <c r="A3" t="s">
        <v>58</v>
      </c>
      <c r="B3">
        <v>0.1</v>
      </c>
    </row>
    <row r="4" spans="1:2">
      <c r="A4" t="s">
        <v>59</v>
      </c>
      <c r="B4">
        <v>20</v>
      </c>
    </row>
    <row r="5" spans="1:2">
      <c r="A5" t="s">
        <v>60</v>
      </c>
      <c r="B5">
        <v>0.35</v>
      </c>
    </row>
    <row r="6" spans="1:2">
      <c r="A6" t="s">
        <v>61</v>
      </c>
      <c r="B6">
        <v>250</v>
      </c>
    </row>
    <row r="7" spans="1:2">
      <c r="A7" t="s">
        <v>62</v>
      </c>
      <c r="B7">
        <v>200</v>
      </c>
    </row>
    <row r="8" spans="1:2">
      <c r="A8" t="s">
        <v>63</v>
      </c>
      <c r="B8">
        <v>0.4</v>
      </c>
    </row>
    <row r="9" spans="1:2">
      <c r="A9" t="s">
        <v>64</v>
      </c>
      <c r="B9">
        <v>80</v>
      </c>
    </row>
    <row r="10" spans="1:2">
      <c r="A10" t="s">
        <v>65</v>
      </c>
      <c r="B10">
        <v>0.6</v>
      </c>
    </row>
    <row r="11" spans="1:24">
      <c r="A11" t="s">
        <v>40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s="5" t="s">
        <v>76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s="5" t="s">
        <v>85</v>
      </c>
      <c r="V11" s="5" t="s">
        <v>86</v>
      </c>
      <c r="W11" t="s">
        <v>87</v>
      </c>
      <c r="X11" t="s">
        <v>88</v>
      </c>
    </row>
    <row r="12" spans="1:24">
      <c r="A12" t="s">
        <v>24</v>
      </c>
      <c r="B12">
        <v>440.418125</v>
      </c>
      <c r="C12">
        <f t="shared" ref="C12:C31" si="0">INDEX($G$43:$G$62,MATCH($A12,$A$43:$A$62,0))</f>
        <v>0.0416666666666667</v>
      </c>
      <c r="D12">
        <f t="shared" ref="D12:D31" si="1">INDEX($F$43:$F$62,MATCH($A12,$A$43:$A$62,0))</f>
        <v>12</v>
      </c>
      <c r="E12">
        <f>B12*$B$2*$B$9</f>
        <v>70466.9</v>
      </c>
      <c r="F12">
        <f t="shared" ref="F12:F31" si="2">E12*C12</f>
        <v>2936.12083333333</v>
      </c>
      <c r="G12">
        <f t="shared" ref="G12:G31" si="3">E12*D12</f>
        <v>845602.8</v>
      </c>
      <c r="H12">
        <f t="shared" ref="H12:H31" si="4">E12*$B$8</f>
        <v>28186.76</v>
      </c>
      <c r="I12">
        <f t="shared" ref="I12:I31" si="5">E12-H12</f>
        <v>42280.14</v>
      </c>
      <c r="J12">
        <f t="shared" ref="J12:J31" si="6">H12*C12</f>
        <v>1174.44833333333</v>
      </c>
      <c r="K12">
        <f t="shared" ref="K12:K31" si="7">I12*C12</f>
        <v>1761.6725</v>
      </c>
      <c r="L12" s="5">
        <f>J12/($B$4*$B$5)</f>
        <v>167.778333333333</v>
      </c>
      <c r="M12">
        <f>K12/($B$4*$B$5)</f>
        <v>251.6675</v>
      </c>
      <c r="N12">
        <f t="shared" ref="N12:N31" si="8">L12*$B$6</f>
        <v>41944.5833333333</v>
      </c>
      <c r="O12">
        <f t="shared" ref="O12:O31" si="9">M12*$B$7</f>
        <v>50333.5</v>
      </c>
      <c r="P12">
        <f>E12*D12*$B$3</f>
        <v>84560.28</v>
      </c>
      <c r="Q12" s="3">
        <f t="shared" ref="Q12:Q31" si="10">I12*IF(INDEX($S$43:$S$62,MATCH($A12,$A$43:$A$62,0))=0,1,IF(INDEX($R$43:$R$62,MATCH($A12,$A$43:$A$62,0))=0,0,$B$10))</f>
        <v>25368.084</v>
      </c>
      <c r="R12" s="3">
        <f t="shared" ref="R12:R31" si="11">I12-Q12</f>
        <v>16912.056</v>
      </c>
      <c r="S12" s="3">
        <f t="shared" ref="S12:S31" si="12">Q12*C12</f>
        <v>1057.0035</v>
      </c>
      <c r="T12" s="3">
        <f t="shared" ref="T12:T31" si="13">R12*C12</f>
        <v>704.669</v>
      </c>
      <c r="U12" s="6">
        <f>S12/($B$4*$B$5)</f>
        <v>151.0005</v>
      </c>
      <c r="V12" s="6">
        <f>T12/($B$4*$B$5)</f>
        <v>100.667</v>
      </c>
      <c r="W12" s="3">
        <f t="shared" ref="W12:W31" si="14">U12*$B$7</f>
        <v>30200.1</v>
      </c>
      <c r="X12" s="3">
        <f t="shared" ref="X12:X31" si="15">V12*$B$7</f>
        <v>20133.4</v>
      </c>
    </row>
    <row r="13" spans="1:24">
      <c r="A13" t="s">
        <v>25</v>
      </c>
      <c r="B13">
        <v>245.3725</v>
      </c>
      <c r="C13">
        <f t="shared" si="0"/>
        <v>0.148148148148148</v>
      </c>
      <c r="D13">
        <f t="shared" si="1"/>
        <v>100</v>
      </c>
      <c r="E13">
        <f>B13*$B$2*$B$9</f>
        <v>39259.6</v>
      </c>
      <c r="F13">
        <f t="shared" si="2"/>
        <v>5816.23703703704</v>
      </c>
      <c r="G13">
        <f t="shared" si="3"/>
        <v>3925960</v>
      </c>
      <c r="H13">
        <f t="shared" si="4"/>
        <v>15703.84</v>
      </c>
      <c r="I13">
        <f t="shared" si="5"/>
        <v>23555.76</v>
      </c>
      <c r="J13">
        <f t="shared" si="6"/>
        <v>2326.49481481481</v>
      </c>
      <c r="K13">
        <f t="shared" si="7"/>
        <v>3489.74222222222</v>
      </c>
      <c r="L13" s="5">
        <f>J13/($B$4*$B$5)</f>
        <v>332.356402116402</v>
      </c>
      <c r="M13">
        <f>K13/($B$4*$B$5)</f>
        <v>498.534603174603</v>
      </c>
      <c r="N13">
        <f t="shared" si="8"/>
        <v>83089.1005291005</v>
      </c>
      <c r="O13">
        <f t="shared" si="9"/>
        <v>99706.9206349206</v>
      </c>
      <c r="P13">
        <f>E13*D13*$B$3</f>
        <v>392596</v>
      </c>
      <c r="Q13" s="3">
        <f t="shared" si="10"/>
        <v>14133.456</v>
      </c>
      <c r="R13" s="3">
        <f t="shared" si="11"/>
        <v>9422.304</v>
      </c>
      <c r="S13" s="3">
        <f t="shared" si="12"/>
        <v>2093.84533333333</v>
      </c>
      <c r="T13" s="3">
        <f t="shared" si="13"/>
        <v>1395.89688888889</v>
      </c>
      <c r="U13" s="6">
        <f>S13/($B$4*$B$5)</f>
        <v>299.120761904762</v>
      </c>
      <c r="V13" s="6">
        <f>T13/($B$4*$B$5)</f>
        <v>199.413841269841</v>
      </c>
      <c r="W13" s="3">
        <f t="shared" si="14"/>
        <v>59824.1523809524</v>
      </c>
      <c r="X13" s="3">
        <f t="shared" si="15"/>
        <v>39882.7682539683</v>
      </c>
    </row>
    <row r="14" spans="1:24">
      <c r="A14" t="s">
        <v>26</v>
      </c>
      <c r="B14">
        <v>143.136875</v>
      </c>
      <c r="C14">
        <f t="shared" si="0"/>
        <v>0.125</v>
      </c>
      <c r="D14">
        <f t="shared" si="1"/>
        <v>50</v>
      </c>
      <c r="E14">
        <f>B14*$B$2*$B$9</f>
        <v>22901.9</v>
      </c>
      <c r="F14">
        <f t="shared" si="2"/>
        <v>2862.7375</v>
      </c>
      <c r="G14">
        <f t="shared" si="3"/>
        <v>1145095</v>
      </c>
      <c r="H14">
        <f t="shared" si="4"/>
        <v>9160.76</v>
      </c>
      <c r="I14">
        <f t="shared" si="5"/>
        <v>13741.14</v>
      </c>
      <c r="J14">
        <f t="shared" si="6"/>
        <v>1145.095</v>
      </c>
      <c r="K14">
        <f t="shared" si="7"/>
        <v>1717.6425</v>
      </c>
      <c r="L14" s="5">
        <f>J14/($B$4*$B$5)</f>
        <v>163.585</v>
      </c>
      <c r="M14">
        <f>K14/($B$4*$B$5)</f>
        <v>245.3775</v>
      </c>
      <c r="N14">
        <f t="shared" si="8"/>
        <v>40896.25</v>
      </c>
      <c r="O14">
        <f t="shared" si="9"/>
        <v>49075.5</v>
      </c>
      <c r="P14">
        <f>E14*D14*$B$3</f>
        <v>114509.5</v>
      </c>
      <c r="Q14" s="3">
        <f t="shared" si="10"/>
        <v>8244.684</v>
      </c>
      <c r="R14" s="3">
        <f t="shared" si="11"/>
        <v>5496.456</v>
      </c>
      <c r="S14" s="3">
        <f t="shared" si="12"/>
        <v>1030.5855</v>
      </c>
      <c r="T14" s="3">
        <f t="shared" si="13"/>
        <v>687.057</v>
      </c>
      <c r="U14" s="6">
        <f>S14/($B$4*$B$5)</f>
        <v>147.2265</v>
      </c>
      <c r="V14" s="6">
        <f>T14/($B$4*$B$5)</f>
        <v>98.151</v>
      </c>
      <c r="W14" s="3">
        <f t="shared" si="14"/>
        <v>29445.3</v>
      </c>
      <c r="X14" s="3">
        <f t="shared" si="15"/>
        <v>19630.2</v>
      </c>
    </row>
    <row r="15" spans="1:24">
      <c r="A15" t="s">
        <v>27</v>
      </c>
      <c r="B15">
        <v>190.60375</v>
      </c>
      <c r="C15">
        <f t="shared" si="0"/>
        <v>0.166666666666667</v>
      </c>
      <c r="D15">
        <f t="shared" si="1"/>
        <v>120</v>
      </c>
      <c r="E15">
        <f>B15*$B$2*$B$9</f>
        <v>30496.6</v>
      </c>
      <c r="F15">
        <f t="shared" si="2"/>
        <v>5082.76666666667</v>
      </c>
      <c r="G15">
        <f t="shared" si="3"/>
        <v>3659592</v>
      </c>
      <c r="H15">
        <f t="shared" si="4"/>
        <v>12198.64</v>
      </c>
      <c r="I15">
        <f t="shared" si="5"/>
        <v>18297.96</v>
      </c>
      <c r="J15">
        <f t="shared" si="6"/>
        <v>2033.10666666667</v>
      </c>
      <c r="K15">
        <f t="shared" si="7"/>
        <v>3049.66</v>
      </c>
      <c r="L15" s="5">
        <f>J15/($B$4*$B$5)</f>
        <v>290.44380952381</v>
      </c>
      <c r="M15">
        <f>K15/($B$4*$B$5)</f>
        <v>435.665714285714</v>
      </c>
      <c r="N15">
        <f t="shared" si="8"/>
        <v>72610.9523809524</v>
      </c>
      <c r="O15">
        <f t="shared" si="9"/>
        <v>87133.1428571429</v>
      </c>
      <c r="P15">
        <f>E15*D15*$B$3</f>
        <v>365959.2</v>
      </c>
      <c r="Q15" s="3">
        <f t="shared" si="10"/>
        <v>10978.776</v>
      </c>
      <c r="R15" s="3">
        <f t="shared" si="11"/>
        <v>7319.184</v>
      </c>
      <c r="S15" s="3">
        <f t="shared" si="12"/>
        <v>1829.796</v>
      </c>
      <c r="T15" s="3">
        <f t="shared" si="13"/>
        <v>1219.864</v>
      </c>
      <c r="U15" s="6">
        <f>S15/($B$4*$B$5)</f>
        <v>261.399428571429</v>
      </c>
      <c r="V15" s="6">
        <f>T15/($B$4*$B$5)</f>
        <v>174.266285714286</v>
      </c>
      <c r="W15" s="3">
        <f t="shared" si="14"/>
        <v>52279.8857142857</v>
      </c>
      <c r="X15" s="3">
        <f t="shared" si="15"/>
        <v>34853.2571428571</v>
      </c>
    </row>
    <row r="16" spans="1:24">
      <c r="A16" t="s">
        <v>29</v>
      </c>
      <c r="B16">
        <v>138.24375</v>
      </c>
      <c r="C16">
        <f t="shared" si="0"/>
        <v>0.111111111111111</v>
      </c>
      <c r="D16">
        <f t="shared" si="1"/>
        <v>50</v>
      </c>
      <c r="E16">
        <f>B16*$B$2*$B$9</f>
        <v>22119</v>
      </c>
      <c r="F16">
        <f t="shared" si="2"/>
        <v>2457.66666666667</v>
      </c>
      <c r="G16">
        <f t="shared" si="3"/>
        <v>1105950</v>
      </c>
      <c r="H16">
        <f t="shared" si="4"/>
        <v>8847.6</v>
      </c>
      <c r="I16">
        <f t="shared" si="5"/>
        <v>13271.4</v>
      </c>
      <c r="J16">
        <f t="shared" si="6"/>
        <v>983.066666666667</v>
      </c>
      <c r="K16">
        <f t="shared" si="7"/>
        <v>1474.6</v>
      </c>
      <c r="L16" s="5">
        <f>J16/($B$4*$B$5)</f>
        <v>140.438095238095</v>
      </c>
      <c r="M16">
        <f>K16/($B$4*$B$5)</f>
        <v>210.657142857143</v>
      </c>
      <c r="N16">
        <f t="shared" si="8"/>
        <v>35109.5238095238</v>
      </c>
      <c r="O16">
        <f t="shared" si="9"/>
        <v>42131.4285714286</v>
      </c>
      <c r="P16">
        <f>E16*D16*$B$3</f>
        <v>110595</v>
      </c>
      <c r="Q16" s="3">
        <f t="shared" si="10"/>
        <v>7962.84</v>
      </c>
      <c r="R16" s="3">
        <f t="shared" si="11"/>
        <v>5308.56</v>
      </c>
      <c r="S16" s="3">
        <f t="shared" si="12"/>
        <v>884.76</v>
      </c>
      <c r="T16" s="3">
        <f t="shared" si="13"/>
        <v>589.84</v>
      </c>
      <c r="U16" s="6">
        <f>S16/($B$4*$B$5)</f>
        <v>126.394285714286</v>
      </c>
      <c r="V16" s="6">
        <f>T16/($B$4*$B$5)</f>
        <v>84.2628571428571</v>
      </c>
      <c r="W16" s="3">
        <f t="shared" si="14"/>
        <v>25278.8571428571</v>
      </c>
      <c r="X16" s="3">
        <f t="shared" si="15"/>
        <v>16852.5714285714</v>
      </c>
    </row>
    <row r="17" spans="1:24">
      <c r="A17" t="s">
        <v>30</v>
      </c>
      <c r="B17">
        <v>97.6275</v>
      </c>
      <c r="C17">
        <f t="shared" si="0"/>
        <v>0.0555555555555556</v>
      </c>
      <c r="D17">
        <f t="shared" si="1"/>
        <v>15</v>
      </c>
      <c r="E17">
        <f>B17*$B$2*$B$9</f>
        <v>15620.4</v>
      </c>
      <c r="F17">
        <f t="shared" si="2"/>
        <v>867.8</v>
      </c>
      <c r="G17">
        <f t="shared" si="3"/>
        <v>234306</v>
      </c>
      <c r="H17">
        <f t="shared" si="4"/>
        <v>6248.16</v>
      </c>
      <c r="I17">
        <f t="shared" si="5"/>
        <v>9372.24</v>
      </c>
      <c r="J17">
        <f t="shared" si="6"/>
        <v>347.12</v>
      </c>
      <c r="K17">
        <f t="shared" si="7"/>
        <v>520.68</v>
      </c>
      <c r="L17" s="5">
        <f>J17/($B$4*$B$5)</f>
        <v>49.5885714285714</v>
      </c>
      <c r="M17">
        <f>K17/($B$4*$B$5)</f>
        <v>74.3828571428571</v>
      </c>
      <c r="N17">
        <f t="shared" si="8"/>
        <v>12397.1428571429</v>
      </c>
      <c r="O17">
        <f t="shared" si="9"/>
        <v>14876.5714285714</v>
      </c>
      <c r="P17">
        <f>E17*D17*$B$3</f>
        <v>23430.6</v>
      </c>
      <c r="Q17" s="3">
        <f t="shared" si="10"/>
        <v>5623.344</v>
      </c>
      <c r="R17" s="3">
        <f t="shared" si="11"/>
        <v>3748.896</v>
      </c>
      <c r="S17" s="3">
        <f t="shared" si="12"/>
        <v>312.408</v>
      </c>
      <c r="T17" s="3">
        <f t="shared" si="13"/>
        <v>208.272</v>
      </c>
      <c r="U17" s="6">
        <f>S17/($B$4*$B$5)</f>
        <v>44.6297142857143</v>
      </c>
      <c r="V17" s="6">
        <f>T17/($B$4*$B$5)</f>
        <v>29.7531428571429</v>
      </c>
      <c r="W17" s="3">
        <f t="shared" si="14"/>
        <v>8925.94285714286</v>
      </c>
      <c r="X17" s="3">
        <f t="shared" si="15"/>
        <v>5950.62857142857</v>
      </c>
    </row>
    <row r="18" spans="1:24">
      <c r="A18" t="s">
        <v>31</v>
      </c>
      <c r="B18">
        <v>267.2925</v>
      </c>
      <c r="C18">
        <f t="shared" si="0"/>
        <v>0.0277777777777778</v>
      </c>
      <c r="D18">
        <f t="shared" si="1"/>
        <v>25</v>
      </c>
      <c r="E18">
        <f>B18*$B$2*$B$9</f>
        <v>42766.8</v>
      </c>
      <c r="F18">
        <f t="shared" si="2"/>
        <v>1187.96666666667</v>
      </c>
      <c r="G18">
        <f t="shared" si="3"/>
        <v>1069170</v>
      </c>
      <c r="H18">
        <f t="shared" si="4"/>
        <v>17106.72</v>
      </c>
      <c r="I18">
        <f t="shared" si="5"/>
        <v>25660.08</v>
      </c>
      <c r="J18">
        <f t="shared" si="6"/>
        <v>475.186666666667</v>
      </c>
      <c r="K18">
        <f t="shared" si="7"/>
        <v>712.78</v>
      </c>
      <c r="L18" s="5">
        <f>J18/($B$4*$B$5)</f>
        <v>67.8838095238095</v>
      </c>
      <c r="M18">
        <f>K18/($B$4*$B$5)</f>
        <v>101.825714285714</v>
      </c>
      <c r="N18">
        <f t="shared" si="8"/>
        <v>16970.9523809524</v>
      </c>
      <c r="O18">
        <f t="shared" si="9"/>
        <v>20365.1428571429</v>
      </c>
      <c r="P18">
        <f>E18*D18*$B$3</f>
        <v>106917</v>
      </c>
      <c r="Q18" s="3">
        <f t="shared" si="10"/>
        <v>15396.048</v>
      </c>
      <c r="R18" s="3">
        <f t="shared" si="11"/>
        <v>10264.032</v>
      </c>
      <c r="S18" s="3">
        <f t="shared" si="12"/>
        <v>427.668</v>
      </c>
      <c r="T18" s="3">
        <f t="shared" si="13"/>
        <v>285.112</v>
      </c>
      <c r="U18" s="6">
        <f>S18/($B$4*$B$5)</f>
        <v>61.0954285714286</v>
      </c>
      <c r="V18" s="6">
        <f>T18/($B$4*$B$5)</f>
        <v>40.7302857142857</v>
      </c>
      <c r="W18" s="3">
        <f t="shared" si="14"/>
        <v>12219.0857142857</v>
      </c>
      <c r="X18" s="3">
        <f t="shared" si="15"/>
        <v>8146.05714285714</v>
      </c>
    </row>
    <row r="19" spans="1:24">
      <c r="A19" t="s">
        <v>32</v>
      </c>
      <c r="B19">
        <v>104.72</v>
      </c>
      <c r="C19">
        <f t="shared" si="0"/>
        <v>0.037037037037037</v>
      </c>
      <c r="D19">
        <f t="shared" si="1"/>
        <v>20</v>
      </c>
      <c r="E19">
        <f>B19*$B$2*$B$9</f>
        <v>16755.2</v>
      </c>
      <c r="F19">
        <f t="shared" si="2"/>
        <v>620.562962962963</v>
      </c>
      <c r="G19">
        <f t="shared" si="3"/>
        <v>335104</v>
      </c>
      <c r="H19">
        <f t="shared" si="4"/>
        <v>6702.08</v>
      </c>
      <c r="I19">
        <f t="shared" si="5"/>
        <v>10053.12</v>
      </c>
      <c r="J19">
        <f t="shared" si="6"/>
        <v>248.225185185185</v>
      </c>
      <c r="K19">
        <f t="shared" si="7"/>
        <v>372.337777777778</v>
      </c>
      <c r="L19" s="5">
        <f>J19/($B$4*$B$5)</f>
        <v>35.4607407407407</v>
      </c>
      <c r="M19">
        <f>K19/($B$4*$B$5)</f>
        <v>53.1911111111111</v>
      </c>
      <c r="N19">
        <f t="shared" si="8"/>
        <v>8865.18518518519</v>
      </c>
      <c r="O19">
        <f t="shared" si="9"/>
        <v>10638.2222222222</v>
      </c>
      <c r="P19">
        <f>E19*D19*$B$3</f>
        <v>33510.4</v>
      </c>
      <c r="Q19" s="3">
        <f t="shared" si="10"/>
        <v>6031.872</v>
      </c>
      <c r="R19" s="3">
        <f t="shared" si="11"/>
        <v>4021.248</v>
      </c>
      <c r="S19" s="3">
        <f t="shared" si="12"/>
        <v>223.402666666667</v>
      </c>
      <c r="T19" s="3">
        <f t="shared" si="13"/>
        <v>148.935111111111</v>
      </c>
      <c r="U19" s="6">
        <f>S19/($B$4*$B$5)</f>
        <v>31.9146666666667</v>
      </c>
      <c r="V19" s="6">
        <f>T19/($B$4*$B$5)</f>
        <v>21.2764444444444</v>
      </c>
      <c r="W19" s="3">
        <f t="shared" si="14"/>
        <v>6382.93333333333</v>
      </c>
      <c r="X19" s="3">
        <f t="shared" si="15"/>
        <v>4255.28888888889</v>
      </c>
    </row>
    <row r="20" spans="1:24">
      <c r="A20" t="s">
        <v>34</v>
      </c>
      <c r="B20">
        <v>166.65</v>
      </c>
      <c r="C20">
        <f t="shared" si="0"/>
        <v>0.0555555555555556</v>
      </c>
      <c r="D20">
        <f t="shared" si="1"/>
        <v>40</v>
      </c>
      <c r="E20">
        <f>B20*$B$2*$B$9</f>
        <v>26664</v>
      </c>
      <c r="F20">
        <f t="shared" si="2"/>
        <v>1481.33333333333</v>
      </c>
      <c r="G20">
        <f t="shared" si="3"/>
        <v>1066560</v>
      </c>
      <c r="H20">
        <f t="shared" si="4"/>
        <v>10665.6</v>
      </c>
      <c r="I20">
        <f t="shared" si="5"/>
        <v>15998.4</v>
      </c>
      <c r="J20">
        <f t="shared" si="6"/>
        <v>592.533333333333</v>
      </c>
      <c r="K20">
        <f t="shared" si="7"/>
        <v>888.8</v>
      </c>
      <c r="L20" s="5">
        <f>J20/($B$4*$B$5)</f>
        <v>84.647619047619</v>
      </c>
      <c r="M20">
        <f>K20/($B$4*$B$5)</f>
        <v>126.971428571429</v>
      </c>
      <c r="N20">
        <f t="shared" si="8"/>
        <v>21161.9047619048</v>
      </c>
      <c r="O20">
        <f t="shared" si="9"/>
        <v>25394.2857142857</v>
      </c>
      <c r="P20">
        <f>E20*D20*$B$3</f>
        <v>106656</v>
      </c>
      <c r="Q20" s="3">
        <f t="shared" si="10"/>
        <v>9599.04</v>
      </c>
      <c r="R20" s="3">
        <f t="shared" si="11"/>
        <v>6399.36</v>
      </c>
      <c r="S20" s="3">
        <f t="shared" si="12"/>
        <v>533.28</v>
      </c>
      <c r="T20" s="3">
        <f t="shared" si="13"/>
        <v>355.52</v>
      </c>
      <c r="U20" s="6">
        <f>S20/($B$4*$B$5)</f>
        <v>76.1828571428571</v>
      </c>
      <c r="V20" s="6">
        <f>T20/($B$4*$B$5)</f>
        <v>50.7885714285714</v>
      </c>
      <c r="W20" s="3">
        <f t="shared" si="14"/>
        <v>15236.5714285714</v>
      </c>
      <c r="X20" s="3">
        <f t="shared" si="15"/>
        <v>10157.7142857143</v>
      </c>
    </row>
    <row r="21" spans="1:24">
      <c r="A21" t="s">
        <v>36</v>
      </c>
      <c r="B21">
        <v>101.8925</v>
      </c>
      <c r="C21">
        <f t="shared" si="0"/>
        <v>0.037037037037037</v>
      </c>
      <c r="D21">
        <f t="shared" si="1"/>
        <v>20</v>
      </c>
      <c r="E21">
        <f>B21*$B$2*$B$9</f>
        <v>16302.8</v>
      </c>
      <c r="F21">
        <f t="shared" si="2"/>
        <v>603.807407407407</v>
      </c>
      <c r="G21">
        <f t="shared" si="3"/>
        <v>326056</v>
      </c>
      <c r="H21">
        <f t="shared" si="4"/>
        <v>6521.12</v>
      </c>
      <c r="I21">
        <f t="shared" si="5"/>
        <v>9781.68</v>
      </c>
      <c r="J21">
        <f t="shared" si="6"/>
        <v>241.522962962963</v>
      </c>
      <c r="K21">
        <f t="shared" si="7"/>
        <v>362.284444444444</v>
      </c>
      <c r="L21" s="5">
        <f>J21/($B$4*$B$5)</f>
        <v>34.5032804232804</v>
      </c>
      <c r="M21">
        <f>K21/($B$4*$B$5)</f>
        <v>51.7549206349206</v>
      </c>
      <c r="N21">
        <f t="shared" si="8"/>
        <v>8625.82010582011</v>
      </c>
      <c r="O21">
        <f t="shared" si="9"/>
        <v>10350.9841269841</v>
      </c>
      <c r="P21">
        <f>E21*D21*$B$3</f>
        <v>32605.6</v>
      </c>
      <c r="Q21" s="3">
        <f t="shared" si="10"/>
        <v>5869.008</v>
      </c>
      <c r="R21" s="3">
        <f t="shared" si="11"/>
        <v>3912.672</v>
      </c>
      <c r="S21" s="3">
        <f t="shared" si="12"/>
        <v>217.370666666667</v>
      </c>
      <c r="T21" s="3">
        <f t="shared" si="13"/>
        <v>144.913777777778</v>
      </c>
      <c r="U21" s="6">
        <f>S21/($B$4*$B$5)</f>
        <v>31.0529523809524</v>
      </c>
      <c r="V21" s="6">
        <f>T21/($B$4*$B$5)</f>
        <v>20.7019682539683</v>
      </c>
      <c r="W21" s="3">
        <f t="shared" si="14"/>
        <v>6210.59047619047</v>
      </c>
      <c r="X21" s="3">
        <f t="shared" si="15"/>
        <v>4140.39365079365</v>
      </c>
    </row>
    <row r="22" spans="1:24">
      <c r="A22" t="s">
        <v>37</v>
      </c>
      <c r="B22">
        <v>195.255</v>
      </c>
      <c r="C22">
        <f t="shared" si="0"/>
        <v>0.0555555555555556</v>
      </c>
      <c r="D22">
        <f t="shared" si="1"/>
        <v>30</v>
      </c>
      <c r="E22">
        <f>B22*$B$2*$B$9</f>
        <v>31240.8</v>
      </c>
      <c r="F22">
        <f t="shared" si="2"/>
        <v>1735.6</v>
      </c>
      <c r="G22">
        <f t="shared" si="3"/>
        <v>937224</v>
      </c>
      <c r="H22">
        <f t="shared" si="4"/>
        <v>12496.32</v>
      </c>
      <c r="I22">
        <f t="shared" si="5"/>
        <v>18744.48</v>
      </c>
      <c r="J22">
        <f t="shared" si="6"/>
        <v>694.24</v>
      </c>
      <c r="K22">
        <f t="shared" si="7"/>
        <v>1041.36</v>
      </c>
      <c r="L22" s="5">
        <f>J22/($B$4*$B$5)</f>
        <v>99.1771428571428</v>
      </c>
      <c r="M22">
        <f>K22/($B$4*$B$5)</f>
        <v>148.765714285714</v>
      </c>
      <c r="N22">
        <f t="shared" si="8"/>
        <v>24794.2857142857</v>
      </c>
      <c r="O22">
        <f t="shared" si="9"/>
        <v>29753.1428571429</v>
      </c>
      <c r="P22">
        <f>E22*D22*$B$3</f>
        <v>93722.4</v>
      </c>
      <c r="Q22" s="3">
        <f t="shared" si="10"/>
        <v>11246.688</v>
      </c>
      <c r="R22" s="3">
        <f t="shared" si="11"/>
        <v>7497.792</v>
      </c>
      <c r="S22" s="3">
        <f t="shared" si="12"/>
        <v>624.816</v>
      </c>
      <c r="T22" s="3">
        <f t="shared" si="13"/>
        <v>416.544</v>
      </c>
      <c r="U22" s="6">
        <f>S22/($B$4*$B$5)</f>
        <v>89.2594285714286</v>
      </c>
      <c r="V22" s="6">
        <f>T22/($B$4*$B$5)</f>
        <v>59.5062857142857</v>
      </c>
      <c r="W22" s="3">
        <f t="shared" si="14"/>
        <v>17851.8857142857</v>
      </c>
      <c r="X22" s="3">
        <f t="shared" si="15"/>
        <v>11901.2571428571</v>
      </c>
    </row>
    <row r="23" spans="1:24">
      <c r="A23" t="s">
        <v>38</v>
      </c>
      <c r="B23">
        <v>236.8425</v>
      </c>
      <c r="C23">
        <f t="shared" si="0"/>
        <v>0.0833333333333333</v>
      </c>
      <c r="D23">
        <f t="shared" si="1"/>
        <v>30</v>
      </c>
      <c r="E23">
        <f>B23*$B$2*$B$9</f>
        <v>37894.8</v>
      </c>
      <c r="F23">
        <f t="shared" si="2"/>
        <v>3157.9</v>
      </c>
      <c r="G23">
        <f t="shared" si="3"/>
        <v>1136844</v>
      </c>
      <c r="H23">
        <f t="shared" si="4"/>
        <v>15157.92</v>
      </c>
      <c r="I23">
        <f t="shared" si="5"/>
        <v>22736.88</v>
      </c>
      <c r="J23">
        <f t="shared" si="6"/>
        <v>1263.16</v>
      </c>
      <c r="K23">
        <f t="shared" si="7"/>
        <v>1894.74</v>
      </c>
      <c r="L23" s="5">
        <f>J23/($B$4*$B$5)</f>
        <v>180.451428571429</v>
      </c>
      <c r="M23">
        <f>K23/($B$4*$B$5)</f>
        <v>270.677142857143</v>
      </c>
      <c r="N23">
        <f t="shared" si="8"/>
        <v>45112.8571428571</v>
      </c>
      <c r="O23">
        <f t="shared" si="9"/>
        <v>54135.4285714286</v>
      </c>
      <c r="P23">
        <f>E23*D23*$B$3</f>
        <v>113684.4</v>
      </c>
      <c r="Q23" s="3">
        <f t="shared" si="10"/>
        <v>13642.128</v>
      </c>
      <c r="R23" s="3">
        <f t="shared" si="11"/>
        <v>9094.752</v>
      </c>
      <c r="S23" s="3">
        <f t="shared" si="12"/>
        <v>1136.844</v>
      </c>
      <c r="T23" s="3">
        <f t="shared" si="13"/>
        <v>757.896</v>
      </c>
      <c r="U23" s="6">
        <f>S23/($B$4*$B$5)</f>
        <v>162.406285714286</v>
      </c>
      <c r="V23" s="6">
        <f>T23/($B$4*$B$5)</f>
        <v>108.270857142857</v>
      </c>
      <c r="W23" s="3">
        <f t="shared" si="14"/>
        <v>32481.2571428571</v>
      </c>
      <c r="X23" s="3">
        <f t="shared" si="15"/>
        <v>21654.1714285714</v>
      </c>
    </row>
    <row r="24" spans="1:24">
      <c r="A24" t="s">
        <v>39</v>
      </c>
      <c r="B24">
        <v>118.42125</v>
      </c>
      <c r="C24">
        <f t="shared" si="0"/>
        <v>0.0277777777777778</v>
      </c>
      <c r="D24">
        <f t="shared" si="1"/>
        <v>25</v>
      </c>
      <c r="E24">
        <f>B24*$B$2*$B$9</f>
        <v>18947.4</v>
      </c>
      <c r="F24">
        <f t="shared" si="2"/>
        <v>526.316666666667</v>
      </c>
      <c r="G24">
        <f t="shared" si="3"/>
        <v>473685</v>
      </c>
      <c r="H24">
        <f t="shared" si="4"/>
        <v>7578.96</v>
      </c>
      <c r="I24">
        <f t="shared" si="5"/>
        <v>11368.44</v>
      </c>
      <c r="J24">
        <f t="shared" si="6"/>
        <v>210.526666666667</v>
      </c>
      <c r="K24">
        <f t="shared" si="7"/>
        <v>315.79</v>
      </c>
      <c r="L24" s="5">
        <f>J24/($B$4*$B$5)</f>
        <v>30.0752380952381</v>
      </c>
      <c r="M24">
        <f>K24/($B$4*$B$5)</f>
        <v>45.1128571428571</v>
      </c>
      <c r="N24">
        <f t="shared" si="8"/>
        <v>7518.80952380952</v>
      </c>
      <c r="O24">
        <f t="shared" si="9"/>
        <v>9022.57142857143</v>
      </c>
      <c r="P24">
        <f>E24*D24*$B$3</f>
        <v>47368.5</v>
      </c>
      <c r="Q24" s="3">
        <f t="shared" si="10"/>
        <v>6821.064</v>
      </c>
      <c r="R24" s="3">
        <f t="shared" si="11"/>
        <v>4547.376</v>
      </c>
      <c r="S24" s="3">
        <f t="shared" si="12"/>
        <v>189.474</v>
      </c>
      <c r="T24" s="3">
        <f t="shared" si="13"/>
        <v>126.316</v>
      </c>
      <c r="U24" s="6">
        <f>S24/($B$4*$B$5)</f>
        <v>27.0677142857143</v>
      </c>
      <c r="V24" s="6">
        <f>T24/($B$4*$B$5)</f>
        <v>18.0451428571429</v>
      </c>
      <c r="W24" s="3">
        <f t="shared" si="14"/>
        <v>5413.54285714286</v>
      </c>
      <c r="X24" s="3">
        <f t="shared" si="15"/>
        <v>3609.02857142857</v>
      </c>
    </row>
    <row r="25" spans="1:24">
      <c r="A25" t="s">
        <v>42</v>
      </c>
      <c r="B25">
        <v>352.65625</v>
      </c>
      <c r="C25">
        <f t="shared" si="0"/>
        <v>0.0277777777777778</v>
      </c>
      <c r="D25">
        <f t="shared" si="1"/>
        <v>20</v>
      </c>
      <c r="E25">
        <f>B25*$B$2*$B$9</f>
        <v>56425</v>
      </c>
      <c r="F25">
        <f t="shared" si="2"/>
        <v>1567.36111111111</v>
      </c>
      <c r="G25">
        <f t="shared" si="3"/>
        <v>1128500</v>
      </c>
      <c r="H25">
        <f t="shared" si="4"/>
        <v>22570</v>
      </c>
      <c r="I25">
        <f t="shared" si="5"/>
        <v>33855</v>
      </c>
      <c r="J25">
        <f t="shared" si="6"/>
        <v>626.944444444444</v>
      </c>
      <c r="K25">
        <f t="shared" si="7"/>
        <v>940.416666666667</v>
      </c>
      <c r="L25" s="5">
        <f>J25/($B$4*$B$5)</f>
        <v>89.5634920634921</v>
      </c>
      <c r="M25">
        <f>K25/($B$4*$B$5)</f>
        <v>134.345238095238</v>
      </c>
      <c r="N25">
        <f t="shared" si="8"/>
        <v>22390.873015873</v>
      </c>
      <c r="O25">
        <f t="shared" si="9"/>
        <v>26869.0476190476</v>
      </c>
      <c r="P25">
        <f>E25*D25*$B$3</f>
        <v>112850</v>
      </c>
      <c r="Q25" s="3">
        <f t="shared" si="10"/>
        <v>20313</v>
      </c>
      <c r="R25" s="3">
        <f t="shared" si="11"/>
        <v>13542</v>
      </c>
      <c r="S25" s="3">
        <f t="shared" si="12"/>
        <v>564.25</v>
      </c>
      <c r="T25" s="3">
        <f t="shared" si="13"/>
        <v>376.166666666667</v>
      </c>
      <c r="U25" s="6">
        <f>S25/($B$4*$B$5)</f>
        <v>80.6071428571429</v>
      </c>
      <c r="V25" s="6">
        <f>T25/($B$4*$B$5)</f>
        <v>53.7380952380952</v>
      </c>
      <c r="W25" s="3">
        <f t="shared" si="14"/>
        <v>16121.4285714286</v>
      </c>
      <c r="X25" s="3">
        <f t="shared" si="15"/>
        <v>10747.619047619</v>
      </c>
    </row>
    <row r="26" spans="1:24">
      <c r="A26" t="s">
        <v>43</v>
      </c>
      <c r="B26">
        <v>52.36</v>
      </c>
      <c r="C26">
        <f t="shared" si="0"/>
        <v>0.0555555555555556</v>
      </c>
      <c r="D26">
        <f t="shared" si="1"/>
        <v>25</v>
      </c>
      <c r="E26">
        <f>B26*$B$2*$B$9</f>
        <v>8377.6</v>
      </c>
      <c r="F26">
        <f t="shared" si="2"/>
        <v>465.422222222222</v>
      </c>
      <c r="G26">
        <f t="shared" si="3"/>
        <v>209440</v>
      </c>
      <c r="H26">
        <f t="shared" si="4"/>
        <v>3351.04</v>
      </c>
      <c r="I26">
        <f t="shared" si="5"/>
        <v>5026.56</v>
      </c>
      <c r="J26">
        <f t="shared" si="6"/>
        <v>186.168888888889</v>
      </c>
      <c r="K26">
        <f t="shared" si="7"/>
        <v>279.253333333333</v>
      </c>
      <c r="L26" s="5">
        <f>J26/($B$4*$B$5)</f>
        <v>26.5955555555556</v>
      </c>
      <c r="M26">
        <f>K26/($B$4*$B$5)</f>
        <v>39.8933333333333</v>
      </c>
      <c r="N26">
        <f t="shared" si="8"/>
        <v>6648.88888888889</v>
      </c>
      <c r="O26">
        <f t="shared" si="9"/>
        <v>7978.66666666667</v>
      </c>
      <c r="P26">
        <f>E26*D26*$B$3</f>
        <v>20944</v>
      </c>
      <c r="Q26" s="3">
        <f t="shared" si="10"/>
        <v>3015.936</v>
      </c>
      <c r="R26" s="3">
        <f t="shared" si="11"/>
        <v>2010.624</v>
      </c>
      <c r="S26" s="3">
        <f t="shared" si="12"/>
        <v>167.552</v>
      </c>
      <c r="T26" s="3">
        <f t="shared" si="13"/>
        <v>111.701333333333</v>
      </c>
      <c r="U26" s="6">
        <f>S26/($B$4*$B$5)</f>
        <v>23.936</v>
      </c>
      <c r="V26" s="6">
        <f>T26/($B$4*$B$5)</f>
        <v>15.9573333333333</v>
      </c>
      <c r="W26" s="3">
        <f t="shared" si="14"/>
        <v>4787.2</v>
      </c>
      <c r="X26" s="3">
        <f t="shared" si="15"/>
        <v>3191.46666666667</v>
      </c>
    </row>
    <row r="27" spans="1:24">
      <c r="A27" t="s">
        <v>44</v>
      </c>
      <c r="B27">
        <v>248.08125</v>
      </c>
      <c r="C27">
        <f t="shared" si="0"/>
        <v>0.037037037037037</v>
      </c>
      <c r="D27">
        <f t="shared" si="1"/>
        <v>20</v>
      </c>
      <c r="E27">
        <f>B27*$B$2*$B$9</f>
        <v>39693</v>
      </c>
      <c r="F27">
        <f t="shared" si="2"/>
        <v>1470.11111111111</v>
      </c>
      <c r="G27">
        <f t="shared" si="3"/>
        <v>793860</v>
      </c>
      <c r="H27">
        <f t="shared" si="4"/>
        <v>15877.2</v>
      </c>
      <c r="I27">
        <f t="shared" si="5"/>
        <v>23815.8</v>
      </c>
      <c r="J27">
        <f t="shared" si="6"/>
        <v>588.044444444444</v>
      </c>
      <c r="K27">
        <f t="shared" si="7"/>
        <v>882.066666666667</v>
      </c>
      <c r="L27" s="5">
        <f>J27/($B$4*$B$5)</f>
        <v>84.0063492063492</v>
      </c>
      <c r="M27">
        <f>K27/($B$4*$B$5)</f>
        <v>126.009523809524</v>
      </c>
      <c r="N27">
        <f t="shared" si="8"/>
        <v>21001.5873015873</v>
      </c>
      <c r="O27">
        <f t="shared" si="9"/>
        <v>25201.9047619048</v>
      </c>
      <c r="P27">
        <f>E27*D27*$B$3</f>
        <v>79386</v>
      </c>
      <c r="Q27" s="3">
        <f t="shared" si="10"/>
        <v>23815.8</v>
      </c>
      <c r="R27" s="3">
        <f t="shared" si="11"/>
        <v>0</v>
      </c>
      <c r="S27" s="3">
        <f t="shared" si="12"/>
        <v>882.066666666667</v>
      </c>
      <c r="T27" s="3">
        <f t="shared" si="13"/>
        <v>0</v>
      </c>
      <c r="U27" s="6">
        <f>S27/($B$4*$B$5)</f>
        <v>126.009523809524</v>
      </c>
      <c r="V27" s="6">
        <f>T27/($B$4*$B$5)</f>
        <v>0</v>
      </c>
      <c r="W27" s="3">
        <f t="shared" si="14"/>
        <v>25201.9047619048</v>
      </c>
      <c r="X27" s="3">
        <f t="shared" si="15"/>
        <v>0</v>
      </c>
    </row>
    <row r="28" spans="1:24">
      <c r="A28" t="s">
        <v>45</v>
      </c>
      <c r="B28">
        <v>118.42125</v>
      </c>
      <c r="C28">
        <f t="shared" si="0"/>
        <v>0.0277777777777778</v>
      </c>
      <c r="D28">
        <f t="shared" si="1"/>
        <v>80</v>
      </c>
      <c r="E28">
        <f>B28*$B$2*$B$9</f>
        <v>18947.4</v>
      </c>
      <c r="F28">
        <f t="shared" si="2"/>
        <v>526.316666666667</v>
      </c>
      <c r="G28">
        <f t="shared" si="3"/>
        <v>1515792</v>
      </c>
      <c r="H28">
        <f t="shared" si="4"/>
        <v>7578.96</v>
      </c>
      <c r="I28">
        <f t="shared" si="5"/>
        <v>11368.44</v>
      </c>
      <c r="J28">
        <f t="shared" si="6"/>
        <v>210.526666666667</v>
      </c>
      <c r="K28">
        <f t="shared" si="7"/>
        <v>315.79</v>
      </c>
      <c r="L28" s="5">
        <f>J28/($B$4*$B$5)</f>
        <v>30.0752380952381</v>
      </c>
      <c r="M28">
        <f>K28/($B$4*$B$5)</f>
        <v>45.1128571428571</v>
      </c>
      <c r="N28">
        <f t="shared" si="8"/>
        <v>7518.80952380952</v>
      </c>
      <c r="O28">
        <f t="shared" si="9"/>
        <v>9022.57142857143</v>
      </c>
      <c r="P28">
        <f>E28*D28*$B$3</f>
        <v>151579.2</v>
      </c>
      <c r="Q28" s="3">
        <f t="shared" si="10"/>
        <v>6821.064</v>
      </c>
      <c r="R28" s="3">
        <f t="shared" si="11"/>
        <v>4547.376</v>
      </c>
      <c r="S28" s="3">
        <f t="shared" si="12"/>
        <v>189.474</v>
      </c>
      <c r="T28" s="3">
        <f t="shared" si="13"/>
        <v>126.316</v>
      </c>
      <c r="U28" s="6">
        <f>S28/($B$4*$B$5)</f>
        <v>27.0677142857143</v>
      </c>
      <c r="V28" s="6">
        <f>T28/($B$4*$B$5)</f>
        <v>18.0451428571429</v>
      </c>
      <c r="W28" s="3">
        <f t="shared" si="14"/>
        <v>5413.54285714286</v>
      </c>
      <c r="X28" s="3">
        <f t="shared" si="15"/>
        <v>3609.02857142857</v>
      </c>
    </row>
    <row r="29" spans="1:24">
      <c r="A29" t="s">
        <v>46</v>
      </c>
      <c r="B29">
        <v>265.24875</v>
      </c>
      <c r="C29">
        <f t="shared" si="0"/>
        <v>0.0277777777777778</v>
      </c>
      <c r="D29">
        <f t="shared" si="1"/>
        <v>80</v>
      </c>
      <c r="E29">
        <f>B29*$B$2*$B$9</f>
        <v>42439.8</v>
      </c>
      <c r="F29">
        <f t="shared" si="2"/>
        <v>1178.88333333333</v>
      </c>
      <c r="G29">
        <f t="shared" si="3"/>
        <v>3395184</v>
      </c>
      <c r="H29">
        <f t="shared" si="4"/>
        <v>16975.92</v>
      </c>
      <c r="I29">
        <f t="shared" si="5"/>
        <v>25463.88</v>
      </c>
      <c r="J29">
        <f t="shared" si="6"/>
        <v>471.553333333333</v>
      </c>
      <c r="K29">
        <f t="shared" si="7"/>
        <v>707.33</v>
      </c>
      <c r="L29" s="5">
        <f>J29/($B$4*$B$5)</f>
        <v>67.3647619047619</v>
      </c>
      <c r="M29">
        <f>K29/($B$4*$B$5)</f>
        <v>101.047142857143</v>
      </c>
      <c r="N29">
        <f t="shared" si="8"/>
        <v>16841.1904761905</v>
      </c>
      <c r="O29">
        <f t="shared" si="9"/>
        <v>20209.4285714286</v>
      </c>
      <c r="P29">
        <f>E29*D29*$B$3</f>
        <v>339518.4</v>
      </c>
      <c r="Q29" s="3">
        <f t="shared" si="10"/>
        <v>15278.328</v>
      </c>
      <c r="R29" s="3">
        <f t="shared" si="11"/>
        <v>10185.552</v>
      </c>
      <c r="S29" s="3">
        <f t="shared" si="12"/>
        <v>424.398</v>
      </c>
      <c r="T29" s="3">
        <f t="shared" si="13"/>
        <v>282.932</v>
      </c>
      <c r="U29" s="6">
        <f>S29/($B$4*$B$5)</f>
        <v>60.6282857142857</v>
      </c>
      <c r="V29" s="6">
        <f>T29/($B$4*$B$5)</f>
        <v>40.4188571428571</v>
      </c>
      <c r="W29" s="3">
        <f t="shared" si="14"/>
        <v>12125.6571428571</v>
      </c>
      <c r="X29" s="3">
        <f t="shared" si="15"/>
        <v>8083.77142857143</v>
      </c>
    </row>
    <row r="30" spans="1:24">
      <c r="A30" t="s">
        <v>47</v>
      </c>
      <c r="B30">
        <v>419.624375</v>
      </c>
      <c r="C30">
        <f t="shared" si="0"/>
        <v>0.0277777777777778</v>
      </c>
      <c r="D30">
        <f t="shared" si="1"/>
        <v>80</v>
      </c>
      <c r="E30">
        <f>B30*$B$2*$B$9</f>
        <v>67139.9</v>
      </c>
      <c r="F30">
        <f t="shared" si="2"/>
        <v>1864.99722222222</v>
      </c>
      <c r="G30">
        <f t="shared" si="3"/>
        <v>5371192</v>
      </c>
      <c r="H30">
        <f t="shared" si="4"/>
        <v>26855.96</v>
      </c>
      <c r="I30">
        <f t="shared" si="5"/>
        <v>40283.94</v>
      </c>
      <c r="J30">
        <f t="shared" si="6"/>
        <v>745.998888888889</v>
      </c>
      <c r="K30">
        <f t="shared" si="7"/>
        <v>1118.99833333333</v>
      </c>
      <c r="L30" s="5">
        <f>J30/($B$4*$B$5)</f>
        <v>106.57126984127</v>
      </c>
      <c r="M30">
        <f>K30/($B$4*$B$5)</f>
        <v>159.856904761905</v>
      </c>
      <c r="N30">
        <f t="shared" si="8"/>
        <v>26642.8174603175</v>
      </c>
      <c r="O30">
        <f t="shared" si="9"/>
        <v>31971.380952381</v>
      </c>
      <c r="P30">
        <f>E30*D30*$B$3</f>
        <v>537119.2</v>
      </c>
      <c r="Q30" s="3">
        <f t="shared" si="10"/>
        <v>24170.364</v>
      </c>
      <c r="R30" s="3">
        <f t="shared" si="11"/>
        <v>16113.576</v>
      </c>
      <c r="S30" s="3">
        <f t="shared" si="12"/>
        <v>671.399</v>
      </c>
      <c r="T30" s="3">
        <f t="shared" si="13"/>
        <v>447.599333333333</v>
      </c>
      <c r="U30" s="6">
        <f>S30/($B$4*$B$5)</f>
        <v>95.9141428571428</v>
      </c>
      <c r="V30" s="6">
        <f>T30/($B$4*$B$5)</f>
        <v>63.9427619047619</v>
      </c>
      <c r="W30" s="3">
        <f t="shared" si="14"/>
        <v>19182.8285714286</v>
      </c>
      <c r="X30" s="3">
        <f t="shared" si="15"/>
        <v>12788.5523809524</v>
      </c>
    </row>
    <row r="31" spans="1:24">
      <c r="A31" t="s">
        <v>48</v>
      </c>
      <c r="B31">
        <v>300.10875</v>
      </c>
      <c r="C31">
        <f t="shared" si="0"/>
        <v>0.0277777777777778</v>
      </c>
      <c r="D31">
        <f t="shared" si="1"/>
        <v>80</v>
      </c>
      <c r="E31">
        <f>B31*$B$2*$B$9</f>
        <v>48017.4</v>
      </c>
      <c r="F31">
        <f t="shared" si="2"/>
        <v>1333.81666666667</v>
      </c>
      <c r="G31">
        <f t="shared" si="3"/>
        <v>3841392</v>
      </c>
      <c r="H31">
        <f t="shared" si="4"/>
        <v>19206.96</v>
      </c>
      <c r="I31">
        <f t="shared" si="5"/>
        <v>28810.44</v>
      </c>
      <c r="J31">
        <f t="shared" si="6"/>
        <v>533.526666666667</v>
      </c>
      <c r="K31">
        <f t="shared" si="7"/>
        <v>800.29</v>
      </c>
      <c r="L31" s="5">
        <f>J31/($B$4*$B$5)</f>
        <v>76.2180952380952</v>
      </c>
      <c r="M31">
        <f>K31/($B$4*$B$5)</f>
        <v>114.327142857143</v>
      </c>
      <c r="N31">
        <f t="shared" si="8"/>
        <v>19054.5238095238</v>
      </c>
      <c r="O31">
        <f t="shared" si="9"/>
        <v>22865.4285714286</v>
      </c>
      <c r="P31">
        <f>E31*D31*$B$3</f>
        <v>384139.2</v>
      </c>
      <c r="Q31" s="3">
        <f t="shared" si="10"/>
        <v>17286.264</v>
      </c>
      <c r="R31" s="3">
        <f t="shared" si="11"/>
        <v>11524.176</v>
      </c>
      <c r="S31" s="3">
        <f t="shared" si="12"/>
        <v>480.174</v>
      </c>
      <c r="T31" s="3">
        <f t="shared" si="13"/>
        <v>320.116</v>
      </c>
      <c r="U31" s="6">
        <f>S31/($B$4*$B$5)</f>
        <v>68.5962857142857</v>
      </c>
      <c r="V31" s="6">
        <f>T31/($B$4*$B$5)</f>
        <v>45.7308571428571</v>
      </c>
      <c r="W31" s="3">
        <f t="shared" si="14"/>
        <v>13719.2571428571</v>
      </c>
      <c r="X31" s="3">
        <f t="shared" si="15"/>
        <v>9146.17142857143</v>
      </c>
    </row>
    <row r="32" spans="1:24">
      <c r="A32" t="s">
        <v>89</v>
      </c>
      <c r="B32">
        <f t="shared" ref="B32:X32" si="16">SUM(B12:B31)</f>
        <v>4202.976875</v>
      </c>
      <c r="C32">
        <f t="shared" si="16"/>
        <v>1.2037037037037</v>
      </c>
      <c r="D32">
        <f t="shared" si="16"/>
        <v>922</v>
      </c>
      <c r="E32">
        <f t="shared" si="16"/>
        <v>672476.3</v>
      </c>
      <c r="F32">
        <f t="shared" si="16"/>
        <v>37743.7240740741</v>
      </c>
      <c r="G32">
        <f t="shared" si="16"/>
        <v>32516508.8</v>
      </c>
      <c r="H32">
        <f t="shared" si="16"/>
        <v>268990.52</v>
      </c>
      <c r="I32">
        <f t="shared" si="16"/>
        <v>403485.78</v>
      </c>
      <c r="J32">
        <f t="shared" si="16"/>
        <v>15097.4896296296</v>
      </c>
      <c r="K32">
        <f t="shared" si="16"/>
        <v>22646.2344444444</v>
      </c>
      <c r="L32" s="5">
        <f t="shared" si="16"/>
        <v>2156.78423280423</v>
      </c>
      <c r="M32">
        <f t="shared" si="16"/>
        <v>3235.17634920635</v>
      </c>
      <c r="N32">
        <f t="shared" si="16"/>
        <v>539196.058201058</v>
      </c>
      <c r="O32">
        <f t="shared" si="16"/>
        <v>647035.26984127</v>
      </c>
      <c r="P32">
        <f t="shared" si="16"/>
        <v>3251650.88</v>
      </c>
      <c r="Q32">
        <f t="shared" si="16"/>
        <v>251617.788</v>
      </c>
      <c r="R32">
        <f t="shared" si="16"/>
        <v>151867.992</v>
      </c>
      <c r="S32">
        <f t="shared" si="16"/>
        <v>13940.5673333333</v>
      </c>
      <c r="T32">
        <f t="shared" si="16"/>
        <v>8705.66711111111</v>
      </c>
      <c r="U32" s="5">
        <f t="shared" si="16"/>
        <v>1991.50961904762</v>
      </c>
      <c r="V32" s="5">
        <f t="shared" si="16"/>
        <v>1243.66673015873</v>
      </c>
      <c r="W32">
        <f t="shared" si="16"/>
        <v>398301.923809524</v>
      </c>
      <c r="X32">
        <f t="shared" si="16"/>
        <v>248733.346031746</v>
      </c>
    </row>
    <row r="41" spans="1:10">
      <c r="A41" t="s">
        <v>40</v>
      </c>
      <c r="B41" t="s">
        <v>90</v>
      </c>
      <c r="F41" t="s">
        <v>91</v>
      </c>
      <c r="I41" t="s">
        <v>40</v>
      </c>
      <c r="J41" t="s">
        <v>136</v>
      </c>
    </row>
    <row r="42" spans="1:17">
      <c r="A42" t="s">
        <v>92</v>
      </c>
      <c r="B42" t="s">
        <v>93</v>
      </c>
      <c r="C42" t="s">
        <v>94</v>
      </c>
      <c r="D42" t="s">
        <v>95</v>
      </c>
      <c r="E42" t="s">
        <v>96</v>
      </c>
      <c r="F42" t="s">
        <v>97</v>
      </c>
      <c r="G42" t="s">
        <v>67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 t="s">
        <v>132</v>
      </c>
      <c r="P42" t="s">
        <v>133</v>
      </c>
      <c r="Q42" t="s">
        <v>134</v>
      </c>
    </row>
    <row r="43" spans="1:19">
      <c r="A43" t="s">
        <v>24</v>
      </c>
      <c r="B43">
        <v>2</v>
      </c>
      <c r="C43">
        <v>6</v>
      </c>
      <c r="D43">
        <v>6</v>
      </c>
      <c r="E43">
        <v>2</v>
      </c>
      <c r="F43">
        <v>12</v>
      </c>
      <c r="G43" s="3">
        <f t="shared" ref="G43:G62" si="17">B43*C43*D43/1728</f>
        <v>0.0416666666666667</v>
      </c>
      <c r="I43" t="s">
        <v>24</v>
      </c>
      <c r="J43">
        <v>1</v>
      </c>
      <c r="K43">
        <v>2</v>
      </c>
      <c r="L43">
        <v>4</v>
      </c>
      <c r="M43">
        <v>4</v>
      </c>
      <c r="N43">
        <v>1</v>
      </c>
      <c r="Q43">
        <v>2</v>
      </c>
      <c r="R43">
        <f t="shared" ref="R43:R62" si="18">J43+K43+L43+O43</f>
        <v>7</v>
      </c>
      <c r="S43">
        <f t="shared" ref="S43:S62" si="19">M43+N43+P43+Q43</f>
        <v>7</v>
      </c>
    </row>
    <row r="44" spans="1:19">
      <c r="A44" t="s">
        <v>25</v>
      </c>
      <c r="B44">
        <v>8</v>
      </c>
      <c r="C44">
        <v>8</v>
      </c>
      <c r="D44">
        <v>4</v>
      </c>
      <c r="E44">
        <v>14</v>
      </c>
      <c r="F44">
        <v>100</v>
      </c>
      <c r="G44" s="3">
        <f t="shared" si="17"/>
        <v>0.148148148148148</v>
      </c>
      <c r="I44" t="s">
        <v>25</v>
      </c>
      <c r="J44">
        <v>4</v>
      </c>
      <c r="L44">
        <v>2</v>
      </c>
      <c r="M44">
        <v>2</v>
      </c>
      <c r="Q44">
        <v>1</v>
      </c>
      <c r="R44">
        <f t="shared" si="18"/>
        <v>6</v>
      </c>
      <c r="S44">
        <f t="shared" si="19"/>
        <v>3</v>
      </c>
    </row>
    <row r="45" spans="1:19">
      <c r="A45" t="s">
        <v>26</v>
      </c>
      <c r="B45">
        <v>6</v>
      </c>
      <c r="C45">
        <v>6</v>
      </c>
      <c r="D45">
        <v>6</v>
      </c>
      <c r="E45">
        <v>6</v>
      </c>
      <c r="F45">
        <v>50</v>
      </c>
      <c r="G45" s="3">
        <f t="shared" si="17"/>
        <v>0.125</v>
      </c>
      <c r="I45" t="s">
        <v>26</v>
      </c>
      <c r="M45">
        <v>4</v>
      </c>
      <c r="N45">
        <v>1</v>
      </c>
      <c r="O45">
        <v>2</v>
      </c>
      <c r="P45">
        <v>4</v>
      </c>
      <c r="Q45">
        <v>1</v>
      </c>
      <c r="R45">
        <f t="shared" si="18"/>
        <v>2</v>
      </c>
      <c r="S45">
        <f t="shared" si="19"/>
        <v>10</v>
      </c>
    </row>
    <row r="46" spans="1:19">
      <c r="A46" t="s">
        <v>27</v>
      </c>
      <c r="B46">
        <v>12</v>
      </c>
      <c r="C46">
        <v>6</v>
      </c>
      <c r="D46">
        <v>4</v>
      </c>
      <c r="E46">
        <v>16</v>
      </c>
      <c r="F46">
        <v>120</v>
      </c>
      <c r="G46" s="3">
        <f t="shared" si="17"/>
        <v>0.166666666666667</v>
      </c>
      <c r="I46" t="s">
        <v>27</v>
      </c>
      <c r="K46">
        <v>1</v>
      </c>
      <c r="L46">
        <v>2</v>
      </c>
      <c r="M46">
        <v>2</v>
      </c>
      <c r="R46">
        <f t="shared" si="18"/>
        <v>3</v>
      </c>
      <c r="S46">
        <f t="shared" si="19"/>
        <v>2</v>
      </c>
    </row>
    <row r="47" spans="1:19">
      <c r="A47" t="s">
        <v>29</v>
      </c>
      <c r="B47">
        <v>8</v>
      </c>
      <c r="C47">
        <v>4</v>
      </c>
      <c r="D47">
        <v>6</v>
      </c>
      <c r="E47">
        <v>5</v>
      </c>
      <c r="F47">
        <v>50</v>
      </c>
      <c r="G47" s="3">
        <f t="shared" si="17"/>
        <v>0.111111111111111</v>
      </c>
      <c r="I47" t="s">
        <v>29</v>
      </c>
      <c r="K47">
        <v>1</v>
      </c>
      <c r="L47">
        <v>2</v>
      </c>
      <c r="O47">
        <v>1</v>
      </c>
      <c r="P47">
        <v>1</v>
      </c>
      <c r="R47">
        <f t="shared" si="18"/>
        <v>4</v>
      </c>
      <c r="S47">
        <f t="shared" si="19"/>
        <v>1</v>
      </c>
    </row>
    <row r="48" spans="1:19">
      <c r="A48" t="s">
        <v>30</v>
      </c>
      <c r="B48">
        <v>2</v>
      </c>
      <c r="C48">
        <v>8</v>
      </c>
      <c r="D48">
        <v>6</v>
      </c>
      <c r="E48">
        <v>3</v>
      </c>
      <c r="F48">
        <v>15</v>
      </c>
      <c r="G48" s="3">
        <f t="shared" si="17"/>
        <v>0.0555555555555556</v>
      </c>
      <c r="I48" t="s">
        <v>30</v>
      </c>
      <c r="J48">
        <v>1</v>
      </c>
      <c r="N48">
        <v>2</v>
      </c>
      <c r="Q48">
        <v>3</v>
      </c>
      <c r="R48">
        <f t="shared" si="18"/>
        <v>1</v>
      </c>
      <c r="S48">
        <f t="shared" si="19"/>
        <v>5</v>
      </c>
    </row>
    <row r="49" spans="1:19">
      <c r="A49" t="s">
        <v>31</v>
      </c>
      <c r="B49">
        <v>2</v>
      </c>
      <c r="C49">
        <v>2</v>
      </c>
      <c r="D49">
        <v>12</v>
      </c>
      <c r="E49">
        <v>1</v>
      </c>
      <c r="F49">
        <v>25</v>
      </c>
      <c r="G49" s="3">
        <f t="shared" si="17"/>
        <v>0.0277777777777778</v>
      </c>
      <c r="I49" t="s">
        <v>31</v>
      </c>
      <c r="K49">
        <v>4</v>
      </c>
      <c r="N49">
        <v>4</v>
      </c>
      <c r="P49">
        <v>1</v>
      </c>
      <c r="Q49">
        <v>1</v>
      </c>
      <c r="R49">
        <f t="shared" si="18"/>
        <v>4</v>
      </c>
      <c r="S49">
        <f t="shared" si="19"/>
        <v>6</v>
      </c>
    </row>
    <row r="50" spans="1:19">
      <c r="A50" t="s">
        <v>32</v>
      </c>
      <c r="B50">
        <v>4</v>
      </c>
      <c r="C50">
        <v>4</v>
      </c>
      <c r="D50">
        <v>4</v>
      </c>
      <c r="E50">
        <v>1</v>
      </c>
      <c r="F50">
        <v>20</v>
      </c>
      <c r="G50" s="3">
        <f t="shared" si="17"/>
        <v>0.037037037037037</v>
      </c>
      <c r="I50" t="s">
        <v>32</v>
      </c>
      <c r="M50">
        <v>4</v>
      </c>
      <c r="O50">
        <v>2</v>
      </c>
      <c r="P50">
        <v>2</v>
      </c>
      <c r="Q50">
        <v>3</v>
      </c>
      <c r="R50">
        <f t="shared" si="18"/>
        <v>2</v>
      </c>
      <c r="S50">
        <f t="shared" si="19"/>
        <v>9</v>
      </c>
    </row>
    <row r="51" spans="1:19">
      <c r="A51" t="s">
        <v>34</v>
      </c>
      <c r="B51">
        <v>2</v>
      </c>
      <c r="C51">
        <v>4</v>
      </c>
      <c r="D51">
        <v>12</v>
      </c>
      <c r="E51">
        <v>2</v>
      </c>
      <c r="F51">
        <v>40</v>
      </c>
      <c r="G51" s="3">
        <f t="shared" si="17"/>
        <v>0.0555555555555556</v>
      </c>
      <c r="I51" t="s">
        <v>34</v>
      </c>
      <c r="K51">
        <v>2</v>
      </c>
      <c r="L51">
        <v>2</v>
      </c>
      <c r="O51">
        <v>1</v>
      </c>
      <c r="P51">
        <v>2</v>
      </c>
      <c r="R51">
        <f t="shared" si="18"/>
        <v>5</v>
      </c>
      <c r="S51">
        <f t="shared" si="19"/>
        <v>2</v>
      </c>
    </row>
    <row r="52" spans="1:19">
      <c r="A52" t="s">
        <v>36</v>
      </c>
      <c r="B52">
        <v>4</v>
      </c>
      <c r="C52">
        <v>4</v>
      </c>
      <c r="D52">
        <v>4</v>
      </c>
      <c r="E52">
        <v>1</v>
      </c>
      <c r="F52">
        <v>20</v>
      </c>
      <c r="G52" s="3">
        <f t="shared" si="17"/>
        <v>0.037037037037037</v>
      </c>
      <c r="I52" t="s">
        <v>36</v>
      </c>
      <c r="J52">
        <v>1</v>
      </c>
      <c r="L52">
        <v>1</v>
      </c>
      <c r="M52">
        <v>1</v>
      </c>
      <c r="Q52">
        <v>1</v>
      </c>
      <c r="R52">
        <f t="shared" si="18"/>
        <v>2</v>
      </c>
      <c r="S52">
        <f t="shared" si="19"/>
        <v>2</v>
      </c>
    </row>
    <row r="53" spans="1:19">
      <c r="A53" t="s">
        <v>37</v>
      </c>
      <c r="B53">
        <v>4</v>
      </c>
      <c r="C53">
        <v>6</v>
      </c>
      <c r="D53">
        <v>4</v>
      </c>
      <c r="E53">
        <v>2</v>
      </c>
      <c r="F53">
        <v>30</v>
      </c>
      <c r="G53" s="3">
        <f t="shared" si="17"/>
        <v>0.0555555555555556</v>
      </c>
      <c r="I53" t="s">
        <v>37</v>
      </c>
      <c r="J53">
        <v>2</v>
      </c>
      <c r="N53">
        <v>4</v>
      </c>
      <c r="O53">
        <v>4</v>
      </c>
      <c r="P53">
        <v>2</v>
      </c>
      <c r="R53">
        <f t="shared" si="18"/>
        <v>6</v>
      </c>
      <c r="S53">
        <f t="shared" si="19"/>
        <v>6</v>
      </c>
    </row>
    <row r="54" spans="1:19">
      <c r="A54" t="s">
        <v>38</v>
      </c>
      <c r="B54">
        <v>6</v>
      </c>
      <c r="C54">
        <v>6</v>
      </c>
      <c r="D54">
        <v>4</v>
      </c>
      <c r="E54">
        <v>2</v>
      </c>
      <c r="F54">
        <v>30</v>
      </c>
      <c r="G54" s="3">
        <f t="shared" si="17"/>
        <v>0.0833333333333333</v>
      </c>
      <c r="I54" t="s">
        <v>38</v>
      </c>
      <c r="J54">
        <v>4</v>
      </c>
      <c r="N54">
        <v>4</v>
      </c>
      <c r="O54">
        <v>3</v>
      </c>
      <c r="P54">
        <v>4</v>
      </c>
      <c r="R54">
        <f t="shared" si="18"/>
        <v>7</v>
      </c>
      <c r="S54">
        <f t="shared" si="19"/>
        <v>8</v>
      </c>
    </row>
    <row r="55" spans="1:19">
      <c r="A55" t="s">
        <v>39</v>
      </c>
      <c r="B55">
        <v>2</v>
      </c>
      <c r="C55">
        <v>2</v>
      </c>
      <c r="D55">
        <v>12</v>
      </c>
      <c r="E55">
        <v>1</v>
      </c>
      <c r="F55">
        <v>25</v>
      </c>
      <c r="G55" s="3">
        <f t="shared" si="17"/>
        <v>0.0277777777777778</v>
      </c>
      <c r="I55" t="s">
        <v>39</v>
      </c>
      <c r="J55">
        <v>2</v>
      </c>
      <c r="N55">
        <v>2</v>
      </c>
      <c r="O55">
        <v>2</v>
      </c>
      <c r="P55">
        <v>1</v>
      </c>
      <c r="R55">
        <f t="shared" si="18"/>
        <v>4</v>
      </c>
      <c r="S55">
        <f t="shared" si="19"/>
        <v>3</v>
      </c>
    </row>
    <row r="56" spans="1:19">
      <c r="A56" t="s">
        <v>42</v>
      </c>
      <c r="B56">
        <v>2</v>
      </c>
      <c r="C56">
        <v>4</v>
      </c>
      <c r="D56">
        <v>6</v>
      </c>
      <c r="E56">
        <v>1</v>
      </c>
      <c r="F56">
        <v>20</v>
      </c>
      <c r="G56" s="3">
        <f t="shared" si="17"/>
        <v>0.0277777777777778</v>
      </c>
      <c r="I56" t="s">
        <v>42</v>
      </c>
      <c r="K56">
        <v>4</v>
      </c>
      <c r="L56">
        <v>2</v>
      </c>
      <c r="M56">
        <v>2</v>
      </c>
      <c r="N56">
        <v>2</v>
      </c>
      <c r="Q56">
        <v>4</v>
      </c>
      <c r="R56">
        <f t="shared" si="18"/>
        <v>6</v>
      </c>
      <c r="S56">
        <f t="shared" si="19"/>
        <v>8</v>
      </c>
    </row>
    <row r="57" spans="1:19">
      <c r="A57" t="s">
        <v>43</v>
      </c>
      <c r="B57">
        <v>4</v>
      </c>
      <c r="C57">
        <v>6</v>
      </c>
      <c r="D57">
        <v>4</v>
      </c>
      <c r="E57">
        <v>2</v>
      </c>
      <c r="F57">
        <v>25</v>
      </c>
      <c r="G57" s="3">
        <f t="shared" si="17"/>
        <v>0.0555555555555556</v>
      </c>
      <c r="I57" t="s">
        <v>43</v>
      </c>
      <c r="M57">
        <v>2</v>
      </c>
      <c r="O57">
        <v>2</v>
      </c>
      <c r="Q57">
        <v>1</v>
      </c>
      <c r="R57">
        <f t="shared" si="18"/>
        <v>2</v>
      </c>
      <c r="S57">
        <f t="shared" si="19"/>
        <v>3</v>
      </c>
    </row>
    <row r="58" spans="1:19">
      <c r="A58" t="s">
        <v>44</v>
      </c>
      <c r="B58">
        <v>4</v>
      </c>
      <c r="C58">
        <v>4</v>
      </c>
      <c r="D58">
        <v>4</v>
      </c>
      <c r="E58">
        <v>1</v>
      </c>
      <c r="F58">
        <v>20</v>
      </c>
      <c r="G58" s="3">
        <f t="shared" si="17"/>
        <v>0.037037037037037</v>
      </c>
      <c r="I58" t="s">
        <v>44</v>
      </c>
      <c r="K58">
        <v>1</v>
      </c>
      <c r="L58">
        <v>4</v>
      </c>
      <c r="R58">
        <f t="shared" si="18"/>
        <v>5</v>
      </c>
      <c r="S58">
        <f t="shared" si="19"/>
        <v>0</v>
      </c>
    </row>
    <row r="59" spans="1:19">
      <c r="A59" t="s">
        <v>45</v>
      </c>
      <c r="B59">
        <v>12</v>
      </c>
      <c r="C59">
        <v>2</v>
      </c>
      <c r="D59">
        <v>2</v>
      </c>
      <c r="E59">
        <v>4</v>
      </c>
      <c r="F59">
        <v>80</v>
      </c>
      <c r="G59" s="3">
        <f t="shared" si="17"/>
        <v>0.0277777777777778</v>
      </c>
      <c r="I59" t="s">
        <v>45</v>
      </c>
      <c r="J59">
        <v>2</v>
      </c>
      <c r="N59">
        <v>2</v>
      </c>
      <c r="O59">
        <v>2</v>
      </c>
      <c r="P59">
        <v>2</v>
      </c>
      <c r="Q59">
        <v>1</v>
      </c>
      <c r="R59">
        <f t="shared" si="18"/>
        <v>4</v>
      </c>
      <c r="S59">
        <f t="shared" si="19"/>
        <v>5</v>
      </c>
    </row>
    <row r="60" spans="1:19">
      <c r="A60" t="s">
        <v>46</v>
      </c>
      <c r="B60">
        <v>12</v>
      </c>
      <c r="C60">
        <v>2</v>
      </c>
      <c r="D60">
        <v>2</v>
      </c>
      <c r="E60">
        <v>4</v>
      </c>
      <c r="F60">
        <v>80</v>
      </c>
      <c r="G60" s="3">
        <f t="shared" si="17"/>
        <v>0.0277777777777778</v>
      </c>
      <c r="I60" t="s">
        <v>46</v>
      </c>
      <c r="J60">
        <v>4</v>
      </c>
      <c r="K60">
        <v>1</v>
      </c>
      <c r="N60">
        <v>4</v>
      </c>
      <c r="O60">
        <v>1</v>
      </c>
      <c r="P60">
        <v>3</v>
      </c>
      <c r="R60">
        <f t="shared" si="18"/>
        <v>6</v>
      </c>
      <c r="S60">
        <f t="shared" si="19"/>
        <v>7</v>
      </c>
    </row>
    <row r="61" spans="1:19">
      <c r="A61" t="s">
        <v>47</v>
      </c>
      <c r="B61">
        <v>12</v>
      </c>
      <c r="C61">
        <v>2</v>
      </c>
      <c r="D61">
        <v>2</v>
      </c>
      <c r="E61">
        <v>4</v>
      </c>
      <c r="F61">
        <v>80</v>
      </c>
      <c r="G61" s="3">
        <f t="shared" si="17"/>
        <v>0.0277777777777778</v>
      </c>
      <c r="I61" t="s">
        <v>47</v>
      </c>
      <c r="K61">
        <v>2</v>
      </c>
      <c r="L61">
        <v>4</v>
      </c>
      <c r="M61">
        <v>4</v>
      </c>
      <c r="N61">
        <v>1</v>
      </c>
      <c r="Q61">
        <v>3</v>
      </c>
      <c r="R61">
        <f t="shared" si="18"/>
        <v>6</v>
      </c>
      <c r="S61">
        <f t="shared" si="19"/>
        <v>8</v>
      </c>
    </row>
    <row r="62" spans="1:19">
      <c r="A62" t="s">
        <v>48</v>
      </c>
      <c r="B62">
        <v>12</v>
      </c>
      <c r="C62">
        <v>2</v>
      </c>
      <c r="D62">
        <v>2</v>
      </c>
      <c r="E62">
        <v>4</v>
      </c>
      <c r="F62">
        <v>80</v>
      </c>
      <c r="G62" s="3">
        <f t="shared" si="17"/>
        <v>0.0277777777777778</v>
      </c>
      <c r="I62" t="s">
        <v>48</v>
      </c>
      <c r="K62">
        <v>2</v>
      </c>
      <c r="L62">
        <v>3</v>
      </c>
      <c r="M62">
        <v>3</v>
      </c>
      <c r="Q62">
        <v>4</v>
      </c>
      <c r="R62">
        <f t="shared" si="18"/>
        <v>5</v>
      </c>
      <c r="S62">
        <f t="shared" si="19"/>
        <v>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zoomScale="80" zoomScaleNormal="80" workbookViewId="0">
      <selection activeCell="A25" sqref="A25"/>
    </sheetView>
  </sheetViews>
  <sheetFormatPr defaultColWidth="8.88888888888889" defaultRowHeight="17.6"/>
  <cols>
    <col min="2" max="2" width="31.1319444444444" customWidth="1"/>
    <col min="3" max="3" width="12.5555555555556"/>
    <col min="4" max="4" width="10.8402777777778" customWidth="1"/>
    <col min="7" max="7" width="12.5555555555556"/>
    <col min="9" max="10" width="12.5555555555556"/>
    <col min="12" max="12" width="12.5555555555556"/>
    <col min="18" max="18" width="15.1875" customWidth="1"/>
    <col min="19" max="19" width="15.7638888888889" customWidth="1"/>
    <col min="20" max="20" width="9.82638888888889" customWidth="1"/>
    <col min="21" max="21" width="10.9930555555556" customWidth="1"/>
  </cols>
  <sheetData>
    <row r="1" spans="2:19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</row>
    <row r="2" ht="18" spans="1:19">
      <c r="A2" t="s">
        <v>24</v>
      </c>
      <c r="B2" t="s">
        <v>115</v>
      </c>
      <c r="C2" t="s">
        <v>116</v>
      </c>
      <c r="D2" t="s">
        <v>115</v>
      </c>
      <c r="E2" t="s">
        <v>117</v>
      </c>
      <c r="F2" t="s">
        <v>118</v>
      </c>
      <c r="G2" t="s">
        <v>119</v>
      </c>
      <c r="H2" t="s">
        <v>120</v>
      </c>
      <c r="I2">
        <f>_xlfn.XLOOKUP(A2,$A$2:$A$21,$C$26:$C$45)</f>
        <v>2072.55588235294</v>
      </c>
      <c r="J2" t="str">
        <f t="shared" ref="J2:O2" si="0">IF(AND(B2&lt;&gt;"",C2&lt;&gt;"",B2&lt;&gt;C2),B2&amp;"-&gt;"&amp;C2,"")</f>
        <v>B-&gt;A</v>
      </c>
      <c r="K2" s="3" t="str">
        <f t="shared" si="0"/>
        <v>A-&gt;B</v>
      </c>
      <c r="L2" s="3" t="str">
        <f t="shared" si="0"/>
        <v>B-&gt;C</v>
      </c>
      <c r="M2" s="3" t="str">
        <f t="shared" si="0"/>
        <v>C-&gt;D</v>
      </c>
      <c r="N2" s="3" t="str">
        <f t="shared" si="0"/>
        <v>D-&gt;I</v>
      </c>
      <c r="O2" s="3" t="str">
        <f t="shared" si="0"/>
        <v>I-&gt;J</v>
      </c>
      <c r="P2" s="4" t="s">
        <v>116</v>
      </c>
      <c r="Q2" s="4" t="s">
        <v>115</v>
      </c>
      <c r="R2" s="3">
        <f>SUMPRODUCT($I$2:$I$21*(($J$2:$J$21=$P2&amp;"-&gt;"&amp;$Q2)+($K$2:$K$21=$P2&amp;"-&gt;"&amp;$Q2)+($L$2:$L$21=$P2&amp;"-&gt;"&amp;$Q2)+($M$2:$M$21=$P2&amp;"-&gt;"&amp;$Q2)+($N$2:$N$21=$P2&amp;"-&gt;"&amp;$Q2)+($O$2:$O$21=$P2&amp;"-&gt;"&amp;$Q2)))</f>
        <v>3428.93823529412</v>
      </c>
      <c r="S2" s="3">
        <f>SUMPRODUCT($D$26:$D$45*(($J$2:$J$21=$P2&amp;"-&gt;"&amp;$Q2)+($K$2:$K$21=$P2&amp;"-&gt;"&amp;$Q2)+($L$2:$L$21=$P2&amp;"-&gt;"&amp;$Q2)+($M$2:$M$21=$P2&amp;"-&gt;"&amp;$Q2)+($N$2:$N$21=$P2&amp;"-&gt;"&amp;$Q2)+($O$2:$O$21=$P2&amp;"-&gt;"&amp;$Q2)))</f>
        <v>42.8617279411765</v>
      </c>
    </row>
    <row r="3" ht="18" spans="1:19">
      <c r="A3" t="s">
        <v>25</v>
      </c>
      <c r="B3" t="s">
        <v>116</v>
      </c>
      <c r="C3" t="s">
        <v>117</v>
      </c>
      <c r="D3" t="s">
        <v>118</v>
      </c>
      <c r="E3" t="s">
        <v>121</v>
      </c>
      <c r="F3" t="s">
        <v>120</v>
      </c>
      <c r="I3">
        <f>_xlfn.XLOOKUP(A3,$A$2:$A$21,$C$26:$C$45)</f>
        <v>1154.69411764706</v>
      </c>
      <c r="J3" t="str">
        <f t="shared" ref="J3:O3" si="1">IF(AND(B3&lt;&gt;"",C3&lt;&gt;"",B3&lt;&gt;C3),B3&amp;"-&gt;"&amp;C3,"")</f>
        <v>A-&gt;C</v>
      </c>
      <c r="K3" s="3" t="str">
        <f t="shared" si="1"/>
        <v>C-&gt;D</v>
      </c>
      <c r="L3" s="3" t="str">
        <f t="shared" si="1"/>
        <v>D-&gt;H</v>
      </c>
      <c r="M3" s="3" t="str">
        <f t="shared" si="1"/>
        <v>H-&gt;J</v>
      </c>
      <c r="N3" s="3" t="str">
        <f t="shared" si="1"/>
        <v/>
      </c>
      <c r="O3" s="3" t="str">
        <f t="shared" si="1"/>
        <v/>
      </c>
      <c r="P3" s="4" t="s">
        <v>116</v>
      </c>
      <c r="Q3" s="4" t="s">
        <v>117</v>
      </c>
      <c r="R3" s="3">
        <f>SUMPRODUCT($I$2:$I$21*(($J$2:$J$21=$P3&amp;"-&gt;"&amp;$Q3)+($K$2:$K$21=$P3&amp;"-&gt;"&amp;$Q3)+($L$2:$L$21=$P3&amp;"-&gt;"&amp;$Q3)+($M$2:$M$21=$P3&amp;"-&gt;"&amp;$Q3)+($N$2:$N$21=$P3&amp;"-&gt;"&amp;$Q3)+($O$2:$O$21=$P3&amp;"-&gt;"&amp;$Q3)))</f>
        <v>1154.69411764706</v>
      </c>
      <c r="S3" s="3">
        <f>SUMPRODUCT($D$26:$D$45*(($J$2:$J$21=$P3&amp;"-&gt;"&amp;$Q3)+($K$2:$K$21=$P3&amp;"-&gt;"&amp;$Q3)+($L$2:$L$21=$P3&amp;"-&gt;"&amp;$Q3)+($M$2:$M$21=$P3&amp;"-&gt;"&amp;$Q3)+($N$2:$N$21=$P3&amp;"-&gt;"&amp;$Q3)+($O$2:$O$21=$P3&amp;"-&gt;"&amp;$Q3)))</f>
        <v>14.4336764705882</v>
      </c>
    </row>
    <row r="4" ht="18" spans="1:19">
      <c r="A4" t="s">
        <v>26</v>
      </c>
      <c r="B4" t="s">
        <v>115</v>
      </c>
      <c r="C4" t="s">
        <v>118</v>
      </c>
      <c r="D4" t="s">
        <v>117</v>
      </c>
      <c r="E4" t="s">
        <v>119</v>
      </c>
      <c r="F4" t="s">
        <v>120</v>
      </c>
      <c r="I4">
        <f>_xlfn.XLOOKUP(A4,$A$2:$A$21,$C$26:$C$45)</f>
        <v>673.585294117647</v>
      </c>
      <c r="J4" t="str">
        <f t="shared" ref="J4:O4" si="2">IF(AND(B4&lt;&gt;"",C4&lt;&gt;"",B4&lt;&gt;C4),B4&amp;"-&gt;"&amp;C4,"")</f>
        <v>B-&gt;D</v>
      </c>
      <c r="K4" s="3" t="str">
        <f t="shared" si="2"/>
        <v>D-&gt;C</v>
      </c>
      <c r="L4" s="3" t="str">
        <f t="shared" si="2"/>
        <v>C-&gt;I</v>
      </c>
      <c r="M4" s="3" t="str">
        <f t="shared" si="2"/>
        <v>I-&gt;J</v>
      </c>
      <c r="N4" s="3" t="str">
        <f t="shared" si="2"/>
        <v/>
      </c>
      <c r="O4" s="3" t="str">
        <f t="shared" si="2"/>
        <v/>
      </c>
      <c r="P4" s="4" t="s">
        <v>115</v>
      </c>
      <c r="Q4" s="4" t="s">
        <v>116</v>
      </c>
      <c r="R4" s="3">
        <f>SUMPRODUCT($I$2:$I$21*(($J$2:$J$21=$P4&amp;"-&gt;"&amp;$Q4)+($K$2:$K$21=$P4&amp;"-&gt;"&amp;$Q4)+($L$2:$L$21=$P4&amp;"-&gt;"&amp;$Q4)+($M$2:$M$21=$P4&amp;"-&gt;"&amp;$Q4)+($N$2:$N$21=$P4&amp;"-&gt;"&amp;$Q4)+($O$2:$O$21=$P4&amp;"-&gt;"&amp;$Q4)))</f>
        <v>2072.55588235294</v>
      </c>
      <c r="S4" s="3">
        <f>SUMPRODUCT($D$26:$D$45*(($J$2:$J$21=$P4&amp;"-&gt;"&amp;$Q4)+($K$2:$K$21=$P4&amp;"-&gt;"&amp;$Q4)+($L$2:$L$21=$P4&amp;"-&gt;"&amp;$Q4)+($M$2:$M$21=$P4&amp;"-&gt;"&amp;$Q4)+($N$2:$N$21=$P4&amp;"-&gt;"&amp;$Q4)+($O$2:$O$21=$P4&amp;"-&gt;"&amp;$Q4)))</f>
        <v>25.9069485294118</v>
      </c>
    </row>
    <row r="5" ht="18" spans="1:19">
      <c r="A5" t="s">
        <v>27</v>
      </c>
      <c r="B5" t="s">
        <v>116</v>
      </c>
      <c r="C5" t="s">
        <v>115</v>
      </c>
      <c r="D5" t="s">
        <v>118</v>
      </c>
      <c r="E5" t="s">
        <v>122</v>
      </c>
      <c r="F5" t="s">
        <v>121</v>
      </c>
      <c r="I5">
        <f>_xlfn.XLOOKUP(A5,$A$2:$A$21,$C$26:$C$45)</f>
        <v>896.958823529412</v>
      </c>
      <c r="J5" t="str">
        <f t="shared" ref="J5:O5" si="3">IF(AND(B5&lt;&gt;"",C5&lt;&gt;"",B5&lt;&gt;C5),B5&amp;"-&gt;"&amp;C5,"")</f>
        <v>A-&gt;B</v>
      </c>
      <c r="K5" s="3" t="str">
        <f t="shared" si="3"/>
        <v>B-&gt;D</v>
      </c>
      <c r="L5" s="3" t="str">
        <f t="shared" si="3"/>
        <v>D-&gt;G</v>
      </c>
      <c r="M5" s="3" t="str">
        <f t="shared" si="3"/>
        <v>G-&gt;H</v>
      </c>
      <c r="N5" s="3" t="str">
        <f t="shared" si="3"/>
        <v/>
      </c>
      <c r="O5" s="3" t="str">
        <f t="shared" si="3"/>
        <v/>
      </c>
      <c r="P5" s="4" t="s">
        <v>115</v>
      </c>
      <c r="Q5" s="4" t="s">
        <v>117</v>
      </c>
      <c r="R5" s="3">
        <f>SUMPRODUCT($I$2:$I$21*(($J$2:$J$21=$P5&amp;"-&gt;"&amp;$Q5)+($K$2:$K$21=$P5&amp;"-&gt;"&amp;$Q5)+($L$2:$L$21=$P5&amp;"-&gt;"&amp;$Q5)+($M$2:$M$21=$P5&amp;"-&gt;"&amp;$Q5)+($N$2:$N$21=$P5&amp;"-&gt;"&amp;$Q5)+($O$2:$O$21=$P5&amp;"-&gt;"&amp;$Q5)))</f>
        <v>3182.53823529412</v>
      </c>
      <c r="S5" s="3">
        <f>SUMPRODUCT($D$26:$D$45*(($J$2:$J$21=$P5&amp;"-&gt;"&amp;$Q5)+($K$2:$K$21=$P5&amp;"-&gt;"&amp;$Q5)+($L$2:$L$21=$P5&amp;"-&gt;"&amp;$Q5)+($M$2:$M$21=$P5&amp;"-&gt;"&amp;$Q5)+($N$2:$N$21=$P5&amp;"-&gt;"&amp;$Q5)+($O$2:$O$21=$P5&amp;"-&gt;"&amp;$Q5)))</f>
        <v>39.7817279411765</v>
      </c>
    </row>
    <row r="6" ht="18" spans="1:19">
      <c r="A6" t="s">
        <v>29</v>
      </c>
      <c r="B6" t="s">
        <v>115</v>
      </c>
      <c r="C6" t="s">
        <v>117</v>
      </c>
      <c r="D6" t="s">
        <v>118</v>
      </c>
      <c r="E6" t="s">
        <v>119</v>
      </c>
      <c r="I6">
        <f>_xlfn.XLOOKUP(A6,$A$2:$A$21,$C$26:$C$45)</f>
        <v>650.558823529412</v>
      </c>
      <c r="J6" t="str">
        <f t="shared" ref="J6:O6" si="4">IF(AND(B6&lt;&gt;"",C6&lt;&gt;"",B6&lt;&gt;C6),B6&amp;"-&gt;"&amp;C6,"")</f>
        <v>B-&gt;C</v>
      </c>
      <c r="K6" s="3" t="str">
        <f t="shared" si="4"/>
        <v>C-&gt;D</v>
      </c>
      <c r="L6" s="3" t="str">
        <f t="shared" si="4"/>
        <v>D-&gt;I</v>
      </c>
      <c r="M6" s="3" t="str">
        <f t="shared" si="4"/>
        <v/>
      </c>
      <c r="N6" s="3" t="str">
        <f t="shared" si="4"/>
        <v/>
      </c>
      <c r="O6" s="3" t="str">
        <f t="shared" si="4"/>
        <v/>
      </c>
      <c r="P6" s="4" t="s">
        <v>115</v>
      </c>
      <c r="Q6" s="4" t="s">
        <v>118</v>
      </c>
      <c r="R6" s="3">
        <f>SUMPRODUCT($I$2:$I$21*(($J$2:$J$21=$P6&amp;"-&gt;"&amp;$Q6)+($K$2:$K$21=$P6&amp;"-&gt;"&amp;$Q6)+($L$2:$L$21=$P6&amp;"-&gt;"&amp;$Q6)+($M$2:$M$21=$P6&amp;"-&gt;"&amp;$Q6)+($N$2:$N$21=$P6&amp;"-&gt;"&amp;$Q6)+($O$2:$O$21=$P6&amp;"-&gt;"&amp;$Q6)))</f>
        <v>1570.54411764706</v>
      </c>
      <c r="S6" s="3">
        <f>SUMPRODUCT($D$26:$D$45*(($J$2:$J$21=$P6&amp;"-&gt;"&amp;$Q6)+($K$2:$K$21=$P6&amp;"-&gt;"&amp;$Q6)+($L$2:$L$21=$P6&amp;"-&gt;"&amp;$Q6)+($M$2:$M$21=$P6&amp;"-&gt;"&amp;$Q6)+($N$2:$N$21=$P6&amp;"-&gt;"&amp;$Q6)+($O$2:$O$21=$P6&amp;"-&gt;"&amp;$Q6)))</f>
        <v>19.6318014705882</v>
      </c>
    </row>
    <row r="7" ht="18" spans="1:19">
      <c r="A7" t="s">
        <v>30</v>
      </c>
      <c r="B7" t="s">
        <v>116</v>
      </c>
      <c r="C7" t="s">
        <v>115</v>
      </c>
      <c r="D7" t="s">
        <v>117</v>
      </c>
      <c r="E7" t="s">
        <v>118</v>
      </c>
      <c r="F7" t="s">
        <v>121</v>
      </c>
      <c r="G7" t="s">
        <v>119</v>
      </c>
      <c r="H7" t="s">
        <v>120</v>
      </c>
      <c r="I7">
        <f>_xlfn.XLOOKUP(A7,$A$2:$A$21,$C$26:$C$45)</f>
        <v>459.423529411765</v>
      </c>
      <c r="J7" t="str">
        <f t="shared" ref="J7:O7" si="5">IF(AND(B7&lt;&gt;"",C7&lt;&gt;"",B7&lt;&gt;C7),B7&amp;"-&gt;"&amp;C7,"")</f>
        <v>A-&gt;B</v>
      </c>
      <c r="K7" s="3" t="str">
        <f t="shared" si="5"/>
        <v>B-&gt;C</v>
      </c>
      <c r="L7" s="3" t="str">
        <f t="shared" si="5"/>
        <v>C-&gt;D</v>
      </c>
      <c r="M7" s="3" t="str">
        <f t="shared" si="5"/>
        <v>D-&gt;H</v>
      </c>
      <c r="N7" s="3" t="str">
        <f t="shared" si="5"/>
        <v>H-&gt;I</v>
      </c>
      <c r="O7" s="3" t="str">
        <f t="shared" si="5"/>
        <v>I-&gt;J</v>
      </c>
      <c r="P7" s="4" t="s">
        <v>117</v>
      </c>
      <c r="Q7" s="4" t="s">
        <v>118</v>
      </c>
      <c r="R7" s="3">
        <f>SUMPRODUCT($I$2:$I$21*(($J$2:$J$21=$P7&amp;"-&gt;"&amp;$Q7)+($K$2:$K$21=$P7&amp;"-&gt;"&amp;$Q7)+($L$2:$L$21=$P7&amp;"-&gt;"&amp;$Q7)+($M$2:$M$21=$P7&amp;"-&gt;"&amp;$Q7)+($N$2:$N$21=$P7&amp;"-&gt;"&amp;$Q7)+($O$2:$O$21=$P7&amp;"-&gt;"&amp;$Q7)))</f>
        <v>5595.07941176471</v>
      </c>
      <c r="S7" s="3">
        <f>SUMPRODUCT($D$26:$D$45*(($J$2:$J$21=$P7&amp;"-&gt;"&amp;$Q7)+($K$2:$K$21=$P7&amp;"-&gt;"&amp;$Q7)+($L$2:$L$21=$P7&amp;"-&gt;"&amp;$Q7)+($M$2:$M$21=$P7&amp;"-&gt;"&amp;$Q7)+($N$2:$N$21=$P7&amp;"-&gt;"&amp;$Q7)+($O$2:$O$21=$P7&amp;"-&gt;"&amp;$Q7)))</f>
        <v>69.9384926470588</v>
      </c>
    </row>
    <row r="8" ht="18" spans="1:19">
      <c r="A8" t="s">
        <v>31</v>
      </c>
      <c r="B8" t="s">
        <v>123</v>
      </c>
      <c r="C8" t="s">
        <v>124</v>
      </c>
      <c r="D8" t="s">
        <v>117</v>
      </c>
      <c r="E8" t="s">
        <v>118</v>
      </c>
      <c r="F8" t="s">
        <v>119</v>
      </c>
      <c r="G8" t="s">
        <v>120</v>
      </c>
      <c r="I8">
        <f>_xlfn.XLOOKUP(A8,$A$2:$A$21,$C$26:$C$45)</f>
        <v>1257.84705882353</v>
      </c>
      <c r="J8" t="str">
        <f t="shared" ref="J8:O8" si="6">IF(AND(B8&lt;&gt;"",C8&lt;&gt;"",B8&lt;&gt;C8),B8&amp;"-&gt;"&amp;C8,"")</f>
        <v>E-&gt;F</v>
      </c>
      <c r="K8" s="3" t="str">
        <f t="shared" si="6"/>
        <v>F-&gt;C</v>
      </c>
      <c r="L8" s="3" t="str">
        <f t="shared" si="6"/>
        <v>C-&gt;D</v>
      </c>
      <c r="M8" s="3" t="str">
        <f t="shared" si="6"/>
        <v>D-&gt;I</v>
      </c>
      <c r="N8" s="3" t="str">
        <f t="shared" si="6"/>
        <v>I-&gt;J</v>
      </c>
      <c r="O8" s="3" t="str">
        <f t="shared" si="6"/>
        <v/>
      </c>
      <c r="P8" s="4" t="s">
        <v>117</v>
      </c>
      <c r="Q8" s="4" t="s">
        <v>119</v>
      </c>
      <c r="R8" s="3">
        <f>SUMPRODUCT($I$2:$I$21*(($J$2:$J$21=$P8&amp;"-&gt;"&amp;$Q8)+($K$2:$K$21=$P8&amp;"-&gt;"&amp;$Q8)+($L$2:$L$21=$P8&amp;"-&gt;"&amp;$Q8)+($M$2:$M$21=$P8&amp;"-&gt;"&amp;$Q8)+($N$2:$N$21=$P8&amp;"-&gt;"&amp;$Q8)+($O$2:$O$21=$P8&amp;"-&gt;"&amp;$Q8)))</f>
        <v>673.585294117647</v>
      </c>
      <c r="S8" s="3">
        <f>SUMPRODUCT($D$26:$D$45*(($J$2:$J$21=$P8&amp;"-&gt;"&amp;$Q8)+($K$2:$K$21=$P8&amp;"-&gt;"&amp;$Q8)+($L$2:$L$21=$P8&amp;"-&gt;"&amp;$Q8)+($M$2:$M$21=$P8&amp;"-&gt;"&amp;$Q8)+($N$2:$N$21=$P8&amp;"-&gt;"&amp;$Q8)+($O$2:$O$21=$P8&amp;"-&gt;"&amp;$Q8)))</f>
        <v>8.41981617647059</v>
      </c>
    </row>
    <row r="9" ht="18" spans="1:19">
      <c r="A9" t="s">
        <v>32</v>
      </c>
      <c r="B9" t="s">
        <v>123</v>
      </c>
      <c r="C9" t="s">
        <v>121</v>
      </c>
      <c r="D9" t="s">
        <v>120</v>
      </c>
      <c r="E9" t="s">
        <v>119</v>
      </c>
      <c r="I9">
        <f>_xlfn.XLOOKUP(A9,$A$2:$A$21,$C$26:$C$45)</f>
        <v>492.8</v>
      </c>
      <c r="J9" t="str">
        <f t="shared" ref="J9:O9" si="7">IF(AND(B9&lt;&gt;"",C9&lt;&gt;"",B9&lt;&gt;C9),B9&amp;"-&gt;"&amp;C9,"")</f>
        <v>E-&gt;H</v>
      </c>
      <c r="K9" s="3" t="str">
        <f t="shared" si="7"/>
        <v>H-&gt;J</v>
      </c>
      <c r="L9" s="3" t="str">
        <f t="shared" si="7"/>
        <v>J-&gt;I</v>
      </c>
      <c r="M9" s="3" t="str">
        <f t="shared" si="7"/>
        <v/>
      </c>
      <c r="N9" s="3" t="str">
        <f t="shared" si="7"/>
        <v/>
      </c>
      <c r="O9" s="3" t="str">
        <f t="shared" si="7"/>
        <v/>
      </c>
      <c r="P9" s="4" t="s">
        <v>118</v>
      </c>
      <c r="Q9" s="4" t="s">
        <v>117</v>
      </c>
      <c r="R9" s="3">
        <f>SUMPRODUCT($I$2:$I$21*(($J$2:$J$21=$P9&amp;"-&gt;"&amp;$Q9)+($K$2:$K$21=$P9&amp;"-&gt;"&amp;$Q9)+($L$2:$L$21=$P9&amp;"-&gt;"&amp;$Q9)+($M$2:$M$21=$P9&amp;"-&gt;"&amp;$Q9)+($N$2:$N$21=$P9&amp;"-&gt;"&amp;$Q9)+($O$2:$O$21=$P9&amp;"-&gt;"&amp;$Q9)))</f>
        <v>673.585294117647</v>
      </c>
      <c r="S9" s="3">
        <f>SUMPRODUCT($D$26:$D$45*(($J$2:$J$21=$P9&amp;"-&gt;"&amp;$Q9)+($K$2:$K$21=$P9&amp;"-&gt;"&amp;$Q9)+($L$2:$L$21=$P9&amp;"-&gt;"&amp;$Q9)+($M$2:$M$21=$P9&amp;"-&gt;"&amp;$Q9)+($N$2:$N$21=$P9&amp;"-&gt;"&amp;$Q9)+($O$2:$O$21=$P9&amp;"-&gt;"&amp;$Q9)))</f>
        <v>8.41981617647059</v>
      </c>
    </row>
    <row r="10" ht="18" spans="1:19">
      <c r="A10" t="s">
        <v>34</v>
      </c>
      <c r="B10" t="s">
        <v>124</v>
      </c>
      <c r="C10" t="s">
        <v>122</v>
      </c>
      <c r="D10" t="s">
        <v>123</v>
      </c>
      <c r="E10" t="s">
        <v>122</v>
      </c>
      <c r="F10" t="s">
        <v>119</v>
      </c>
      <c r="G10" t="s">
        <v>120</v>
      </c>
      <c r="I10">
        <f>_xlfn.XLOOKUP(A10,$A$2:$A$21,$C$26:$C$45)</f>
        <v>784.235294117647</v>
      </c>
      <c r="J10" t="str">
        <f t="shared" ref="J10:O10" si="8">IF(AND(B10&lt;&gt;"",C10&lt;&gt;"",B10&lt;&gt;C10),B10&amp;"-&gt;"&amp;C10,"")</f>
        <v>F-&gt;G</v>
      </c>
      <c r="K10" s="3" t="str">
        <f t="shared" si="8"/>
        <v>G-&gt;E</v>
      </c>
      <c r="L10" s="3" t="str">
        <f t="shared" si="8"/>
        <v>E-&gt;G</v>
      </c>
      <c r="M10" s="3" t="str">
        <f t="shared" si="8"/>
        <v>G-&gt;I</v>
      </c>
      <c r="N10" s="3" t="str">
        <f t="shared" si="8"/>
        <v>I-&gt;J</v>
      </c>
      <c r="O10" s="3" t="str">
        <f t="shared" si="8"/>
        <v/>
      </c>
      <c r="P10" s="4" t="s">
        <v>118</v>
      </c>
      <c r="Q10" s="4" t="s">
        <v>122</v>
      </c>
      <c r="R10" s="3">
        <f>SUMPRODUCT($I$2:$I$21*(($J$2:$J$21=$P10&amp;"-&gt;"&amp;$Q10)+($K$2:$K$21=$P10&amp;"-&gt;"&amp;$Q10)+($L$2:$L$21=$P10&amp;"-&gt;"&amp;$Q10)+($M$2:$M$21=$P10&amp;"-&gt;"&amp;$Q10)+($N$2:$N$21=$P10&amp;"-&gt;"&amp;$Q10)+($O$2:$O$21=$P10&amp;"-&gt;"&amp;$Q10)))</f>
        <v>896.958823529412</v>
      </c>
      <c r="S10" s="3">
        <f>SUMPRODUCT($D$26:$D$45*(($J$2:$J$21=$P10&amp;"-&gt;"&amp;$Q10)+($K$2:$K$21=$P10&amp;"-&gt;"&amp;$Q10)+($L$2:$L$21=$P10&amp;"-&gt;"&amp;$Q10)+($M$2:$M$21=$P10&amp;"-&gt;"&amp;$Q10)+($N$2:$N$21=$P10&amp;"-&gt;"&amp;$Q10)+($O$2:$O$21=$P10&amp;"-&gt;"&amp;$Q10)))</f>
        <v>11.2119852941176</v>
      </c>
    </row>
    <row r="11" ht="18" spans="1:19">
      <c r="A11" t="s">
        <v>36</v>
      </c>
      <c r="B11" t="s">
        <v>123</v>
      </c>
      <c r="C11" t="s">
        <v>124</v>
      </c>
      <c r="D11" t="s">
        <v>119</v>
      </c>
      <c r="E11" t="s">
        <v>120</v>
      </c>
      <c r="I11">
        <f>_xlfn.XLOOKUP(A11,$A$2:$A$21,$C$26:$C$45)</f>
        <v>479.494117647059</v>
      </c>
      <c r="J11" t="str">
        <f t="shared" ref="J11:O11" si="9">IF(AND(B11&lt;&gt;"",C11&lt;&gt;"",B11&lt;&gt;C11),B11&amp;"-&gt;"&amp;C11,"")</f>
        <v>E-&gt;F</v>
      </c>
      <c r="K11" s="3" t="str">
        <f t="shared" si="9"/>
        <v>F-&gt;I</v>
      </c>
      <c r="L11" s="3" t="str">
        <f t="shared" si="9"/>
        <v>I-&gt;J</v>
      </c>
      <c r="M11" s="3" t="str">
        <f t="shared" si="9"/>
        <v/>
      </c>
      <c r="N11" s="3" t="str">
        <f t="shared" si="9"/>
        <v/>
      </c>
      <c r="O11" s="3" t="str">
        <f t="shared" si="9"/>
        <v/>
      </c>
      <c r="P11" s="4" t="s">
        <v>118</v>
      </c>
      <c r="Q11" s="4" t="s">
        <v>121</v>
      </c>
      <c r="R11" s="3">
        <f>SUMPRODUCT($I$2:$I$21*(($J$2:$J$21=$P11&amp;"-&gt;"&amp;$Q11)+($K$2:$K$21=$P11&amp;"-&gt;"&amp;$Q11)+($L$2:$L$21=$P11&amp;"-&gt;"&amp;$Q11)+($M$2:$M$21=$P11&amp;"-&gt;"&amp;$Q11)+($N$2:$N$21=$P11&amp;"-&gt;"&amp;$Q11)+($O$2:$O$21=$P11&amp;"-&gt;"&amp;$Q11)))</f>
        <v>1614.11764705882</v>
      </c>
      <c r="S11" s="3">
        <f>SUMPRODUCT($D$26:$D$45*(($J$2:$J$21=$P11&amp;"-&gt;"&amp;$Q11)+($K$2:$K$21=$P11&amp;"-&gt;"&amp;$Q11)+($L$2:$L$21=$P11&amp;"-&gt;"&amp;$Q11)+($M$2:$M$21=$P11&amp;"-&gt;"&amp;$Q11)+($N$2:$N$21=$P11&amp;"-&gt;"&amp;$Q11)+($O$2:$O$21=$P11&amp;"-&gt;"&amp;$Q11)))</f>
        <v>20.1764705882353</v>
      </c>
    </row>
    <row r="12" ht="18" spans="1:19">
      <c r="A12" t="s">
        <v>37</v>
      </c>
      <c r="B12" t="s">
        <v>123</v>
      </c>
      <c r="C12" t="s">
        <v>122</v>
      </c>
      <c r="D12" t="s">
        <v>123</v>
      </c>
      <c r="E12" t="s">
        <v>122</v>
      </c>
      <c r="F12" t="s">
        <v>119</v>
      </c>
      <c r="I12">
        <f>_xlfn.XLOOKUP(A12,$A$2:$A$21,$C$26:$C$45)</f>
        <v>918.847058823529</v>
      </c>
      <c r="J12" t="str">
        <f t="shared" ref="J12:O12" si="10">IF(AND(B12&lt;&gt;"",C12&lt;&gt;"",B12&lt;&gt;C12),B12&amp;"-&gt;"&amp;C12,"")</f>
        <v>E-&gt;G</v>
      </c>
      <c r="K12" s="3" t="str">
        <f t="shared" si="10"/>
        <v>G-&gt;E</v>
      </c>
      <c r="L12" s="3" t="str">
        <f t="shared" si="10"/>
        <v>E-&gt;G</v>
      </c>
      <c r="M12" s="3" t="str">
        <f t="shared" si="10"/>
        <v>G-&gt;I</v>
      </c>
      <c r="N12" s="3" t="str">
        <f t="shared" si="10"/>
        <v/>
      </c>
      <c r="O12" s="3" t="str">
        <f t="shared" si="10"/>
        <v/>
      </c>
      <c r="P12" s="4" t="s">
        <v>118</v>
      </c>
      <c r="Q12" s="4" t="s">
        <v>119</v>
      </c>
      <c r="R12" s="3">
        <f>SUMPRODUCT($I$2:$I$21*(($J$2:$J$21=$P12&amp;"-&gt;"&amp;$Q12)+($K$2:$K$21=$P12&amp;"-&gt;"&amp;$Q12)+($L$2:$L$21=$P12&amp;"-&gt;"&amp;$Q12)+($M$2:$M$21=$P12&amp;"-&gt;"&amp;$Q12)+($N$2:$N$21=$P12&amp;"-&gt;"&amp;$Q12)+($O$2:$O$21=$P12&amp;"-&gt;"&amp;$Q12)))</f>
        <v>3980.96176470588</v>
      </c>
      <c r="S12" s="3">
        <f>SUMPRODUCT($D$26:$D$45*(($J$2:$J$21=$P12&amp;"-&gt;"&amp;$Q12)+($K$2:$K$21=$P12&amp;"-&gt;"&amp;$Q12)+($L$2:$L$21=$P12&amp;"-&gt;"&amp;$Q12)+($M$2:$M$21=$P12&amp;"-&gt;"&amp;$Q12)+($N$2:$N$21=$P12&amp;"-&gt;"&amp;$Q12)+($O$2:$O$21=$P12&amp;"-&gt;"&amp;$Q12)))</f>
        <v>49.7620220588235</v>
      </c>
    </row>
    <row r="13" ht="18" spans="1:19">
      <c r="A13" t="s">
        <v>38</v>
      </c>
      <c r="B13" t="s">
        <v>123</v>
      </c>
      <c r="C13" t="s">
        <v>122</v>
      </c>
      <c r="D13" t="s">
        <v>124</v>
      </c>
      <c r="E13" t="s">
        <v>119</v>
      </c>
      <c r="F13" t="s">
        <v>120</v>
      </c>
      <c r="I13">
        <f>_xlfn.XLOOKUP(A13,$A$2:$A$21,$C$26:$C$45)</f>
        <v>1114.55294117647</v>
      </c>
      <c r="J13" t="str">
        <f t="shared" ref="J13:O13" si="11">IF(AND(B13&lt;&gt;"",C13&lt;&gt;"",B13&lt;&gt;C13),B13&amp;"-&gt;"&amp;C13,"")</f>
        <v>E-&gt;G</v>
      </c>
      <c r="K13" s="3" t="str">
        <f t="shared" si="11"/>
        <v>G-&gt;F</v>
      </c>
      <c r="L13" s="3" t="str">
        <f t="shared" si="11"/>
        <v>F-&gt;I</v>
      </c>
      <c r="M13" s="3" t="str">
        <f t="shared" si="11"/>
        <v>I-&gt;J</v>
      </c>
      <c r="N13" s="3" t="str">
        <f t="shared" si="11"/>
        <v/>
      </c>
      <c r="O13" s="3" t="str">
        <f t="shared" si="11"/>
        <v/>
      </c>
      <c r="P13" s="4" t="s">
        <v>123</v>
      </c>
      <c r="Q13" s="4" t="s">
        <v>124</v>
      </c>
      <c r="R13" s="3">
        <f>SUMPRODUCT($I$2:$I$21*(($J$2:$J$21=$P13&amp;"-&gt;"&amp;$Q13)+($K$2:$K$21=$P13&amp;"-&gt;"&amp;$Q13)+($L$2:$L$21=$P13&amp;"-&gt;"&amp;$Q13)+($M$2:$M$21=$P13&amp;"-&gt;"&amp;$Q13)+($N$2:$N$21=$P13&amp;"-&gt;"&amp;$Q13)+($O$2:$O$21=$P13&amp;"-&gt;"&amp;$Q13)))</f>
        <v>3954.17647058824</v>
      </c>
      <c r="S13" s="3">
        <f>SUMPRODUCT($D$26:$D$45*(($J$2:$J$21=$P13&amp;"-&gt;"&amp;$Q13)+($K$2:$K$21=$P13&amp;"-&gt;"&amp;$Q13)+($L$2:$L$21=$P13&amp;"-&gt;"&amp;$Q13)+($M$2:$M$21=$P13&amp;"-&gt;"&amp;$Q13)+($N$2:$N$21=$P13&amp;"-&gt;"&amp;$Q13)+($O$2:$O$21=$P13&amp;"-&gt;"&amp;$Q13)))</f>
        <v>49.4272058823529</v>
      </c>
    </row>
    <row r="14" ht="18" spans="1:19">
      <c r="A14" t="s">
        <v>39</v>
      </c>
      <c r="B14" t="s">
        <v>123</v>
      </c>
      <c r="C14" t="s">
        <v>124</v>
      </c>
      <c r="D14" t="s">
        <v>122</v>
      </c>
      <c r="E14" t="s">
        <v>124</v>
      </c>
      <c r="F14" t="s">
        <v>122</v>
      </c>
      <c r="G14" t="s">
        <v>121</v>
      </c>
      <c r="H14" t="s">
        <v>119</v>
      </c>
      <c r="I14">
        <f>_xlfn.XLOOKUP(A14,$A$2:$A$21,$C$26:$C$45)</f>
        <v>557.276470588235</v>
      </c>
      <c r="J14" t="str">
        <f t="shared" ref="J14:O14" si="12">IF(AND(B14&lt;&gt;"",C14&lt;&gt;"",B14&lt;&gt;C14),B14&amp;"-&gt;"&amp;C14,"")</f>
        <v>E-&gt;F</v>
      </c>
      <c r="K14" s="3" t="str">
        <f t="shared" si="12"/>
        <v>F-&gt;G</v>
      </c>
      <c r="L14" s="3" t="str">
        <f t="shared" si="12"/>
        <v>G-&gt;F</v>
      </c>
      <c r="M14" s="3" t="str">
        <f t="shared" si="12"/>
        <v>F-&gt;G</v>
      </c>
      <c r="N14" s="3" t="str">
        <f t="shared" si="12"/>
        <v>G-&gt;H</v>
      </c>
      <c r="O14" s="3" t="str">
        <f t="shared" si="12"/>
        <v>H-&gt;I</v>
      </c>
      <c r="P14" s="4" t="s">
        <v>123</v>
      </c>
      <c r="Q14" s="4" t="s">
        <v>122</v>
      </c>
      <c r="R14" s="3">
        <f>SUMPRODUCT($I$2:$I$21*(($J$2:$J$21=$P14&amp;"-&gt;"&amp;$Q14)+($K$2:$K$21=$P14&amp;"-&gt;"&amp;$Q14)+($L$2:$L$21=$P14&amp;"-&gt;"&amp;$Q14)+($M$2:$M$21=$P14&amp;"-&gt;"&amp;$Q14)+($N$2:$N$21=$P14&amp;"-&gt;"&amp;$Q14)+($O$2:$O$21=$P14&amp;"-&gt;"&amp;$Q14)))</f>
        <v>3982.88235294118</v>
      </c>
      <c r="S14" s="3">
        <f>SUMPRODUCT($D$26:$D$45*(($J$2:$J$21=$P14&amp;"-&gt;"&amp;$Q14)+($K$2:$K$21=$P14&amp;"-&gt;"&amp;$Q14)+($L$2:$L$21=$P14&amp;"-&gt;"&amp;$Q14)+($M$2:$M$21=$P14&amp;"-&gt;"&amp;$Q14)+($N$2:$N$21=$P14&amp;"-&gt;"&amp;$Q14)+($O$2:$O$21=$P14&amp;"-&gt;"&amp;$Q14)))</f>
        <v>49.7860294117647</v>
      </c>
    </row>
    <row r="15" ht="18" spans="1:19">
      <c r="A15" t="s">
        <v>42</v>
      </c>
      <c r="B15" t="s">
        <v>123</v>
      </c>
      <c r="C15" t="s">
        <v>124</v>
      </c>
      <c r="D15" t="s">
        <v>122</v>
      </c>
      <c r="E15" t="s">
        <v>121</v>
      </c>
      <c r="I15">
        <f>_xlfn.XLOOKUP(A15,$A$2:$A$21,$C$26:$C$45)</f>
        <v>1659.55882352941</v>
      </c>
      <c r="J15" t="str">
        <f t="shared" ref="J15:O15" si="13">IF(AND(B15&lt;&gt;"",C15&lt;&gt;"",B15&lt;&gt;C15),B15&amp;"-&gt;"&amp;C15,"")</f>
        <v>E-&gt;F</v>
      </c>
      <c r="K15" s="3" t="str">
        <f t="shared" si="13"/>
        <v>F-&gt;G</v>
      </c>
      <c r="L15" s="3" t="str">
        <f t="shared" si="13"/>
        <v>G-&gt;H</v>
      </c>
      <c r="M15" s="3" t="str">
        <f t="shared" si="13"/>
        <v/>
      </c>
      <c r="N15" s="3" t="str">
        <f t="shared" si="13"/>
        <v/>
      </c>
      <c r="O15" s="3" t="str">
        <f t="shared" si="13"/>
        <v/>
      </c>
      <c r="P15" s="4" t="s">
        <v>123</v>
      </c>
      <c r="Q15" s="4" t="s">
        <v>121</v>
      </c>
      <c r="R15" s="3">
        <f>SUMPRODUCT($I$2:$I$21*(($J$2:$J$21=$P15&amp;"-&gt;"&amp;$Q15)+($K$2:$K$21=$P15&amp;"-&gt;"&amp;$Q15)+($L$2:$L$21=$P15&amp;"-&gt;"&amp;$Q15)+($M$2:$M$21=$P15&amp;"-&gt;"&amp;$Q15)+($N$2:$N$21=$P15&amp;"-&gt;"&amp;$Q15)+($O$2:$O$21=$P15&amp;"-&gt;"&amp;$Q15)))</f>
        <v>492.8</v>
      </c>
      <c r="S15" s="3">
        <f>SUMPRODUCT($D$26:$D$45*(($J$2:$J$21=$P15&amp;"-&gt;"&amp;$Q15)+($K$2:$K$21=$P15&amp;"-&gt;"&amp;$Q15)+($L$2:$L$21=$P15&amp;"-&gt;"&amp;$Q15)+($M$2:$M$21=$P15&amp;"-&gt;"&amp;$Q15)+($N$2:$N$21=$P15&amp;"-&gt;"&amp;$Q15)+($O$2:$O$21=$P15&amp;"-&gt;"&amp;$Q15)))</f>
        <v>6.16</v>
      </c>
    </row>
    <row r="16" ht="18" spans="1:19">
      <c r="A16" t="s">
        <v>43</v>
      </c>
      <c r="B16" t="s">
        <v>123</v>
      </c>
      <c r="C16" t="s">
        <v>122</v>
      </c>
      <c r="D16" t="s">
        <v>124</v>
      </c>
      <c r="E16" t="s">
        <v>121</v>
      </c>
      <c r="F16" t="s">
        <v>120</v>
      </c>
      <c r="I16">
        <f>_xlfn.XLOOKUP(A16,$A$2:$A$21,$C$26:$C$45)</f>
        <v>246.4</v>
      </c>
      <c r="J16" t="str">
        <f t="shared" ref="J16:O16" si="14">IF(AND(B16&lt;&gt;"",C16&lt;&gt;"",B16&lt;&gt;C16),B16&amp;"-&gt;"&amp;C16,"")</f>
        <v>E-&gt;G</v>
      </c>
      <c r="K16" s="3" t="str">
        <f t="shared" si="14"/>
        <v>G-&gt;F</v>
      </c>
      <c r="L16" s="3" t="str">
        <f t="shared" si="14"/>
        <v>F-&gt;H</v>
      </c>
      <c r="M16" s="3" t="str">
        <f t="shared" si="14"/>
        <v>H-&gt;J</v>
      </c>
      <c r="N16" s="3" t="str">
        <f t="shared" si="14"/>
        <v/>
      </c>
      <c r="O16" s="3" t="str">
        <f t="shared" si="14"/>
        <v/>
      </c>
      <c r="P16" s="4" t="s">
        <v>124</v>
      </c>
      <c r="Q16" s="4" t="s">
        <v>117</v>
      </c>
      <c r="R16" s="3">
        <f>SUMPRODUCT($I$2:$I$21*(($J$2:$J$21=$P16&amp;"-&gt;"&amp;$Q16)+($K$2:$K$21=$P16&amp;"-&gt;"&amp;$Q16)+($L$2:$L$21=$P16&amp;"-&gt;"&amp;$Q16)+($M$2:$M$21=$P16&amp;"-&gt;"&amp;$Q16)+($N$2:$N$21=$P16&amp;"-&gt;"&amp;$Q16)+($O$2:$O$21=$P16&amp;"-&gt;"&amp;$Q16)))</f>
        <v>1257.84705882353</v>
      </c>
      <c r="S16" s="3">
        <f>SUMPRODUCT($D$26:$D$45*(($J$2:$J$21=$P16&amp;"-&gt;"&amp;$Q16)+($K$2:$K$21=$P16&amp;"-&gt;"&amp;$Q16)+($L$2:$L$21=$P16&amp;"-&gt;"&amp;$Q16)+($M$2:$M$21=$P16&amp;"-&gt;"&amp;$Q16)+($N$2:$N$21=$P16&amp;"-&gt;"&amp;$Q16)+($O$2:$O$21=$P16&amp;"-&gt;"&amp;$Q16)))</f>
        <v>15.7230882352941</v>
      </c>
    </row>
    <row r="17" ht="18" spans="1:19">
      <c r="A17" t="s">
        <v>44</v>
      </c>
      <c r="B17" t="s">
        <v>124</v>
      </c>
      <c r="C17" t="s">
        <v>121</v>
      </c>
      <c r="D17" t="s">
        <v>119</v>
      </c>
      <c r="E17" t="s">
        <v>120</v>
      </c>
      <c r="I17">
        <f>_xlfn.XLOOKUP(A17,$A$2:$A$21,$C$26:$C$45)</f>
        <v>1167.44117647059</v>
      </c>
      <c r="J17" t="str">
        <f t="shared" ref="J17:O17" si="15">IF(AND(B17&lt;&gt;"",C17&lt;&gt;"",B17&lt;&gt;C17),B17&amp;"-&gt;"&amp;C17,"")</f>
        <v>F-&gt;H</v>
      </c>
      <c r="K17" s="3" t="str">
        <f t="shared" si="15"/>
        <v>H-&gt;I</v>
      </c>
      <c r="L17" s="3" t="str">
        <f t="shared" si="15"/>
        <v>I-&gt;J</v>
      </c>
      <c r="M17" s="3" t="str">
        <f t="shared" si="15"/>
        <v/>
      </c>
      <c r="N17" s="3" t="str">
        <f t="shared" si="15"/>
        <v/>
      </c>
      <c r="O17" s="3" t="str">
        <f t="shared" si="15"/>
        <v/>
      </c>
      <c r="P17" s="4" t="s">
        <v>124</v>
      </c>
      <c r="Q17" s="4" t="s">
        <v>122</v>
      </c>
      <c r="R17" s="3">
        <f>SUMPRODUCT($I$2:$I$21*(($J$2:$J$21=$P17&amp;"-&gt;"&amp;$Q17)+($K$2:$K$21=$P17&amp;"-&gt;"&amp;$Q17)+($L$2:$L$21=$P17&amp;"-&gt;"&amp;$Q17)+($M$2:$M$21=$P17&amp;"-&gt;"&amp;$Q17)+($N$2:$N$21=$P17&amp;"-&gt;"&amp;$Q17)+($O$2:$O$21=$P17&amp;"-&gt;"&amp;$Q17)))</f>
        <v>3558.34705882353</v>
      </c>
      <c r="S17" s="3">
        <f>SUMPRODUCT($D$26:$D$45*(($J$2:$J$21=$P17&amp;"-&gt;"&amp;$Q17)+($K$2:$K$21=$P17&amp;"-&gt;"&amp;$Q17)+($L$2:$L$21=$P17&amp;"-&gt;"&amp;$Q17)+($M$2:$M$21=$P17&amp;"-&gt;"&amp;$Q17)+($N$2:$N$21=$P17&amp;"-&gt;"&amp;$Q17)+($O$2:$O$21=$P17&amp;"-&gt;"&amp;$Q17)))</f>
        <v>44.4793382352941</v>
      </c>
    </row>
    <row r="18" ht="18" spans="1:19">
      <c r="A18" t="s">
        <v>45</v>
      </c>
      <c r="B18" t="s">
        <v>125</v>
      </c>
      <c r="C18" t="s">
        <v>126</v>
      </c>
      <c r="D18" t="s">
        <v>127</v>
      </c>
      <c r="I18">
        <f>_xlfn.XLOOKUP(A18,$A$2:$A$21,$C$26:$C$45)</f>
        <v>557.276470588235</v>
      </c>
      <c r="J18" t="str">
        <f t="shared" ref="J18:O18" si="16">IF(AND(B18&lt;&gt;"",C18&lt;&gt;"",B18&lt;&gt;C18),B18&amp;"-&gt;"&amp;C18,"")</f>
        <v>K-&gt;L</v>
      </c>
      <c r="K18" s="3" t="str">
        <f t="shared" si="16"/>
        <v>L-&gt;M</v>
      </c>
      <c r="L18" s="3" t="str">
        <f t="shared" si="16"/>
        <v/>
      </c>
      <c r="M18" s="3" t="str">
        <f t="shared" si="16"/>
        <v/>
      </c>
      <c r="N18" s="3" t="str">
        <f t="shared" si="16"/>
        <v/>
      </c>
      <c r="O18" s="3" t="str">
        <f t="shared" si="16"/>
        <v/>
      </c>
      <c r="P18" s="4" t="s">
        <v>124</v>
      </c>
      <c r="Q18" s="4" t="s">
        <v>121</v>
      </c>
      <c r="R18" s="3">
        <f>SUMPRODUCT($I$2:$I$21*(($J$2:$J$21=$P18&amp;"-&gt;"&amp;$Q18)+($K$2:$K$21=$P18&amp;"-&gt;"&amp;$Q18)+($L$2:$L$21=$P18&amp;"-&gt;"&amp;$Q18)+($M$2:$M$21=$P18&amp;"-&gt;"&amp;$Q18)+($N$2:$N$21=$P18&amp;"-&gt;"&amp;$Q18)+($O$2:$O$21=$P18&amp;"-&gt;"&amp;$Q18)))</f>
        <v>1413.84117647059</v>
      </c>
      <c r="S18" s="3">
        <f>SUMPRODUCT($D$26:$D$45*(($J$2:$J$21=$P18&amp;"-&gt;"&amp;$Q18)+($K$2:$K$21=$P18&amp;"-&gt;"&amp;$Q18)+($L$2:$L$21=$P18&amp;"-&gt;"&amp;$Q18)+($M$2:$M$21=$P18&amp;"-&gt;"&amp;$Q18)+($N$2:$N$21=$P18&amp;"-&gt;"&amp;$Q18)+($O$2:$O$21=$P18&amp;"-&gt;"&amp;$Q18)))</f>
        <v>17.6730147058824</v>
      </c>
    </row>
    <row r="19" ht="18" spans="1:19">
      <c r="A19" t="s">
        <v>46</v>
      </c>
      <c r="B19" t="s">
        <v>125</v>
      </c>
      <c r="C19" t="s">
        <v>126</v>
      </c>
      <c r="D19" t="s">
        <v>125</v>
      </c>
      <c r="E19" t="s">
        <v>127</v>
      </c>
      <c r="I19">
        <f>_xlfn.XLOOKUP(A19,$A$2:$A$21,$C$26:$C$45)</f>
        <v>1248.22941176471</v>
      </c>
      <c r="J19" t="str">
        <f t="shared" ref="J19:O19" si="17">IF(AND(B19&lt;&gt;"",C19&lt;&gt;"",B19&lt;&gt;C19),B19&amp;"-&gt;"&amp;C19,"")</f>
        <v>K-&gt;L</v>
      </c>
      <c r="K19" s="3" t="str">
        <f t="shared" si="17"/>
        <v>L-&gt;K</v>
      </c>
      <c r="L19" s="3" t="str">
        <f t="shared" si="17"/>
        <v>K-&gt;M</v>
      </c>
      <c r="M19" s="3" t="str">
        <f t="shared" si="17"/>
        <v/>
      </c>
      <c r="N19" s="3" t="str">
        <f t="shared" si="17"/>
        <v/>
      </c>
      <c r="O19" s="3" t="str">
        <f t="shared" si="17"/>
        <v/>
      </c>
      <c r="P19" s="4" t="s">
        <v>124</v>
      </c>
      <c r="Q19" s="4" t="s">
        <v>119</v>
      </c>
      <c r="R19" s="3">
        <f>SUMPRODUCT($I$2:$I$21*(($J$2:$J$21=$P19&amp;"-&gt;"&amp;$Q19)+($K$2:$K$21=$P19&amp;"-&gt;"&amp;$Q19)+($L$2:$L$21=$P19&amp;"-&gt;"&amp;$Q19)+($M$2:$M$21=$P19&amp;"-&gt;"&amp;$Q19)+($N$2:$N$21=$P19&amp;"-&gt;"&amp;$Q19)+($O$2:$O$21=$P19&amp;"-&gt;"&amp;$Q19)))</f>
        <v>1594.04705882353</v>
      </c>
      <c r="S19" s="3">
        <f>SUMPRODUCT($D$26:$D$45*(($J$2:$J$21=$P19&amp;"-&gt;"&amp;$Q19)+($K$2:$K$21=$P19&amp;"-&gt;"&amp;$Q19)+($L$2:$L$21=$P19&amp;"-&gt;"&amp;$Q19)+($M$2:$M$21=$P19&amp;"-&gt;"&amp;$Q19)+($N$2:$N$21=$P19&amp;"-&gt;"&amp;$Q19)+($O$2:$O$21=$P19&amp;"-&gt;"&amp;$Q19)))</f>
        <v>19.9255882352941</v>
      </c>
    </row>
    <row r="20" ht="18" spans="1:19">
      <c r="A20" t="s">
        <v>47</v>
      </c>
      <c r="B20" t="s">
        <v>126</v>
      </c>
      <c r="C20" t="s">
        <v>127</v>
      </c>
      <c r="D20" t="s">
        <v>126</v>
      </c>
      <c r="E20" t="s">
        <v>127</v>
      </c>
      <c r="I20">
        <f>_xlfn.XLOOKUP(A20,$A$2:$A$21,$C$26:$C$45)</f>
        <v>1974.70294117647</v>
      </c>
      <c r="J20" t="str">
        <f t="shared" ref="J20:O20" si="18">IF(AND(B20&lt;&gt;"",C20&lt;&gt;"",B20&lt;&gt;C20),B20&amp;"-&gt;"&amp;C20,"")</f>
        <v>L-&gt;M</v>
      </c>
      <c r="K20" s="3" t="str">
        <f t="shared" si="18"/>
        <v>M-&gt;L</v>
      </c>
      <c r="L20" s="3" t="str">
        <f t="shared" si="18"/>
        <v>L-&gt;M</v>
      </c>
      <c r="M20" s="3" t="str">
        <f t="shared" si="18"/>
        <v/>
      </c>
      <c r="N20" s="3" t="str">
        <f t="shared" si="18"/>
        <v/>
      </c>
      <c r="O20" s="3" t="str">
        <f t="shared" si="18"/>
        <v/>
      </c>
      <c r="P20" s="4" t="s">
        <v>122</v>
      </c>
      <c r="Q20" s="4" t="s">
        <v>123</v>
      </c>
      <c r="R20" s="3">
        <f>SUMPRODUCT($I$2:$I$21*(($J$2:$J$21=$P20&amp;"-&gt;"&amp;$Q20)+($K$2:$K$21=$P20&amp;"-&gt;"&amp;$Q20)+($L$2:$L$21=$P20&amp;"-&gt;"&amp;$Q20)+($M$2:$M$21=$P20&amp;"-&gt;"&amp;$Q20)+($N$2:$N$21=$P20&amp;"-&gt;"&amp;$Q20)+($O$2:$O$21=$P20&amp;"-&gt;"&amp;$Q20)))</f>
        <v>1703.08235294118</v>
      </c>
      <c r="S20" s="3">
        <f>SUMPRODUCT($D$26:$D$45*(($J$2:$J$21=$P20&amp;"-&gt;"&amp;$Q20)+($K$2:$K$21=$P20&amp;"-&gt;"&amp;$Q20)+($L$2:$L$21=$P20&amp;"-&gt;"&amp;$Q20)+($M$2:$M$21=$P20&amp;"-&gt;"&amp;$Q20)+($N$2:$N$21=$P20&amp;"-&gt;"&amp;$Q20)+($O$2:$O$21=$P20&amp;"-&gt;"&amp;$Q20)))</f>
        <v>21.2885294117647</v>
      </c>
    </row>
    <row r="21" ht="18" spans="1:19">
      <c r="A21" t="s">
        <v>48</v>
      </c>
      <c r="B21" t="s">
        <v>126</v>
      </c>
      <c r="C21" t="s">
        <v>125</v>
      </c>
      <c r="D21" t="s">
        <v>127</v>
      </c>
      <c r="I21">
        <f>_xlfn.XLOOKUP(A21,$A$2:$A$21,$C$26:$C$45)</f>
        <v>1412.27647058824</v>
      </c>
      <c r="J21" t="str">
        <f t="shared" ref="J21:O21" si="19">IF(AND(B21&lt;&gt;"",C21&lt;&gt;"",B21&lt;&gt;C21),B21&amp;"-&gt;"&amp;C21,"")</f>
        <v>L-&gt;K</v>
      </c>
      <c r="K21" s="3" t="str">
        <f t="shared" si="19"/>
        <v>K-&gt;M</v>
      </c>
      <c r="L21" s="3" t="str">
        <f t="shared" si="19"/>
        <v/>
      </c>
      <c r="M21" s="3" t="str">
        <f t="shared" si="19"/>
        <v/>
      </c>
      <c r="N21" s="3" t="str">
        <f t="shared" si="19"/>
        <v/>
      </c>
      <c r="O21" s="3" t="str">
        <f t="shared" si="19"/>
        <v/>
      </c>
      <c r="P21" s="4" t="s">
        <v>122</v>
      </c>
      <c r="Q21" s="4" t="s">
        <v>124</v>
      </c>
      <c r="R21" s="3">
        <f>SUMPRODUCT($I$2:$I$21*(($J$2:$J$21=$P21&amp;"-&gt;"&amp;$Q21)+($K$2:$K$21=$P21&amp;"-&gt;"&amp;$Q21)+($L$2:$L$21=$P21&amp;"-&gt;"&amp;$Q21)+($M$2:$M$21=$P21&amp;"-&gt;"&amp;$Q21)+($N$2:$N$21=$P21&amp;"-&gt;"&amp;$Q21)+($O$2:$O$21=$P21&amp;"-&gt;"&amp;$Q21)))</f>
        <v>1918.22941176471</v>
      </c>
      <c r="S21" s="3">
        <f>SUMPRODUCT($D$26:$D$45*(($J$2:$J$21=$P21&amp;"-&gt;"&amp;$Q21)+($K$2:$K$21=$P21&amp;"-&gt;"&amp;$Q21)+($L$2:$L$21=$P21&amp;"-&gt;"&amp;$Q21)+($M$2:$M$21=$P21&amp;"-&gt;"&amp;$Q21)+($N$2:$N$21=$P21&amp;"-&gt;"&amp;$Q21)+($O$2:$O$21=$P21&amp;"-&gt;"&amp;$Q21)))</f>
        <v>23.9778676470588</v>
      </c>
    </row>
    <row r="22" spans="16:19">
      <c r="P22" s="4" t="s">
        <v>122</v>
      </c>
      <c r="Q22" s="4" t="s">
        <v>121</v>
      </c>
      <c r="R22" s="3">
        <f>SUMPRODUCT($I$2:$I$21*(($J$2:$J$21=$P22&amp;"-&gt;"&amp;$Q22)+($K$2:$K$21=$P22&amp;"-&gt;"&amp;$Q22)+($L$2:$L$21=$P22&amp;"-&gt;"&amp;$Q22)+($M$2:$M$21=$P22&amp;"-&gt;"&amp;$Q22)+($N$2:$N$21=$P22&amp;"-&gt;"&amp;$Q22)+($O$2:$O$21=$P22&amp;"-&gt;"&amp;$Q22)))</f>
        <v>3113.79411764706</v>
      </c>
      <c r="S22" s="3">
        <f>SUMPRODUCT($D$26:$D$45*(($J$2:$J$21=$P22&amp;"-&gt;"&amp;$Q22)+($K$2:$K$21=$P22&amp;"-&gt;"&amp;$Q22)+($L$2:$L$21=$P22&amp;"-&gt;"&amp;$Q22)+($M$2:$M$21=$P22&amp;"-&gt;"&amp;$Q22)+($N$2:$N$21=$P22&amp;"-&gt;"&amp;$Q22)+($O$2:$O$21=$P22&amp;"-&gt;"&amp;$Q22)))</f>
        <v>38.9224264705882</v>
      </c>
    </row>
    <row r="23" spans="16:19">
      <c r="P23" s="4" t="s">
        <v>122</v>
      </c>
      <c r="Q23" s="4" t="s">
        <v>119</v>
      </c>
      <c r="R23" s="3">
        <f>SUMPRODUCT($I$2:$I$21*(($J$2:$J$21=$P23&amp;"-&gt;"&amp;$Q23)+($K$2:$K$21=$P23&amp;"-&gt;"&amp;$Q23)+($L$2:$L$21=$P23&amp;"-&gt;"&amp;$Q23)+($M$2:$M$21=$P23&amp;"-&gt;"&amp;$Q23)+($N$2:$N$21=$P23&amp;"-&gt;"&amp;$Q23)+($O$2:$O$21=$P23&amp;"-&gt;"&amp;$Q23)))</f>
        <v>1703.08235294118</v>
      </c>
      <c r="S23" s="3">
        <f>SUMPRODUCT($D$26:$D$45*(($J$2:$J$21=$P23&amp;"-&gt;"&amp;$Q23)+($K$2:$K$21=$P23&amp;"-&gt;"&amp;$Q23)+($L$2:$L$21=$P23&amp;"-&gt;"&amp;$Q23)+($M$2:$M$21=$P23&amp;"-&gt;"&amp;$Q23)+($N$2:$N$21=$P23&amp;"-&gt;"&amp;$Q23)+($O$2:$O$21=$P23&amp;"-&gt;"&amp;$Q23)))</f>
        <v>21.2885294117647</v>
      </c>
    </row>
    <row r="24" spans="16:19">
      <c r="P24" s="4" t="s">
        <v>121</v>
      </c>
      <c r="Q24" s="4" t="s">
        <v>119</v>
      </c>
      <c r="R24" s="3">
        <f>SUMPRODUCT($I$2:$I$21*(($J$2:$J$21=$P24&amp;"-&gt;"&amp;$Q24)+($K$2:$K$21=$P24&amp;"-&gt;"&amp;$Q24)+($L$2:$L$21=$P24&amp;"-&gt;"&amp;$Q24)+($M$2:$M$21=$P24&amp;"-&gt;"&amp;$Q24)+($N$2:$N$21=$P24&amp;"-&gt;"&amp;$Q24)+($O$2:$O$21=$P24&amp;"-&gt;"&amp;$Q24)))</f>
        <v>2184.14117647059</v>
      </c>
      <c r="S24" s="3">
        <f>SUMPRODUCT($D$26:$D$45*(($J$2:$J$21=$P24&amp;"-&gt;"&amp;$Q24)+($K$2:$K$21=$P24&amp;"-&gt;"&amp;$Q24)+($L$2:$L$21=$P24&amp;"-&gt;"&amp;$Q24)+($M$2:$M$21=$P24&amp;"-&gt;"&amp;$Q24)+($N$2:$N$21=$P24&amp;"-&gt;"&amp;$Q24)+($O$2:$O$21=$P24&amp;"-&gt;"&amp;$Q24)))</f>
        <v>27.3017647058824</v>
      </c>
    </row>
    <row r="25" spans="1:19">
      <c r="A25" s="1" t="s">
        <v>141</v>
      </c>
      <c r="B25" s="1" t="s">
        <v>128</v>
      </c>
      <c r="C25" t="s">
        <v>142</v>
      </c>
      <c r="D25" t="s">
        <v>130</v>
      </c>
      <c r="P25" s="4" t="s">
        <v>121</v>
      </c>
      <c r="Q25" s="4" t="s">
        <v>120</v>
      </c>
      <c r="R25" s="3">
        <f>SUMPRODUCT($I$2:$I$21*(($J$2:$J$21=$P25&amp;"-&gt;"&amp;$Q25)+($K$2:$K$21=$P25&amp;"-&gt;"&amp;$Q25)+($L$2:$L$21=$P25&amp;"-&gt;"&amp;$Q25)+($M$2:$M$21=$P25&amp;"-&gt;"&amp;$Q25)+($N$2:$N$21=$P25&amp;"-&gt;"&amp;$Q25)+($O$2:$O$21=$P25&amp;"-&gt;"&amp;$Q25)))</f>
        <v>1893.89411764706</v>
      </c>
      <c r="S25" s="3">
        <f>SUMPRODUCT($D$26:$D$45*(($J$2:$J$21=$P25&amp;"-&gt;"&amp;$Q25)+($K$2:$K$21=$P25&amp;"-&gt;"&amp;$Q25)+($L$2:$L$21=$P25&amp;"-&gt;"&amp;$Q25)+($M$2:$M$21=$P25&amp;"-&gt;"&amp;$Q25)+($N$2:$N$21=$P25&amp;"-&gt;"&amp;$Q25)+($O$2:$O$21=$P25&amp;"-&gt;"&amp;$Q25)))</f>
        <v>23.6736764705882</v>
      </c>
    </row>
    <row r="26" spans="1:19">
      <c r="A26" s="1" t="s">
        <v>24</v>
      </c>
      <c r="B26" s="1">
        <v>35233.45</v>
      </c>
      <c r="C26">
        <f>B26/17</f>
        <v>2072.55588235294</v>
      </c>
      <c r="D26">
        <f t="shared" ref="D26:D45" si="20">C26/16/5</f>
        <v>25.9069485294118</v>
      </c>
      <c r="P26" s="4" t="s">
        <v>119</v>
      </c>
      <c r="Q26" s="4" t="s">
        <v>120</v>
      </c>
      <c r="R26" s="3">
        <f>SUMPRODUCT($I$2:$I$21*(($J$2:$J$21=$P26&amp;"-&gt;"&amp;$Q26)+($K$2:$K$21=$P26&amp;"-&gt;"&amp;$Q26)+($L$2:$L$21=$P26&amp;"-&gt;"&amp;$Q26)+($M$2:$M$21=$P26&amp;"-&gt;"&amp;$Q26)+($N$2:$N$21=$P26&amp;"-&gt;"&amp;$Q26)+($O$2:$O$21=$P26&amp;"-&gt;"&amp;$Q26)))</f>
        <v>8009.13529411765</v>
      </c>
      <c r="S26" s="3">
        <f>SUMPRODUCT($D$26:$D$45*(($J$2:$J$21=$P26&amp;"-&gt;"&amp;$Q26)+($K$2:$K$21=$P26&amp;"-&gt;"&amp;$Q26)+($L$2:$L$21=$P26&amp;"-&gt;"&amp;$Q26)+($M$2:$M$21=$P26&amp;"-&gt;"&amp;$Q26)+($N$2:$N$21=$P26&amp;"-&gt;"&amp;$Q26)+($O$2:$O$21=$P26&amp;"-&gt;"&amp;$Q26)))</f>
        <v>100.114191176471</v>
      </c>
    </row>
    <row r="27" spans="1:19">
      <c r="A27" s="1" t="s">
        <v>25</v>
      </c>
      <c r="B27" s="1">
        <v>19629.8</v>
      </c>
      <c r="C27">
        <f t="shared" ref="C27:C45" si="21">B27/17</f>
        <v>1154.69411764706</v>
      </c>
      <c r="D27">
        <f t="shared" si="20"/>
        <v>14.4336764705882</v>
      </c>
      <c r="P27" s="4" t="s">
        <v>125</v>
      </c>
      <c r="Q27" s="4" t="s">
        <v>126</v>
      </c>
      <c r="R27" s="3">
        <f>SUMPRODUCT($I$2:$I$21*(($J$2:$J$21=$P27&amp;"-&gt;"&amp;$Q27)+($K$2:$K$21=$P27&amp;"-&gt;"&amp;$Q27)+($L$2:$L$21=$P27&amp;"-&gt;"&amp;$Q27)+($M$2:$M$21=$P27&amp;"-&gt;"&amp;$Q27)+($N$2:$N$21=$P27&amp;"-&gt;"&amp;$Q27)+($O$2:$O$21=$P27&amp;"-&gt;"&amp;$Q27)))</f>
        <v>1805.50588235294</v>
      </c>
      <c r="S27" s="3">
        <f>SUMPRODUCT($D$26:$D$45*(($J$2:$J$21=$P27&amp;"-&gt;"&amp;$Q27)+($K$2:$K$21=$P27&amp;"-&gt;"&amp;$Q27)+($L$2:$L$21=$P27&amp;"-&gt;"&amp;$Q27)+($M$2:$M$21=$P27&amp;"-&gt;"&amp;$Q27)+($N$2:$N$21=$P27&amp;"-&gt;"&amp;$Q27)+($O$2:$O$21=$P27&amp;"-&gt;"&amp;$Q27)))</f>
        <v>22.5688235294118</v>
      </c>
    </row>
    <row r="28" spans="1:19">
      <c r="A28" s="1" t="s">
        <v>26</v>
      </c>
      <c r="B28" s="1">
        <v>11450.95</v>
      </c>
      <c r="C28">
        <f t="shared" si="21"/>
        <v>673.585294117647</v>
      </c>
      <c r="D28">
        <f t="shared" si="20"/>
        <v>8.41981617647059</v>
      </c>
      <c r="P28" s="4" t="s">
        <v>125</v>
      </c>
      <c r="Q28" s="4" t="s">
        <v>127</v>
      </c>
      <c r="R28" s="3">
        <f>SUMPRODUCT($I$2:$I$21*(($J$2:$J$21=$P28&amp;"-&gt;"&amp;$Q28)+($K$2:$K$21=$P28&amp;"-&gt;"&amp;$Q28)+($L$2:$L$21=$P28&amp;"-&gt;"&amp;$Q28)+($M$2:$M$21=$P28&amp;"-&gt;"&amp;$Q28)+($N$2:$N$21=$P28&amp;"-&gt;"&amp;$Q28)+($O$2:$O$21=$P28&amp;"-&gt;"&amp;$Q28)))</f>
        <v>2660.50588235294</v>
      </c>
      <c r="S28" s="3">
        <f>SUMPRODUCT($D$26:$D$45*(($J$2:$J$21=$P28&amp;"-&gt;"&amp;$Q28)+($K$2:$K$21=$P28&amp;"-&gt;"&amp;$Q28)+($L$2:$L$21=$P28&amp;"-&gt;"&amp;$Q28)+($M$2:$M$21=$P28&amp;"-&gt;"&amp;$Q28)+($N$2:$N$21=$P28&amp;"-&gt;"&amp;$Q28)+($O$2:$O$21=$P28&amp;"-&gt;"&amp;$Q28)))</f>
        <v>33.2563235294118</v>
      </c>
    </row>
    <row r="29" spans="1:19">
      <c r="A29" s="1" t="s">
        <v>27</v>
      </c>
      <c r="B29" s="1">
        <v>15248.3</v>
      </c>
      <c r="C29">
        <f t="shared" si="21"/>
        <v>896.958823529412</v>
      </c>
      <c r="D29">
        <f t="shared" si="20"/>
        <v>11.2119852941176</v>
      </c>
      <c r="P29" s="4" t="s">
        <v>126</v>
      </c>
      <c r="Q29" s="4" t="s">
        <v>125</v>
      </c>
      <c r="R29" s="3">
        <f>SUMPRODUCT($I$2:$I$21*(($J$2:$J$21=$P29&amp;"-&gt;"&amp;$Q29)+($K$2:$K$21=$P29&amp;"-&gt;"&amp;$Q29)+($L$2:$L$21=$P29&amp;"-&gt;"&amp;$Q29)+($M$2:$M$21=$P29&amp;"-&gt;"&amp;$Q29)+($N$2:$N$21=$P29&amp;"-&gt;"&amp;$Q29)+($O$2:$O$21=$P29&amp;"-&gt;"&amp;$Q29)))</f>
        <v>2660.50588235294</v>
      </c>
      <c r="S29" s="3">
        <f>SUMPRODUCT($D$26:$D$45*(($J$2:$J$21=$P29&amp;"-&gt;"&amp;$Q29)+($K$2:$K$21=$P29&amp;"-&gt;"&amp;$Q29)+($L$2:$L$21=$P29&amp;"-&gt;"&amp;$Q29)+($M$2:$M$21=$P29&amp;"-&gt;"&amp;$Q29)+($N$2:$N$21=$P29&amp;"-&gt;"&amp;$Q29)+($O$2:$O$21=$P29&amp;"-&gt;"&amp;$Q29)))</f>
        <v>33.2563235294118</v>
      </c>
    </row>
    <row r="30" spans="1:19">
      <c r="A30" s="1" t="s">
        <v>29</v>
      </c>
      <c r="B30" s="1">
        <v>11059.5</v>
      </c>
      <c r="C30">
        <f t="shared" si="21"/>
        <v>650.558823529412</v>
      </c>
      <c r="D30">
        <f t="shared" si="20"/>
        <v>8.13198529411765</v>
      </c>
      <c r="P30" s="4" t="s">
        <v>126</v>
      </c>
      <c r="Q30" s="4" t="s">
        <v>127</v>
      </c>
      <c r="R30" s="3">
        <f>SUMPRODUCT($I$2:$I$21*(($J$2:$J$21=$P30&amp;"-&gt;"&amp;$Q30)+($K$2:$K$21=$P30&amp;"-&gt;"&amp;$Q30)+($L$2:$L$21=$P30&amp;"-&gt;"&amp;$Q30)+($M$2:$M$21=$P30&amp;"-&gt;"&amp;$Q30)+($N$2:$N$21=$P30&amp;"-&gt;"&amp;$Q30)+($O$2:$O$21=$P30&amp;"-&gt;"&amp;$Q30)))</f>
        <v>4506.68235294118</v>
      </c>
      <c r="S30" s="3">
        <f>SUMPRODUCT($D$26:$D$45*(($J$2:$J$21=$P30&amp;"-&gt;"&amp;$Q30)+($K$2:$K$21=$P30&amp;"-&gt;"&amp;$Q30)+($L$2:$L$21=$P30&amp;"-&gt;"&amp;$Q30)+($M$2:$M$21=$P30&amp;"-&gt;"&amp;$Q30)+($N$2:$N$21=$P30&amp;"-&gt;"&amp;$Q30)+($O$2:$O$21=$P30&amp;"-&gt;"&amp;$Q30)))</f>
        <v>56.3335294117647</v>
      </c>
    </row>
    <row r="31" spans="1:4">
      <c r="A31" s="1" t="s">
        <v>30</v>
      </c>
      <c r="B31" s="1">
        <v>7810.2</v>
      </c>
      <c r="C31">
        <f t="shared" si="21"/>
        <v>459.423529411765</v>
      </c>
      <c r="D31">
        <f t="shared" si="20"/>
        <v>5.74279411764706</v>
      </c>
    </row>
    <row r="32" spans="1:4">
      <c r="A32" s="1" t="s">
        <v>31</v>
      </c>
      <c r="B32" s="1">
        <v>21383.4</v>
      </c>
      <c r="C32">
        <f t="shared" si="21"/>
        <v>1257.84705882353</v>
      </c>
      <c r="D32">
        <f t="shared" si="20"/>
        <v>15.7230882352941</v>
      </c>
    </row>
    <row r="33" spans="1:4">
      <c r="A33" s="1" t="s">
        <v>32</v>
      </c>
      <c r="B33" s="1">
        <v>8377.6</v>
      </c>
      <c r="C33">
        <f t="shared" si="21"/>
        <v>492.8</v>
      </c>
      <c r="D33">
        <f t="shared" si="20"/>
        <v>6.16</v>
      </c>
    </row>
    <row r="34" spans="1:4">
      <c r="A34" s="1" t="s">
        <v>34</v>
      </c>
      <c r="B34" s="1">
        <v>13332</v>
      </c>
      <c r="C34">
        <f t="shared" si="21"/>
        <v>784.235294117647</v>
      </c>
      <c r="D34">
        <f t="shared" si="20"/>
        <v>9.80294117647059</v>
      </c>
    </row>
    <row r="35" spans="1:4">
      <c r="A35" s="1" t="s">
        <v>36</v>
      </c>
      <c r="B35" s="1">
        <v>8151.4</v>
      </c>
      <c r="C35">
        <f t="shared" si="21"/>
        <v>479.494117647059</v>
      </c>
      <c r="D35">
        <f t="shared" si="20"/>
        <v>5.99367647058824</v>
      </c>
    </row>
    <row r="36" spans="1:4">
      <c r="A36" s="1" t="s">
        <v>37</v>
      </c>
      <c r="B36" s="1">
        <v>15620.4</v>
      </c>
      <c r="C36">
        <f t="shared" si="21"/>
        <v>918.847058823529</v>
      </c>
      <c r="D36">
        <f t="shared" si="20"/>
        <v>11.4855882352941</v>
      </c>
    </row>
    <row r="37" spans="1:4">
      <c r="A37" s="1" t="s">
        <v>38</v>
      </c>
      <c r="B37" s="1">
        <v>18947.4</v>
      </c>
      <c r="C37">
        <f t="shared" si="21"/>
        <v>1114.55294117647</v>
      </c>
      <c r="D37">
        <f t="shared" si="20"/>
        <v>13.9319117647059</v>
      </c>
    </row>
    <row r="38" spans="1:4">
      <c r="A38" s="1" t="s">
        <v>39</v>
      </c>
      <c r="B38" s="1">
        <v>9473.7</v>
      </c>
      <c r="C38">
        <f t="shared" si="21"/>
        <v>557.276470588235</v>
      </c>
      <c r="D38">
        <f t="shared" si="20"/>
        <v>6.96595588235294</v>
      </c>
    </row>
    <row r="39" spans="1:4">
      <c r="A39" s="1" t="s">
        <v>42</v>
      </c>
      <c r="B39" s="1">
        <v>28212.5</v>
      </c>
      <c r="C39">
        <f t="shared" si="21"/>
        <v>1659.55882352941</v>
      </c>
      <c r="D39">
        <f t="shared" si="20"/>
        <v>20.7444852941176</v>
      </c>
    </row>
    <row r="40" spans="1:4">
      <c r="A40" s="1" t="s">
        <v>43</v>
      </c>
      <c r="B40" s="1">
        <v>4188.8</v>
      </c>
      <c r="C40">
        <f t="shared" si="21"/>
        <v>246.4</v>
      </c>
      <c r="D40">
        <f t="shared" si="20"/>
        <v>3.08</v>
      </c>
    </row>
    <row r="41" spans="1:4">
      <c r="A41" s="1" t="s">
        <v>44</v>
      </c>
      <c r="B41" s="1">
        <v>19846.5</v>
      </c>
      <c r="C41">
        <f t="shared" si="21"/>
        <v>1167.44117647059</v>
      </c>
      <c r="D41">
        <f t="shared" si="20"/>
        <v>14.5930147058824</v>
      </c>
    </row>
    <row r="42" spans="1:4">
      <c r="A42" s="1" t="s">
        <v>45</v>
      </c>
      <c r="B42" s="1">
        <v>9473.7</v>
      </c>
      <c r="C42">
        <f t="shared" si="21"/>
        <v>557.276470588235</v>
      </c>
      <c r="D42">
        <f t="shared" si="20"/>
        <v>6.96595588235294</v>
      </c>
    </row>
    <row r="43" spans="1:4">
      <c r="A43" s="1" t="s">
        <v>46</v>
      </c>
      <c r="B43" s="1">
        <v>21219.9</v>
      </c>
      <c r="C43">
        <f t="shared" si="21"/>
        <v>1248.22941176471</v>
      </c>
      <c r="D43">
        <f t="shared" si="20"/>
        <v>15.6028676470588</v>
      </c>
    </row>
    <row r="44" spans="1:4">
      <c r="A44" s="1" t="s">
        <v>47</v>
      </c>
      <c r="B44" s="1">
        <v>33569.95</v>
      </c>
      <c r="C44">
        <f t="shared" si="21"/>
        <v>1974.70294117647</v>
      </c>
      <c r="D44">
        <f t="shared" si="20"/>
        <v>24.6837867647059</v>
      </c>
    </row>
    <row r="45" spans="1:4">
      <c r="A45" s="1" t="s">
        <v>48</v>
      </c>
      <c r="B45" s="1">
        <v>24008.7</v>
      </c>
      <c r="C45">
        <f t="shared" si="21"/>
        <v>1412.27647058824</v>
      </c>
      <c r="D45">
        <f t="shared" si="20"/>
        <v>17.6534558823529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7"/>
  <sheetViews>
    <sheetView zoomScale="50" zoomScaleNormal="50" topLeftCell="A29" workbookViewId="0">
      <selection activeCell="X105" sqref="X105"/>
    </sheetView>
  </sheetViews>
  <sheetFormatPr defaultColWidth="8.88888888888889" defaultRowHeight="17.6"/>
  <cols>
    <col min="14" max="21" width="12.5555555555556"/>
    <col min="22" max="22" width="20.1388888888889" customWidth="1"/>
    <col min="23" max="23" width="19.2083333333333" customWidth="1"/>
    <col min="24" max="24" width="12.5555555555556"/>
    <col min="25" max="25" width="35.1805555555556" customWidth="1"/>
  </cols>
  <sheetData>
    <row r="1" spans="1: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8"/>
      <c r="B16" s="10" t="s">
        <v>5</v>
      </c>
      <c r="C16" s="11"/>
      <c r="D16" s="11"/>
      <c r="E16" s="11"/>
      <c r="F16" s="11"/>
      <c r="G16" s="11"/>
      <c r="H16" s="34"/>
      <c r="I16" s="35"/>
      <c r="J16" s="35"/>
      <c r="K16" s="35"/>
      <c r="L16" s="8"/>
      <c r="M16" s="45"/>
      <c r="N16" s="46" t="s">
        <v>6</v>
      </c>
      <c r="O16" s="46" t="s">
        <v>7</v>
      </c>
      <c r="P16" s="46" t="s">
        <v>8</v>
      </c>
      <c r="Q16" s="46" t="s">
        <v>9</v>
      </c>
      <c r="R16" s="46" t="s">
        <v>10</v>
      </c>
      <c r="S16" s="46" t="s">
        <v>132</v>
      </c>
      <c r="T16" s="46" t="s">
        <v>133</v>
      </c>
      <c r="U16" s="46" t="s">
        <v>134</v>
      </c>
      <c r="V16" s="45"/>
      <c r="W16" s="45"/>
      <c r="X16" s="45"/>
      <c r="Y16" s="45"/>
    </row>
    <row r="17" spans="1:25">
      <c r="A17" s="8"/>
      <c r="B17" s="12" t="s">
        <v>11</v>
      </c>
      <c r="C17" s="13" t="s">
        <v>6</v>
      </c>
      <c r="D17" s="13" t="s">
        <v>7</v>
      </c>
      <c r="E17" s="13" t="s">
        <v>8</v>
      </c>
      <c r="F17" s="13" t="s">
        <v>9</v>
      </c>
      <c r="G17" s="13" t="s">
        <v>10</v>
      </c>
      <c r="H17" s="13" t="s">
        <v>132</v>
      </c>
      <c r="I17" s="13" t="s">
        <v>133</v>
      </c>
      <c r="J17" s="13" t="s">
        <v>134</v>
      </c>
      <c r="K17" s="36" t="s">
        <v>12</v>
      </c>
      <c r="L17" s="8"/>
      <c r="M17" s="45" t="s">
        <v>13</v>
      </c>
      <c r="N17" s="45">
        <f t="shared" ref="N17:U17" si="0">C28*C32</f>
        <v>135</v>
      </c>
      <c r="O17" s="45">
        <f t="shared" si="0"/>
        <v>200</v>
      </c>
      <c r="P17" s="45">
        <f t="shared" si="0"/>
        <v>620</v>
      </c>
      <c r="Q17" s="45">
        <f t="shared" si="0"/>
        <v>216</v>
      </c>
      <c r="R17" s="45">
        <f t="shared" si="0"/>
        <v>432</v>
      </c>
      <c r="S17" s="45">
        <f t="shared" si="0"/>
        <v>500</v>
      </c>
      <c r="T17" s="45">
        <f t="shared" si="0"/>
        <v>225</v>
      </c>
      <c r="U17" s="45">
        <f t="shared" si="0"/>
        <v>144</v>
      </c>
      <c r="V17" s="45"/>
      <c r="W17" s="45"/>
      <c r="X17" s="45"/>
      <c r="Y17" s="45"/>
    </row>
    <row r="18" spans="1:25">
      <c r="A18" s="8"/>
      <c r="B18" s="72" t="s">
        <v>143</v>
      </c>
      <c r="C18" s="32">
        <v>46800</v>
      </c>
      <c r="D18" s="33">
        <v>52000</v>
      </c>
      <c r="E18" s="33">
        <v>161200</v>
      </c>
      <c r="F18" s="33">
        <v>93600</v>
      </c>
      <c r="G18" s="33">
        <v>124800</v>
      </c>
      <c r="H18" s="33">
        <v>104000</v>
      </c>
      <c r="I18" s="33">
        <v>78000</v>
      </c>
      <c r="J18" s="33">
        <v>93600</v>
      </c>
      <c r="K18" s="37">
        <v>629200</v>
      </c>
      <c r="L18" s="8"/>
      <c r="M18" s="45" t="s">
        <v>15</v>
      </c>
      <c r="N18" s="45">
        <f t="shared" ref="N18:U18" si="1">C28+2.575*N17</f>
        <v>1247.625</v>
      </c>
      <c r="O18" s="45">
        <f t="shared" si="1"/>
        <v>1515</v>
      </c>
      <c r="P18" s="45">
        <f t="shared" si="1"/>
        <v>4696.5</v>
      </c>
      <c r="Q18" s="45">
        <f t="shared" si="1"/>
        <v>2356.2</v>
      </c>
      <c r="R18" s="45">
        <f t="shared" si="1"/>
        <v>3512.4</v>
      </c>
      <c r="S18" s="45">
        <f t="shared" si="1"/>
        <v>3287.5</v>
      </c>
      <c r="T18" s="45">
        <f t="shared" si="1"/>
        <v>2079.375</v>
      </c>
      <c r="U18" s="45">
        <f t="shared" si="1"/>
        <v>2170.8</v>
      </c>
      <c r="V18" s="45"/>
      <c r="W18" s="45"/>
      <c r="X18" s="45"/>
      <c r="Y18" s="45"/>
    </row>
    <row r="19" spans="1:21">
      <c r="A19" s="8"/>
      <c r="B19" s="17"/>
      <c r="C19" s="17"/>
      <c r="D19" s="17"/>
      <c r="E19" s="17"/>
      <c r="F19" s="17"/>
      <c r="G19" s="17"/>
      <c r="H19" s="8"/>
      <c r="I19" s="8"/>
      <c r="J19" s="8"/>
      <c r="K19" s="8"/>
      <c r="L19" s="8"/>
      <c r="M19" s="45" t="s">
        <v>16</v>
      </c>
      <c r="N19" s="45">
        <f t="shared" ref="N19:U19" si="2">N18/(16*5)</f>
        <v>15.5953125</v>
      </c>
      <c r="O19" s="45">
        <f t="shared" si="2"/>
        <v>18.9375</v>
      </c>
      <c r="P19" s="45">
        <f t="shared" si="2"/>
        <v>58.70625</v>
      </c>
      <c r="Q19" s="45">
        <f t="shared" si="2"/>
        <v>29.4525</v>
      </c>
      <c r="R19" s="45">
        <f t="shared" si="2"/>
        <v>43.905</v>
      </c>
      <c r="S19" s="45">
        <f t="shared" si="2"/>
        <v>41.09375</v>
      </c>
      <c r="T19" s="45">
        <f t="shared" si="2"/>
        <v>25.9921875</v>
      </c>
      <c r="U19" s="45">
        <f t="shared" si="2"/>
        <v>27.135</v>
      </c>
    </row>
    <row r="20" spans="1:12">
      <c r="A20" s="8"/>
      <c r="B20" s="17"/>
      <c r="C20" s="17"/>
      <c r="D20" s="17"/>
      <c r="E20" s="17"/>
      <c r="F20" s="17"/>
      <c r="G20" s="17"/>
      <c r="H20" s="8"/>
      <c r="I20" s="8"/>
      <c r="J20" s="8"/>
      <c r="K20" s="8"/>
      <c r="L20" s="8"/>
    </row>
    <row r="21" spans="1:25">
      <c r="A21" s="8"/>
      <c r="B21" s="10" t="s">
        <v>17</v>
      </c>
      <c r="C21" s="11"/>
      <c r="D21" s="11"/>
      <c r="E21" s="11"/>
      <c r="F21" s="11"/>
      <c r="G21" s="11"/>
      <c r="H21" s="34"/>
      <c r="I21" s="35"/>
      <c r="J21" s="35"/>
      <c r="K21" s="35"/>
      <c r="L21" s="8"/>
      <c r="M21" t="s">
        <v>18</v>
      </c>
      <c r="N21" s="47" t="s">
        <v>6</v>
      </c>
      <c r="O21" s="47" t="s">
        <v>7</v>
      </c>
      <c r="P21" s="47" t="s">
        <v>8</v>
      </c>
      <c r="Q21" s="47" t="s">
        <v>9</v>
      </c>
      <c r="R21" s="47" t="s">
        <v>10</v>
      </c>
      <c r="S21" s="47" t="s">
        <v>132</v>
      </c>
      <c r="T21" s="47" t="s">
        <v>133</v>
      </c>
      <c r="U21" s="47" t="s">
        <v>134</v>
      </c>
      <c r="V21" s="45" t="s">
        <v>19</v>
      </c>
      <c r="W21" s="45" t="s">
        <v>20</v>
      </c>
      <c r="X21" s="45" t="s">
        <v>21</v>
      </c>
      <c r="Y21" s="45" t="s">
        <v>22</v>
      </c>
    </row>
    <row r="22" spans="1:25">
      <c r="A22" s="17"/>
      <c r="B22" s="12" t="s">
        <v>11</v>
      </c>
      <c r="C22" s="18" t="s">
        <v>6</v>
      </c>
      <c r="D22" s="13" t="s">
        <v>7</v>
      </c>
      <c r="E22" s="13" t="s">
        <v>8</v>
      </c>
      <c r="F22" s="13" t="s">
        <v>9</v>
      </c>
      <c r="G22" s="13" t="s">
        <v>10</v>
      </c>
      <c r="H22" s="13" t="s">
        <v>132</v>
      </c>
      <c r="I22" s="13" t="s">
        <v>133</v>
      </c>
      <c r="J22" s="13" t="s">
        <v>134</v>
      </c>
      <c r="K22" s="36" t="s">
        <v>23</v>
      </c>
      <c r="L22" s="17"/>
      <c r="M22" s="45" t="s">
        <v>24</v>
      </c>
      <c r="N22" s="45">
        <f t="shared" ref="N22:N41" si="3">$N$18*C37</f>
        <v>1247.625</v>
      </c>
      <c r="O22" s="45">
        <f t="shared" ref="O22:O41" si="4">$O$18*D37</f>
        <v>3030</v>
      </c>
      <c r="P22" s="45">
        <f t="shared" ref="P22:P41" si="5">$P$18*E37</f>
        <v>18786</v>
      </c>
      <c r="Q22" s="45">
        <f t="shared" ref="Q22:Q41" si="6">$Q$18*F37</f>
        <v>9424.8</v>
      </c>
      <c r="R22" s="45">
        <f t="shared" ref="R22:R41" si="7">$R$18*G37</f>
        <v>3512.4</v>
      </c>
      <c r="S22" s="45">
        <f t="shared" ref="S22:S41" si="8">$S$18*H37</f>
        <v>0</v>
      </c>
      <c r="T22" s="45">
        <f t="shared" ref="T22:T41" si="9">$T$18*I37</f>
        <v>0</v>
      </c>
      <c r="U22" s="45">
        <f t="shared" ref="U22:U41" si="10">$U$18*J37</f>
        <v>4341.6</v>
      </c>
      <c r="V22" s="45">
        <f t="shared" ref="V22:V41" si="11">SUM(N22:R22)</f>
        <v>36000.825</v>
      </c>
      <c r="W22" s="45">
        <v>12.75</v>
      </c>
      <c r="X22" s="45">
        <f t="shared" ref="X22:X41" si="12">0.98*0.9</f>
        <v>0.882</v>
      </c>
      <c r="Y22" s="45">
        <f t="shared" ref="Y22:Y41" si="13">V22*W22/X22</f>
        <v>520420.089285714</v>
      </c>
    </row>
    <row r="23" spans="1:25">
      <c r="A23" s="8"/>
      <c r="B23" s="72" t="s">
        <v>143</v>
      </c>
      <c r="C23" s="48">
        <v>721.110255092798</v>
      </c>
      <c r="D23" s="49">
        <v>1081.6653826392</v>
      </c>
      <c r="E23" s="49">
        <v>4326.66153055679</v>
      </c>
      <c r="F23" s="49">
        <v>2884.44102037119</v>
      </c>
      <c r="G23" s="49">
        <v>1802.77563773199</v>
      </c>
      <c r="H23" s="49">
        <v>2884.44102037119</v>
      </c>
      <c r="I23" s="49">
        <v>1442.2205101856</v>
      </c>
      <c r="J23" s="49">
        <v>901.387818865997</v>
      </c>
      <c r="K23" s="50">
        <v>6572.1001209659</v>
      </c>
      <c r="L23" s="8"/>
      <c r="M23" s="45" t="s">
        <v>25</v>
      </c>
      <c r="N23" s="45">
        <f t="shared" si="3"/>
        <v>4990.5</v>
      </c>
      <c r="O23" s="45">
        <f t="shared" si="4"/>
        <v>0</v>
      </c>
      <c r="P23" s="45">
        <f t="shared" si="5"/>
        <v>9393</v>
      </c>
      <c r="Q23" s="45">
        <f t="shared" si="6"/>
        <v>4712.4</v>
      </c>
      <c r="R23" s="45">
        <f t="shared" si="7"/>
        <v>0</v>
      </c>
      <c r="S23" s="45">
        <f t="shared" si="8"/>
        <v>0</v>
      </c>
      <c r="T23" s="45">
        <f t="shared" si="9"/>
        <v>0</v>
      </c>
      <c r="U23" s="45">
        <f t="shared" si="10"/>
        <v>2170.8</v>
      </c>
      <c r="V23" s="45">
        <f t="shared" si="11"/>
        <v>19095.9</v>
      </c>
      <c r="W23" s="45">
        <v>7.75</v>
      </c>
      <c r="X23" s="45">
        <f t="shared" si="12"/>
        <v>0.882</v>
      </c>
      <c r="Y23" s="45">
        <f t="shared" si="13"/>
        <v>167792.772108844</v>
      </c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45" t="s">
        <v>26</v>
      </c>
      <c r="N24" s="45">
        <f t="shared" si="3"/>
        <v>0</v>
      </c>
      <c r="O24" s="45">
        <f t="shared" si="4"/>
        <v>0</v>
      </c>
      <c r="P24" s="45">
        <f t="shared" si="5"/>
        <v>0</v>
      </c>
      <c r="Q24" s="45">
        <f t="shared" si="6"/>
        <v>9424.8</v>
      </c>
      <c r="R24" s="45">
        <f t="shared" si="7"/>
        <v>3512.4</v>
      </c>
      <c r="S24" s="45">
        <f t="shared" si="8"/>
        <v>6575</v>
      </c>
      <c r="T24" s="45">
        <f t="shared" si="9"/>
        <v>8317.5</v>
      </c>
      <c r="U24" s="45">
        <f t="shared" si="10"/>
        <v>2170.8</v>
      </c>
      <c r="V24" s="45">
        <f t="shared" si="11"/>
        <v>12937.2</v>
      </c>
      <c r="W24" s="45">
        <v>9.5</v>
      </c>
      <c r="X24" s="45">
        <f t="shared" si="12"/>
        <v>0.882</v>
      </c>
      <c r="Y24" s="45">
        <f t="shared" si="13"/>
        <v>139346.258503401</v>
      </c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45" t="s">
        <v>27</v>
      </c>
      <c r="N25" s="45">
        <f t="shared" si="3"/>
        <v>0</v>
      </c>
      <c r="O25" s="45">
        <f t="shared" si="4"/>
        <v>1515</v>
      </c>
      <c r="P25" s="45">
        <f t="shared" si="5"/>
        <v>9393</v>
      </c>
      <c r="Q25" s="45">
        <f t="shared" si="6"/>
        <v>4712.4</v>
      </c>
      <c r="R25" s="45">
        <f t="shared" si="7"/>
        <v>0</v>
      </c>
      <c r="S25" s="45">
        <f t="shared" si="8"/>
        <v>0</v>
      </c>
      <c r="T25" s="45">
        <f t="shared" si="9"/>
        <v>0</v>
      </c>
      <c r="U25" s="45">
        <f t="shared" si="10"/>
        <v>0</v>
      </c>
      <c r="V25" s="45">
        <f t="shared" si="11"/>
        <v>15620.4</v>
      </c>
      <c r="W25" s="45">
        <v>7.5</v>
      </c>
      <c r="X25" s="45">
        <f t="shared" si="12"/>
        <v>0.882</v>
      </c>
      <c r="Y25" s="45">
        <f t="shared" si="13"/>
        <v>132826.530612245</v>
      </c>
    </row>
    <row r="26" spans="1:25">
      <c r="A26" s="8"/>
      <c r="B26" s="10" t="s">
        <v>28</v>
      </c>
      <c r="C26" s="11"/>
      <c r="D26" s="11"/>
      <c r="E26" s="11"/>
      <c r="F26" s="11"/>
      <c r="G26" s="11"/>
      <c r="H26" s="34"/>
      <c r="I26" s="35"/>
      <c r="J26" s="35"/>
      <c r="K26" s="35"/>
      <c r="L26" s="8"/>
      <c r="M26" s="45" t="s">
        <v>29</v>
      </c>
      <c r="N26" s="45">
        <f t="shared" si="3"/>
        <v>0</v>
      </c>
      <c r="O26" s="45">
        <f t="shared" si="4"/>
        <v>1515</v>
      </c>
      <c r="P26" s="45">
        <f t="shared" si="5"/>
        <v>9393</v>
      </c>
      <c r="Q26" s="45">
        <f t="shared" si="6"/>
        <v>0</v>
      </c>
      <c r="R26" s="45">
        <f t="shared" si="7"/>
        <v>0</v>
      </c>
      <c r="S26" s="45">
        <f t="shared" si="8"/>
        <v>3287.5</v>
      </c>
      <c r="T26" s="45">
        <f t="shared" si="9"/>
        <v>2079.375</v>
      </c>
      <c r="U26" s="45">
        <f t="shared" si="10"/>
        <v>0</v>
      </c>
      <c r="V26" s="45">
        <f t="shared" si="11"/>
        <v>10908</v>
      </c>
      <c r="W26" s="45">
        <v>7.5</v>
      </c>
      <c r="X26" s="45">
        <f t="shared" si="12"/>
        <v>0.882</v>
      </c>
      <c r="Y26" s="45">
        <f t="shared" si="13"/>
        <v>92755.1020408163</v>
      </c>
    </row>
    <row r="27" spans="1:25">
      <c r="A27" s="8"/>
      <c r="B27" s="12" t="s">
        <v>11</v>
      </c>
      <c r="C27" s="18" t="s">
        <v>6</v>
      </c>
      <c r="D27" s="13" t="s">
        <v>7</v>
      </c>
      <c r="E27" s="13" t="s">
        <v>8</v>
      </c>
      <c r="F27" s="13" t="s">
        <v>9</v>
      </c>
      <c r="G27" s="13" t="s">
        <v>10</v>
      </c>
      <c r="H27" s="13" t="s">
        <v>132</v>
      </c>
      <c r="I27" s="13" t="s">
        <v>133</v>
      </c>
      <c r="J27" s="13" t="s">
        <v>134</v>
      </c>
      <c r="K27" s="36" t="s">
        <v>12</v>
      </c>
      <c r="L27" s="8"/>
      <c r="M27" s="45" t="s">
        <v>30</v>
      </c>
      <c r="N27" s="45">
        <f t="shared" si="3"/>
        <v>1247.625</v>
      </c>
      <c r="O27" s="45">
        <f t="shared" si="4"/>
        <v>0</v>
      </c>
      <c r="P27" s="45">
        <f t="shared" si="5"/>
        <v>0</v>
      </c>
      <c r="Q27" s="45">
        <f t="shared" si="6"/>
        <v>0</v>
      </c>
      <c r="R27" s="45">
        <f t="shared" si="7"/>
        <v>7024.8</v>
      </c>
      <c r="S27" s="45">
        <f t="shared" si="8"/>
        <v>0</v>
      </c>
      <c r="T27" s="45">
        <f t="shared" si="9"/>
        <v>0</v>
      </c>
      <c r="U27" s="45">
        <f t="shared" si="10"/>
        <v>6512.4</v>
      </c>
      <c r="V27" s="45">
        <f t="shared" si="11"/>
        <v>8272.425</v>
      </c>
      <c r="W27" s="45">
        <v>10.5</v>
      </c>
      <c r="X27" s="45">
        <f t="shared" si="12"/>
        <v>0.882</v>
      </c>
      <c r="Y27" s="45">
        <f t="shared" si="13"/>
        <v>98481.25</v>
      </c>
    </row>
    <row r="28" spans="1:25">
      <c r="A28" s="8"/>
      <c r="B28" s="72" t="s">
        <v>143</v>
      </c>
      <c r="C28" s="32">
        <v>900</v>
      </c>
      <c r="D28" s="33">
        <v>1000</v>
      </c>
      <c r="E28" s="33">
        <v>3100</v>
      </c>
      <c r="F28" s="33">
        <v>1800</v>
      </c>
      <c r="G28" s="33">
        <v>2400</v>
      </c>
      <c r="H28" s="33">
        <v>2000</v>
      </c>
      <c r="I28" s="33">
        <v>1500</v>
      </c>
      <c r="J28" s="33">
        <v>1800</v>
      </c>
      <c r="K28" s="39">
        <v>12100</v>
      </c>
      <c r="L28" s="8"/>
      <c r="M28" s="45" t="s">
        <v>31</v>
      </c>
      <c r="N28" s="45">
        <f t="shared" si="3"/>
        <v>0</v>
      </c>
      <c r="O28" s="45">
        <f t="shared" si="4"/>
        <v>6060</v>
      </c>
      <c r="P28" s="45">
        <f t="shared" si="5"/>
        <v>0</v>
      </c>
      <c r="Q28" s="45">
        <f t="shared" si="6"/>
        <v>0</v>
      </c>
      <c r="R28" s="45">
        <f t="shared" si="7"/>
        <v>14049.6</v>
      </c>
      <c r="S28" s="45">
        <f t="shared" si="8"/>
        <v>0</v>
      </c>
      <c r="T28" s="45">
        <f t="shared" si="9"/>
        <v>2079.375</v>
      </c>
      <c r="U28" s="45">
        <f t="shared" si="10"/>
        <v>2170.8</v>
      </c>
      <c r="V28" s="45">
        <f t="shared" si="11"/>
        <v>20109.6</v>
      </c>
      <c r="W28" s="45">
        <v>10</v>
      </c>
      <c r="X28" s="45">
        <f t="shared" si="12"/>
        <v>0.882</v>
      </c>
      <c r="Y28" s="45">
        <f t="shared" si="13"/>
        <v>228000</v>
      </c>
    </row>
    <row r="29" spans="1:25">
      <c r="A29" s="8"/>
      <c r="B29" s="17"/>
      <c r="C29" s="17"/>
      <c r="D29" s="17"/>
      <c r="E29" s="17"/>
      <c r="F29" s="17"/>
      <c r="G29" s="17"/>
      <c r="H29" s="8"/>
      <c r="I29" s="8"/>
      <c r="J29" s="8"/>
      <c r="K29" s="8"/>
      <c r="L29" s="8"/>
      <c r="M29" s="45" t="s">
        <v>32</v>
      </c>
      <c r="N29" s="45">
        <f t="shared" si="3"/>
        <v>0</v>
      </c>
      <c r="O29" s="45">
        <f t="shared" si="4"/>
        <v>0</v>
      </c>
      <c r="P29" s="45">
        <f t="shared" si="5"/>
        <v>0</v>
      </c>
      <c r="Q29" s="45">
        <f t="shared" si="6"/>
        <v>9424.8</v>
      </c>
      <c r="R29" s="45">
        <f t="shared" si="7"/>
        <v>0</v>
      </c>
      <c r="S29" s="45">
        <f t="shared" si="8"/>
        <v>6575</v>
      </c>
      <c r="T29" s="45">
        <f t="shared" si="9"/>
        <v>4158.75</v>
      </c>
      <c r="U29" s="45">
        <f t="shared" si="10"/>
        <v>6512.4</v>
      </c>
      <c r="V29" s="45">
        <f t="shared" si="11"/>
        <v>9424.8</v>
      </c>
      <c r="W29" s="45">
        <v>4.75</v>
      </c>
      <c r="X29" s="45">
        <f t="shared" si="12"/>
        <v>0.882</v>
      </c>
      <c r="Y29" s="45">
        <f t="shared" si="13"/>
        <v>50757.1428571429</v>
      </c>
    </row>
    <row r="30" spans="1:25">
      <c r="A30" s="8"/>
      <c r="B30" s="10" t="s">
        <v>33</v>
      </c>
      <c r="C30" s="11"/>
      <c r="D30" s="11"/>
      <c r="E30" s="11"/>
      <c r="F30" s="11"/>
      <c r="G30" s="11"/>
      <c r="H30" s="34"/>
      <c r="I30" s="35"/>
      <c r="J30" s="35"/>
      <c r="K30" s="35"/>
      <c r="L30" s="8"/>
      <c r="M30" s="45" t="s">
        <v>34</v>
      </c>
      <c r="N30" s="45">
        <f t="shared" si="3"/>
        <v>0</v>
      </c>
      <c r="O30" s="45">
        <f t="shared" si="4"/>
        <v>3030</v>
      </c>
      <c r="P30" s="45">
        <f t="shared" si="5"/>
        <v>9393</v>
      </c>
      <c r="Q30" s="45">
        <f t="shared" si="6"/>
        <v>0</v>
      </c>
      <c r="R30" s="45">
        <f t="shared" si="7"/>
        <v>0</v>
      </c>
      <c r="S30" s="45">
        <f t="shared" si="8"/>
        <v>3287.5</v>
      </c>
      <c r="T30" s="45">
        <f t="shared" si="9"/>
        <v>4158.75</v>
      </c>
      <c r="U30" s="45">
        <f t="shared" si="10"/>
        <v>0</v>
      </c>
      <c r="V30" s="45">
        <f t="shared" si="11"/>
        <v>12423</v>
      </c>
      <c r="W30" s="45">
        <v>8.5</v>
      </c>
      <c r="X30" s="45">
        <f t="shared" si="12"/>
        <v>0.882</v>
      </c>
      <c r="Y30" s="45">
        <f t="shared" si="13"/>
        <v>119722.789115646</v>
      </c>
    </row>
    <row r="31" spans="1:25">
      <c r="A31" s="8"/>
      <c r="B31" s="21" t="s">
        <v>11</v>
      </c>
      <c r="C31" s="22" t="s">
        <v>6</v>
      </c>
      <c r="D31" s="22" t="s">
        <v>7</v>
      </c>
      <c r="E31" s="22" t="s">
        <v>8</v>
      </c>
      <c r="F31" s="22" t="s">
        <v>9</v>
      </c>
      <c r="G31" s="22" t="s">
        <v>10</v>
      </c>
      <c r="H31" s="22" t="s">
        <v>132</v>
      </c>
      <c r="I31" s="22" t="s">
        <v>133</v>
      </c>
      <c r="J31" s="22" t="s">
        <v>134</v>
      </c>
      <c r="K31" s="40" t="s">
        <v>35</v>
      </c>
      <c r="L31" s="8"/>
      <c r="M31" s="45" t="s">
        <v>36</v>
      </c>
      <c r="N31" s="45">
        <f t="shared" si="3"/>
        <v>1247.625</v>
      </c>
      <c r="O31" s="45">
        <f t="shared" si="4"/>
        <v>0</v>
      </c>
      <c r="P31" s="45">
        <f t="shared" si="5"/>
        <v>4696.5</v>
      </c>
      <c r="Q31" s="45">
        <f t="shared" si="6"/>
        <v>2356.2</v>
      </c>
      <c r="R31" s="45">
        <f t="shared" si="7"/>
        <v>0</v>
      </c>
      <c r="S31" s="45">
        <f t="shared" si="8"/>
        <v>0</v>
      </c>
      <c r="T31" s="45">
        <f t="shared" si="9"/>
        <v>0</v>
      </c>
      <c r="U31" s="45">
        <f t="shared" si="10"/>
        <v>2170.8</v>
      </c>
      <c r="V31" s="45">
        <f t="shared" si="11"/>
        <v>8300.325</v>
      </c>
      <c r="W31" s="45">
        <v>6.5</v>
      </c>
      <c r="X31" s="45">
        <f t="shared" si="12"/>
        <v>0.882</v>
      </c>
      <c r="Y31" s="45">
        <f t="shared" si="13"/>
        <v>61170.1955782313</v>
      </c>
    </row>
    <row r="32" spans="1:25">
      <c r="A32" s="8"/>
      <c r="B32" s="72" t="s">
        <v>143</v>
      </c>
      <c r="C32" s="23">
        <v>0.15</v>
      </c>
      <c r="D32" s="24">
        <v>0.2</v>
      </c>
      <c r="E32" s="24">
        <v>0.2</v>
      </c>
      <c r="F32" s="24">
        <v>0.12</v>
      </c>
      <c r="G32" s="24">
        <v>0.18</v>
      </c>
      <c r="H32" s="24">
        <v>0.25</v>
      </c>
      <c r="I32" s="24">
        <v>0.15</v>
      </c>
      <c r="J32" s="24">
        <v>0.08</v>
      </c>
      <c r="K32" s="41">
        <v>0.17</v>
      </c>
      <c r="L32" s="8"/>
      <c r="M32" s="45" t="s">
        <v>37</v>
      </c>
      <c r="N32" s="45">
        <f t="shared" si="3"/>
        <v>2495.25</v>
      </c>
      <c r="O32" s="45">
        <f t="shared" si="4"/>
        <v>0</v>
      </c>
      <c r="P32" s="45">
        <f t="shared" si="5"/>
        <v>0</v>
      </c>
      <c r="Q32" s="45">
        <f t="shared" si="6"/>
        <v>0</v>
      </c>
      <c r="R32" s="45">
        <f t="shared" si="7"/>
        <v>14049.6</v>
      </c>
      <c r="S32" s="45">
        <f t="shared" si="8"/>
        <v>13150</v>
      </c>
      <c r="T32" s="45">
        <f t="shared" si="9"/>
        <v>4158.75</v>
      </c>
      <c r="U32" s="45">
        <f t="shared" si="10"/>
        <v>0</v>
      </c>
      <c r="V32" s="45">
        <f t="shared" si="11"/>
        <v>16544.85</v>
      </c>
      <c r="W32" s="45">
        <v>4</v>
      </c>
      <c r="X32" s="45">
        <f t="shared" si="12"/>
        <v>0.882</v>
      </c>
      <c r="Y32" s="45">
        <f t="shared" si="13"/>
        <v>75033.3333333333</v>
      </c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45" t="s">
        <v>38</v>
      </c>
      <c r="N33" s="45">
        <f t="shared" si="3"/>
        <v>4990.5</v>
      </c>
      <c r="O33" s="45">
        <f t="shared" si="4"/>
        <v>0</v>
      </c>
      <c r="P33" s="45">
        <f t="shared" si="5"/>
        <v>0</v>
      </c>
      <c r="Q33" s="45">
        <f t="shared" si="6"/>
        <v>0</v>
      </c>
      <c r="R33" s="45">
        <f t="shared" si="7"/>
        <v>14049.6</v>
      </c>
      <c r="S33" s="45">
        <f t="shared" si="8"/>
        <v>9862.5</v>
      </c>
      <c r="T33" s="45">
        <f t="shared" si="9"/>
        <v>8317.5</v>
      </c>
      <c r="U33" s="45">
        <f t="shared" si="10"/>
        <v>0</v>
      </c>
      <c r="V33" s="45">
        <f t="shared" si="11"/>
        <v>19040.1</v>
      </c>
      <c r="W33" s="45">
        <v>6</v>
      </c>
      <c r="X33" s="45">
        <f t="shared" si="12"/>
        <v>0.882</v>
      </c>
      <c r="Y33" s="45">
        <f t="shared" si="13"/>
        <v>129524.489795918</v>
      </c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45" t="s">
        <v>39</v>
      </c>
      <c r="N34" s="45">
        <f t="shared" si="3"/>
        <v>2495.25</v>
      </c>
      <c r="O34" s="45">
        <f t="shared" si="4"/>
        <v>0</v>
      </c>
      <c r="P34" s="45">
        <f t="shared" si="5"/>
        <v>0</v>
      </c>
      <c r="Q34" s="45">
        <f t="shared" si="6"/>
        <v>0</v>
      </c>
      <c r="R34" s="45">
        <f t="shared" si="7"/>
        <v>7024.8</v>
      </c>
      <c r="S34" s="45">
        <f t="shared" si="8"/>
        <v>6575</v>
      </c>
      <c r="T34" s="45">
        <f t="shared" si="9"/>
        <v>2079.375</v>
      </c>
      <c r="U34" s="45">
        <f t="shared" si="10"/>
        <v>0</v>
      </c>
      <c r="V34" s="45">
        <f t="shared" si="11"/>
        <v>9520.05</v>
      </c>
      <c r="W34" s="45">
        <v>7.5</v>
      </c>
      <c r="X34" s="45">
        <f t="shared" si="12"/>
        <v>0.882</v>
      </c>
      <c r="Y34" s="45">
        <f t="shared" si="13"/>
        <v>80952.806122449</v>
      </c>
    </row>
    <row r="35" spans="1:25">
      <c r="A35" s="8"/>
      <c r="B35" s="25" t="s">
        <v>40</v>
      </c>
      <c r="C35" s="26" t="s">
        <v>136</v>
      </c>
      <c r="D35" s="27"/>
      <c r="E35" s="27"/>
      <c r="F35" s="27"/>
      <c r="G35" s="27"/>
      <c r="H35" s="27"/>
      <c r="I35" s="27"/>
      <c r="J35" s="42"/>
      <c r="K35" s="8"/>
      <c r="L35" s="8"/>
      <c r="M35" s="45" t="s">
        <v>42</v>
      </c>
      <c r="N35" s="45">
        <f t="shared" si="3"/>
        <v>0</v>
      </c>
      <c r="O35" s="45">
        <f t="shared" si="4"/>
        <v>6060</v>
      </c>
      <c r="P35" s="45">
        <f t="shared" si="5"/>
        <v>9393</v>
      </c>
      <c r="Q35" s="45">
        <f t="shared" si="6"/>
        <v>4712.4</v>
      </c>
      <c r="R35" s="45">
        <f t="shared" si="7"/>
        <v>7024.8</v>
      </c>
      <c r="S35" s="45">
        <f t="shared" si="8"/>
        <v>0</v>
      </c>
      <c r="T35" s="45">
        <f t="shared" si="9"/>
        <v>0</v>
      </c>
      <c r="U35" s="45">
        <f t="shared" si="10"/>
        <v>8683.2</v>
      </c>
      <c r="V35" s="45">
        <f t="shared" si="11"/>
        <v>27190.2</v>
      </c>
      <c r="W35" s="45">
        <v>4.75</v>
      </c>
      <c r="X35" s="45">
        <f t="shared" si="12"/>
        <v>0.882</v>
      </c>
      <c r="Y35" s="45">
        <f t="shared" si="13"/>
        <v>146432.482993197</v>
      </c>
    </row>
    <row r="36" spans="1:25">
      <c r="A36" s="8"/>
      <c r="B36" s="28"/>
      <c r="C36" s="29" t="s">
        <v>6</v>
      </c>
      <c r="D36" s="22" t="s">
        <v>7</v>
      </c>
      <c r="E36" s="22" t="s">
        <v>8</v>
      </c>
      <c r="F36" s="22" t="s">
        <v>9</v>
      </c>
      <c r="G36" s="22" t="s">
        <v>10</v>
      </c>
      <c r="H36" s="22" t="s">
        <v>132</v>
      </c>
      <c r="I36" s="22" t="s">
        <v>133</v>
      </c>
      <c r="J36" s="40" t="s">
        <v>134</v>
      </c>
      <c r="K36" s="8"/>
      <c r="L36" s="8"/>
      <c r="M36" s="45" t="s">
        <v>43</v>
      </c>
      <c r="N36" s="45">
        <f t="shared" si="3"/>
        <v>0</v>
      </c>
      <c r="O36" s="45">
        <f t="shared" si="4"/>
        <v>0</v>
      </c>
      <c r="P36" s="45">
        <f t="shared" si="5"/>
        <v>0</v>
      </c>
      <c r="Q36" s="45">
        <f t="shared" si="6"/>
        <v>4712.4</v>
      </c>
      <c r="R36" s="45">
        <f t="shared" si="7"/>
        <v>0</v>
      </c>
      <c r="S36" s="45">
        <f t="shared" si="8"/>
        <v>6575</v>
      </c>
      <c r="T36" s="45">
        <f t="shared" si="9"/>
        <v>0</v>
      </c>
      <c r="U36" s="45">
        <f t="shared" si="10"/>
        <v>2170.8</v>
      </c>
      <c r="V36" s="45">
        <f t="shared" si="11"/>
        <v>4712.4</v>
      </c>
      <c r="W36" s="45">
        <v>7.5</v>
      </c>
      <c r="X36" s="45">
        <f t="shared" si="12"/>
        <v>0.882</v>
      </c>
      <c r="Y36" s="45">
        <f t="shared" si="13"/>
        <v>40071.4285714286</v>
      </c>
    </row>
    <row r="37" spans="1:25">
      <c r="A37" s="8"/>
      <c r="B37" s="28" t="s">
        <v>24</v>
      </c>
      <c r="C37" s="30">
        <v>1</v>
      </c>
      <c r="D37" s="31">
        <v>2</v>
      </c>
      <c r="E37" s="31">
        <v>4</v>
      </c>
      <c r="F37" s="31">
        <v>4</v>
      </c>
      <c r="G37" s="31">
        <v>1</v>
      </c>
      <c r="H37" s="31"/>
      <c r="I37" s="31"/>
      <c r="J37" s="43">
        <v>2</v>
      </c>
      <c r="K37" s="8"/>
      <c r="L37" s="8"/>
      <c r="M37" s="45" t="s">
        <v>44</v>
      </c>
      <c r="N37" s="45">
        <f t="shared" si="3"/>
        <v>0</v>
      </c>
      <c r="O37" s="45">
        <f t="shared" si="4"/>
        <v>1515</v>
      </c>
      <c r="P37" s="45">
        <f t="shared" si="5"/>
        <v>18786</v>
      </c>
      <c r="Q37" s="45">
        <f t="shared" si="6"/>
        <v>0</v>
      </c>
      <c r="R37" s="45">
        <f t="shared" si="7"/>
        <v>0</v>
      </c>
      <c r="S37" s="45">
        <f t="shared" si="8"/>
        <v>0</v>
      </c>
      <c r="T37" s="45">
        <f t="shared" si="9"/>
        <v>0</v>
      </c>
      <c r="U37" s="45">
        <f t="shared" si="10"/>
        <v>0</v>
      </c>
      <c r="V37" s="45">
        <f t="shared" si="11"/>
        <v>20301</v>
      </c>
      <c r="W37" s="45">
        <v>10</v>
      </c>
      <c r="X37" s="45">
        <f t="shared" si="12"/>
        <v>0.882</v>
      </c>
      <c r="Y37" s="45">
        <f t="shared" si="13"/>
        <v>230170.068027211</v>
      </c>
    </row>
    <row r="38" spans="1:25">
      <c r="A38" s="8"/>
      <c r="B38" s="28" t="s">
        <v>25</v>
      </c>
      <c r="C38" s="32">
        <v>4</v>
      </c>
      <c r="D38" s="33"/>
      <c r="E38" s="33">
        <v>2</v>
      </c>
      <c r="F38" s="33">
        <v>2</v>
      </c>
      <c r="G38" s="33"/>
      <c r="H38" s="33"/>
      <c r="I38" s="33"/>
      <c r="J38" s="39">
        <v>1</v>
      </c>
      <c r="K38" s="8"/>
      <c r="L38" s="8"/>
      <c r="M38" s="45" t="s">
        <v>45</v>
      </c>
      <c r="N38" s="45">
        <f t="shared" si="3"/>
        <v>2495.25</v>
      </c>
      <c r="O38" s="45">
        <f t="shared" si="4"/>
        <v>0</v>
      </c>
      <c r="P38" s="45">
        <f t="shared" si="5"/>
        <v>0</v>
      </c>
      <c r="Q38" s="45">
        <f t="shared" si="6"/>
        <v>0</v>
      </c>
      <c r="R38" s="45">
        <f t="shared" si="7"/>
        <v>7024.8</v>
      </c>
      <c r="S38" s="45">
        <f t="shared" si="8"/>
        <v>6575</v>
      </c>
      <c r="T38" s="45">
        <f t="shared" si="9"/>
        <v>4158.75</v>
      </c>
      <c r="U38" s="45">
        <f t="shared" si="10"/>
        <v>2170.8</v>
      </c>
      <c r="V38" s="45">
        <f t="shared" si="11"/>
        <v>9520.05</v>
      </c>
      <c r="W38" s="45">
        <v>7.25</v>
      </c>
      <c r="X38" s="45">
        <f t="shared" si="12"/>
        <v>0.882</v>
      </c>
      <c r="Y38" s="45">
        <f t="shared" si="13"/>
        <v>78254.3792517007</v>
      </c>
    </row>
    <row r="39" spans="1:25">
      <c r="A39" s="8"/>
      <c r="B39" s="28" t="s">
        <v>26</v>
      </c>
      <c r="C39" s="32"/>
      <c r="D39" s="33"/>
      <c r="E39" s="33"/>
      <c r="F39" s="33">
        <v>4</v>
      </c>
      <c r="G39" s="33">
        <v>1</v>
      </c>
      <c r="H39" s="33">
        <v>2</v>
      </c>
      <c r="I39" s="33">
        <v>4</v>
      </c>
      <c r="J39" s="39">
        <v>1</v>
      </c>
      <c r="K39" s="8"/>
      <c r="L39" s="8"/>
      <c r="M39" s="45" t="s">
        <v>46</v>
      </c>
      <c r="N39" s="45">
        <f t="shared" si="3"/>
        <v>4990.5</v>
      </c>
      <c r="O39" s="45">
        <f t="shared" si="4"/>
        <v>1515</v>
      </c>
      <c r="P39" s="45">
        <f t="shared" si="5"/>
        <v>0</v>
      </c>
      <c r="Q39" s="45">
        <f t="shared" si="6"/>
        <v>0</v>
      </c>
      <c r="R39" s="45">
        <f t="shared" si="7"/>
        <v>14049.6</v>
      </c>
      <c r="S39" s="45">
        <f t="shared" si="8"/>
        <v>3287.5</v>
      </c>
      <c r="T39" s="45">
        <f t="shared" si="9"/>
        <v>6238.125</v>
      </c>
      <c r="U39" s="45">
        <f t="shared" si="10"/>
        <v>0</v>
      </c>
      <c r="V39" s="45">
        <f t="shared" si="11"/>
        <v>20555.1</v>
      </c>
      <c r="W39" s="45">
        <v>6.25</v>
      </c>
      <c r="X39" s="45">
        <f t="shared" si="12"/>
        <v>0.882</v>
      </c>
      <c r="Y39" s="45">
        <f t="shared" si="13"/>
        <v>145656.887755102</v>
      </c>
    </row>
    <row r="40" spans="1:25">
      <c r="A40" s="8"/>
      <c r="B40" s="28" t="s">
        <v>27</v>
      </c>
      <c r="C40" s="32"/>
      <c r="D40" s="33">
        <v>1</v>
      </c>
      <c r="E40" s="33">
        <v>2</v>
      </c>
      <c r="F40" s="33">
        <v>2</v>
      </c>
      <c r="G40" s="33"/>
      <c r="H40" s="33"/>
      <c r="I40" s="33"/>
      <c r="J40" s="39"/>
      <c r="K40" s="8"/>
      <c r="L40" s="8"/>
      <c r="M40" s="45" t="s">
        <v>47</v>
      </c>
      <c r="N40" s="45">
        <f t="shared" si="3"/>
        <v>0</v>
      </c>
      <c r="O40" s="45">
        <f t="shared" si="4"/>
        <v>3030</v>
      </c>
      <c r="P40" s="45">
        <f t="shared" si="5"/>
        <v>18786</v>
      </c>
      <c r="Q40" s="45">
        <f t="shared" si="6"/>
        <v>9424.8</v>
      </c>
      <c r="R40" s="45">
        <f t="shared" si="7"/>
        <v>3512.4</v>
      </c>
      <c r="S40" s="45">
        <f t="shared" si="8"/>
        <v>0</v>
      </c>
      <c r="T40" s="45">
        <f t="shared" si="9"/>
        <v>0</v>
      </c>
      <c r="U40" s="45">
        <f t="shared" si="10"/>
        <v>6512.4</v>
      </c>
      <c r="V40" s="45">
        <f t="shared" si="11"/>
        <v>34753.2</v>
      </c>
      <c r="W40" s="45">
        <v>10.5</v>
      </c>
      <c r="X40" s="45">
        <f t="shared" si="12"/>
        <v>0.882</v>
      </c>
      <c r="Y40" s="45">
        <f t="shared" si="13"/>
        <v>413728.571428571</v>
      </c>
    </row>
    <row r="41" spans="1:25">
      <c r="A41" s="8"/>
      <c r="B41" s="28" t="s">
        <v>29</v>
      </c>
      <c r="C41" s="32"/>
      <c r="D41" s="33">
        <v>1</v>
      </c>
      <c r="E41" s="33">
        <v>2</v>
      </c>
      <c r="F41" s="33"/>
      <c r="G41" s="33"/>
      <c r="H41" s="33">
        <v>1</v>
      </c>
      <c r="I41" s="33">
        <v>1</v>
      </c>
      <c r="J41" s="39"/>
      <c r="K41" s="8"/>
      <c r="L41" s="8"/>
      <c r="M41" s="45" t="s">
        <v>48</v>
      </c>
      <c r="N41" s="45">
        <f t="shared" si="3"/>
        <v>0</v>
      </c>
      <c r="O41" s="45">
        <f t="shared" si="4"/>
        <v>3030</v>
      </c>
      <c r="P41" s="45">
        <f t="shared" si="5"/>
        <v>14089.5</v>
      </c>
      <c r="Q41" s="45">
        <f t="shared" si="6"/>
        <v>7068.6</v>
      </c>
      <c r="R41" s="45">
        <f t="shared" si="7"/>
        <v>0</v>
      </c>
      <c r="S41" s="45">
        <f t="shared" si="8"/>
        <v>0</v>
      </c>
      <c r="T41" s="45">
        <f t="shared" si="9"/>
        <v>0</v>
      </c>
      <c r="U41" s="45">
        <f t="shared" si="10"/>
        <v>8683.2</v>
      </c>
      <c r="V41" s="45">
        <f t="shared" si="11"/>
        <v>24188.1</v>
      </c>
      <c r="W41" s="45">
        <v>5.75</v>
      </c>
      <c r="X41" s="45">
        <f t="shared" si="12"/>
        <v>0.882</v>
      </c>
      <c r="Y41" s="45">
        <f t="shared" si="13"/>
        <v>157688.860544218</v>
      </c>
    </row>
    <row r="42" spans="1:25">
      <c r="A42" s="8"/>
      <c r="B42" s="28" t="s">
        <v>30</v>
      </c>
      <c r="C42" s="32">
        <v>1</v>
      </c>
      <c r="D42" s="33"/>
      <c r="E42" s="33"/>
      <c r="F42" s="33"/>
      <c r="G42" s="33">
        <v>2</v>
      </c>
      <c r="H42" s="33"/>
      <c r="I42" s="33"/>
      <c r="J42" s="39">
        <v>3</v>
      </c>
      <c r="K42" s="8"/>
      <c r="L42" s="8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>
      <c r="A43" s="8"/>
      <c r="B43" s="28" t="s">
        <v>31</v>
      </c>
      <c r="C43" s="32"/>
      <c r="D43" s="33">
        <v>4</v>
      </c>
      <c r="E43" s="33"/>
      <c r="F43" s="33"/>
      <c r="G43" s="33">
        <v>4</v>
      </c>
      <c r="H43" s="33"/>
      <c r="I43" s="33">
        <v>1</v>
      </c>
      <c r="J43" s="39">
        <v>1</v>
      </c>
      <c r="K43" s="8"/>
      <c r="L43" s="8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>
      <c r="A44" s="8"/>
      <c r="B44" s="28" t="s">
        <v>32</v>
      </c>
      <c r="C44" s="32"/>
      <c r="D44" s="33"/>
      <c r="E44" s="33"/>
      <c r="F44" s="33">
        <v>4</v>
      </c>
      <c r="G44" s="33"/>
      <c r="H44" s="33">
        <v>2</v>
      </c>
      <c r="I44" s="33">
        <v>2</v>
      </c>
      <c r="J44" s="39">
        <v>3</v>
      </c>
      <c r="K44" s="8"/>
      <c r="L44" s="8"/>
      <c r="M44" s="45" t="s">
        <v>49</v>
      </c>
      <c r="N44" s="45" t="s">
        <v>6</v>
      </c>
      <c r="O44" s="45" t="s">
        <v>7</v>
      </c>
      <c r="P44" s="45" t="s">
        <v>8</v>
      </c>
      <c r="Q44" s="45" t="s">
        <v>9</v>
      </c>
      <c r="R44" s="45" t="s">
        <v>10</v>
      </c>
      <c r="S44" s="45" t="s">
        <v>132</v>
      </c>
      <c r="T44" s="45" t="s">
        <v>133</v>
      </c>
      <c r="U44" s="45" t="s">
        <v>134</v>
      </c>
      <c r="V44" s="45" t="s">
        <v>50</v>
      </c>
      <c r="W44" s="45" t="s">
        <v>51</v>
      </c>
      <c r="X44" s="45"/>
      <c r="Y44" s="45"/>
    </row>
    <row r="45" spans="1:25">
      <c r="A45" s="8"/>
      <c r="B45" s="28" t="s">
        <v>34</v>
      </c>
      <c r="C45" s="32"/>
      <c r="D45" s="33">
        <v>2</v>
      </c>
      <c r="E45" s="33">
        <v>2</v>
      </c>
      <c r="F45" s="33"/>
      <c r="G45" s="33"/>
      <c r="H45" s="33">
        <v>1</v>
      </c>
      <c r="I45" s="33">
        <v>2</v>
      </c>
      <c r="J45" s="39"/>
      <c r="K45" s="8"/>
      <c r="L45" s="8"/>
      <c r="M45" s="45" t="s">
        <v>24</v>
      </c>
      <c r="N45" s="45">
        <f t="shared" ref="N45:N64" si="14">$N$19*C37</f>
        <v>15.5953125</v>
      </c>
      <c r="O45" s="45">
        <f t="shared" ref="O45:O64" si="15">$O$19*D37</f>
        <v>37.875</v>
      </c>
      <c r="P45" s="45">
        <f t="shared" ref="P45:P64" si="16">$P$19*E37</f>
        <v>234.825</v>
      </c>
      <c r="Q45" s="45">
        <f t="shared" ref="Q45:Q64" si="17">$Q$19*F37</f>
        <v>117.81</v>
      </c>
      <c r="R45" s="45">
        <f t="shared" ref="R45:R64" si="18">$R$19*G37</f>
        <v>43.905</v>
      </c>
      <c r="S45" s="45">
        <f t="shared" ref="S45:S64" si="19">$S$19*H37</f>
        <v>0</v>
      </c>
      <c r="T45" s="45">
        <f t="shared" ref="T45:T64" si="20">$T$19*I37</f>
        <v>0</v>
      </c>
      <c r="U45" s="45">
        <f t="shared" ref="U45:U64" si="21">$U$19*J37</f>
        <v>54.27</v>
      </c>
      <c r="V45" s="45">
        <f t="shared" ref="V45:V64" si="22">SUM(N45:R45)</f>
        <v>450.0103125</v>
      </c>
      <c r="W45" s="45">
        <v>444</v>
      </c>
      <c r="X45" s="45">
        <f t="shared" ref="X45:X64" si="23">W45*X22</f>
        <v>391.608</v>
      </c>
      <c r="Y45" s="45">
        <f t="shared" ref="Y45:Y64" si="24">X45-V45</f>
        <v>-58.4023124999999</v>
      </c>
    </row>
    <row r="46" spans="1:25">
      <c r="A46" s="8"/>
      <c r="B46" s="28" t="s">
        <v>36</v>
      </c>
      <c r="C46" s="32">
        <v>1</v>
      </c>
      <c r="D46" s="33"/>
      <c r="E46" s="33">
        <v>1</v>
      </c>
      <c r="F46" s="33">
        <v>1</v>
      </c>
      <c r="G46" s="33"/>
      <c r="H46" s="33"/>
      <c r="I46" s="33"/>
      <c r="J46" s="39">
        <v>1</v>
      </c>
      <c r="K46" s="8"/>
      <c r="L46" s="8"/>
      <c r="M46" s="45" t="s">
        <v>25</v>
      </c>
      <c r="N46" s="45">
        <f t="shared" si="14"/>
        <v>62.38125</v>
      </c>
      <c r="O46" s="45">
        <f t="shared" si="15"/>
        <v>0</v>
      </c>
      <c r="P46" s="45">
        <f t="shared" si="16"/>
        <v>117.4125</v>
      </c>
      <c r="Q46" s="45">
        <f t="shared" si="17"/>
        <v>58.905</v>
      </c>
      <c r="R46" s="45">
        <f t="shared" si="18"/>
        <v>0</v>
      </c>
      <c r="S46" s="45">
        <f t="shared" si="19"/>
        <v>0</v>
      </c>
      <c r="T46" s="45">
        <f t="shared" si="20"/>
        <v>0</v>
      </c>
      <c r="U46" s="45">
        <f t="shared" si="21"/>
        <v>27.135</v>
      </c>
      <c r="V46" s="45">
        <f t="shared" si="22"/>
        <v>238.69875</v>
      </c>
      <c r="W46" s="45">
        <v>240</v>
      </c>
      <c r="X46" s="45">
        <f t="shared" si="23"/>
        <v>211.68</v>
      </c>
      <c r="Y46" s="45">
        <f t="shared" si="24"/>
        <v>-27.01875</v>
      </c>
    </row>
    <row r="47" spans="1:25">
      <c r="A47" s="8"/>
      <c r="B47" s="28" t="s">
        <v>37</v>
      </c>
      <c r="C47" s="32">
        <v>2</v>
      </c>
      <c r="D47" s="33"/>
      <c r="E47" s="33"/>
      <c r="F47" s="33"/>
      <c r="G47" s="33">
        <v>4</v>
      </c>
      <c r="H47" s="33">
        <v>4</v>
      </c>
      <c r="I47" s="33">
        <v>2</v>
      </c>
      <c r="J47" s="39"/>
      <c r="K47" s="8"/>
      <c r="L47" s="8"/>
      <c r="M47" s="45" t="s">
        <v>26</v>
      </c>
      <c r="N47" s="45">
        <f t="shared" si="14"/>
        <v>0</v>
      </c>
      <c r="O47" s="45">
        <f t="shared" si="15"/>
        <v>0</v>
      </c>
      <c r="P47" s="45">
        <f t="shared" si="16"/>
        <v>0</v>
      </c>
      <c r="Q47" s="45">
        <f t="shared" si="17"/>
        <v>117.81</v>
      </c>
      <c r="R47" s="45">
        <f t="shared" si="18"/>
        <v>43.905</v>
      </c>
      <c r="S47" s="45">
        <f t="shared" si="19"/>
        <v>82.1875</v>
      </c>
      <c r="T47" s="45">
        <f t="shared" si="20"/>
        <v>103.96875</v>
      </c>
      <c r="U47" s="45">
        <f t="shared" si="21"/>
        <v>27.135</v>
      </c>
      <c r="V47" s="45">
        <f t="shared" si="22"/>
        <v>161.715</v>
      </c>
      <c r="W47" s="45">
        <v>120</v>
      </c>
      <c r="X47" s="45">
        <f t="shared" si="23"/>
        <v>105.84</v>
      </c>
      <c r="Y47" s="45">
        <f t="shared" si="24"/>
        <v>-55.875</v>
      </c>
    </row>
    <row r="48" spans="1:25">
      <c r="A48" s="8"/>
      <c r="B48" s="28" t="s">
        <v>38</v>
      </c>
      <c r="C48" s="32">
        <v>4</v>
      </c>
      <c r="D48" s="33"/>
      <c r="E48" s="33"/>
      <c r="F48" s="33"/>
      <c r="G48" s="33">
        <v>4</v>
      </c>
      <c r="H48" s="33">
        <v>3</v>
      </c>
      <c r="I48" s="33">
        <v>4</v>
      </c>
      <c r="J48" s="39"/>
      <c r="K48" s="8"/>
      <c r="L48" s="8"/>
      <c r="M48" s="45" t="s">
        <v>27</v>
      </c>
      <c r="N48" s="45">
        <f t="shared" si="14"/>
        <v>0</v>
      </c>
      <c r="O48" s="45">
        <f t="shared" si="15"/>
        <v>18.9375</v>
      </c>
      <c r="P48" s="45">
        <f t="shared" si="16"/>
        <v>117.4125</v>
      </c>
      <c r="Q48" s="45">
        <f t="shared" si="17"/>
        <v>58.905</v>
      </c>
      <c r="R48" s="45">
        <f t="shared" si="18"/>
        <v>0</v>
      </c>
      <c r="S48" s="45">
        <f t="shared" si="19"/>
        <v>0</v>
      </c>
      <c r="T48" s="45">
        <f t="shared" si="20"/>
        <v>0</v>
      </c>
      <c r="U48" s="45">
        <f t="shared" si="21"/>
        <v>0</v>
      </c>
      <c r="V48" s="45">
        <f t="shared" si="22"/>
        <v>195.255</v>
      </c>
      <c r="W48" s="45">
        <v>192</v>
      </c>
      <c r="X48" s="45">
        <f t="shared" si="23"/>
        <v>169.344</v>
      </c>
      <c r="Y48" s="45">
        <f t="shared" si="24"/>
        <v>-25.911</v>
      </c>
    </row>
    <row r="49" spans="1:25">
      <c r="A49" s="8"/>
      <c r="B49" s="28" t="s">
        <v>39</v>
      </c>
      <c r="C49" s="32">
        <v>2</v>
      </c>
      <c r="D49" s="33"/>
      <c r="E49" s="33"/>
      <c r="F49" s="33"/>
      <c r="G49" s="33">
        <v>2</v>
      </c>
      <c r="H49" s="33">
        <v>2</v>
      </c>
      <c r="I49" s="33">
        <v>1</v>
      </c>
      <c r="J49" s="39"/>
      <c r="K49" s="8"/>
      <c r="L49" s="8"/>
      <c r="M49" s="45" t="s">
        <v>29</v>
      </c>
      <c r="N49" s="45">
        <f t="shared" si="14"/>
        <v>0</v>
      </c>
      <c r="O49" s="45">
        <f t="shared" si="15"/>
        <v>18.9375</v>
      </c>
      <c r="P49" s="45">
        <f t="shared" si="16"/>
        <v>117.4125</v>
      </c>
      <c r="Q49" s="45">
        <f t="shared" si="17"/>
        <v>0</v>
      </c>
      <c r="R49" s="45">
        <f t="shared" si="18"/>
        <v>0</v>
      </c>
      <c r="S49" s="45">
        <f t="shared" si="19"/>
        <v>41.09375</v>
      </c>
      <c r="T49" s="45">
        <f t="shared" si="20"/>
        <v>25.9921875</v>
      </c>
      <c r="U49" s="45">
        <f t="shared" si="21"/>
        <v>0</v>
      </c>
      <c r="V49" s="45">
        <f t="shared" si="22"/>
        <v>136.35</v>
      </c>
      <c r="W49" s="45">
        <v>154.285714285714</v>
      </c>
      <c r="X49" s="45">
        <f t="shared" si="23"/>
        <v>136.08</v>
      </c>
      <c r="Y49" s="45">
        <f t="shared" si="24"/>
        <v>-0.27000000000001</v>
      </c>
    </row>
    <row r="50" spans="1:25">
      <c r="A50" s="8"/>
      <c r="B50" s="28" t="s">
        <v>42</v>
      </c>
      <c r="C50" s="32"/>
      <c r="D50" s="33">
        <v>4</v>
      </c>
      <c r="E50" s="33">
        <v>2</v>
      </c>
      <c r="F50" s="33">
        <v>2</v>
      </c>
      <c r="G50" s="33">
        <v>2</v>
      </c>
      <c r="H50" s="33"/>
      <c r="I50" s="33"/>
      <c r="J50" s="39">
        <v>4</v>
      </c>
      <c r="K50" s="8"/>
      <c r="L50" s="8"/>
      <c r="M50" s="45" t="s">
        <v>30</v>
      </c>
      <c r="N50" s="45">
        <f t="shared" si="14"/>
        <v>15.5953125</v>
      </c>
      <c r="O50" s="45">
        <f t="shared" si="15"/>
        <v>0</v>
      </c>
      <c r="P50" s="45">
        <f t="shared" si="16"/>
        <v>0</v>
      </c>
      <c r="Q50" s="45">
        <f t="shared" si="17"/>
        <v>0</v>
      </c>
      <c r="R50" s="45">
        <f t="shared" si="18"/>
        <v>87.81</v>
      </c>
      <c r="S50" s="45">
        <f t="shared" si="19"/>
        <v>0</v>
      </c>
      <c r="T50" s="45">
        <f t="shared" si="20"/>
        <v>0</v>
      </c>
      <c r="U50" s="45">
        <f t="shared" si="21"/>
        <v>81.405</v>
      </c>
      <c r="V50" s="45">
        <f t="shared" si="22"/>
        <v>103.4053125</v>
      </c>
      <c r="W50" s="45">
        <v>87.2727272727273</v>
      </c>
      <c r="X50" s="45">
        <f t="shared" si="23"/>
        <v>76.9745454545454</v>
      </c>
      <c r="Y50" s="45">
        <f t="shared" si="24"/>
        <v>-26.4307670454546</v>
      </c>
    </row>
    <row r="51" spans="1:25">
      <c r="A51" s="8"/>
      <c r="B51" s="28" t="s">
        <v>43</v>
      </c>
      <c r="C51" s="32"/>
      <c r="D51" s="33"/>
      <c r="E51" s="33"/>
      <c r="F51" s="33">
        <v>2</v>
      </c>
      <c r="G51" s="33"/>
      <c r="H51" s="33">
        <v>2</v>
      </c>
      <c r="I51" s="33"/>
      <c r="J51" s="39">
        <v>1</v>
      </c>
      <c r="K51" s="8"/>
      <c r="L51" s="8"/>
      <c r="M51" s="45" t="s">
        <v>31</v>
      </c>
      <c r="N51" s="45">
        <f t="shared" si="14"/>
        <v>0</v>
      </c>
      <c r="O51" s="45">
        <f t="shared" si="15"/>
        <v>75.75</v>
      </c>
      <c r="P51" s="45">
        <f t="shared" si="16"/>
        <v>0</v>
      </c>
      <c r="Q51" s="45">
        <f t="shared" si="17"/>
        <v>0</v>
      </c>
      <c r="R51" s="45">
        <f t="shared" si="18"/>
        <v>175.62</v>
      </c>
      <c r="S51" s="45">
        <f t="shared" si="19"/>
        <v>0</v>
      </c>
      <c r="T51" s="45">
        <f t="shared" si="20"/>
        <v>25.9921875</v>
      </c>
      <c r="U51" s="45">
        <f t="shared" si="21"/>
        <v>27.135</v>
      </c>
      <c r="V51" s="45">
        <f t="shared" si="22"/>
        <v>251.37</v>
      </c>
      <c r="W51" s="45">
        <v>300</v>
      </c>
      <c r="X51" s="45">
        <f t="shared" si="23"/>
        <v>264.6</v>
      </c>
      <c r="Y51" s="45">
        <f t="shared" si="24"/>
        <v>13.23</v>
      </c>
    </row>
    <row r="52" spans="1:25">
      <c r="A52" s="8"/>
      <c r="B52" s="28" t="s">
        <v>44</v>
      </c>
      <c r="C52" s="32"/>
      <c r="D52" s="33">
        <v>1</v>
      </c>
      <c r="E52" s="33">
        <v>4</v>
      </c>
      <c r="F52" s="33"/>
      <c r="G52" s="33"/>
      <c r="H52" s="33"/>
      <c r="I52" s="33"/>
      <c r="J52" s="39"/>
      <c r="K52" s="8"/>
      <c r="L52" s="8"/>
      <c r="M52" s="45" t="s">
        <v>32</v>
      </c>
      <c r="N52" s="45">
        <f t="shared" si="14"/>
        <v>0</v>
      </c>
      <c r="O52" s="45">
        <f t="shared" si="15"/>
        <v>0</v>
      </c>
      <c r="P52" s="45">
        <f t="shared" si="16"/>
        <v>0</v>
      </c>
      <c r="Q52" s="45">
        <f t="shared" si="17"/>
        <v>117.81</v>
      </c>
      <c r="R52" s="45">
        <f t="shared" si="18"/>
        <v>0</v>
      </c>
      <c r="S52" s="45">
        <f t="shared" si="19"/>
        <v>82.1875</v>
      </c>
      <c r="T52" s="45">
        <f t="shared" si="20"/>
        <v>51.984375</v>
      </c>
      <c r="U52" s="45">
        <f t="shared" si="21"/>
        <v>81.405</v>
      </c>
      <c r="V52" s="45">
        <f t="shared" si="22"/>
        <v>117.81</v>
      </c>
      <c r="W52" s="45">
        <v>90</v>
      </c>
      <c r="X52" s="45">
        <f t="shared" si="23"/>
        <v>79.38</v>
      </c>
      <c r="Y52" s="45">
        <f t="shared" si="24"/>
        <v>-38.43</v>
      </c>
    </row>
    <row r="53" spans="1:25">
      <c r="A53" s="8"/>
      <c r="B53" s="28" t="s">
        <v>45</v>
      </c>
      <c r="C53" s="32">
        <v>2</v>
      </c>
      <c r="D53" s="33"/>
      <c r="E53" s="33"/>
      <c r="F53" s="33"/>
      <c r="G53" s="33">
        <v>2</v>
      </c>
      <c r="H53" s="33">
        <v>2</v>
      </c>
      <c r="I53" s="33">
        <v>2</v>
      </c>
      <c r="J53" s="39">
        <v>1</v>
      </c>
      <c r="K53" s="8"/>
      <c r="L53" s="8"/>
      <c r="M53" s="45" t="s">
        <v>34</v>
      </c>
      <c r="N53" s="45">
        <f t="shared" si="14"/>
        <v>0</v>
      </c>
      <c r="O53" s="45">
        <f t="shared" si="15"/>
        <v>37.875</v>
      </c>
      <c r="P53" s="45">
        <f t="shared" si="16"/>
        <v>117.4125</v>
      </c>
      <c r="Q53" s="45">
        <f t="shared" si="17"/>
        <v>0</v>
      </c>
      <c r="R53" s="45">
        <f t="shared" si="18"/>
        <v>0</v>
      </c>
      <c r="S53" s="45">
        <f t="shared" si="19"/>
        <v>41.09375</v>
      </c>
      <c r="T53" s="45">
        <f t="shared" si="20"/>
        <v>51.984375</v>
      </c>
      <c r="U53" s="45">
        <f t="shared" si="21"/>
        <v>0</v>
      </c>
      <c r="V53" s="45">
        <f t="shared" si="22"/>
        <v>155.2875</v>
      </c>
      <c r="W53" s="45">
        <v>192</v>
      </c>
      <c r="X53" s="45">
        <f t="shared" si="23"/>
        <v>169.344</v>
      </c>
      <c r="Y53" s="45">
        <f t="shared" si="24"/>
        <v>14.0565</v>
      </c>
    </row>
    <row r="54" spans="1:25">
      <c r="A54" s="8"/>
      <c r="B54" s="28" t="s">
        <v>46</v>
      </c>
      <c r="C54" s="32">
        <v>4</v>
      </c>
      <c r="D54" s="33">
        <v>1</v>
      </c>
      <c r="E54" s="33"/>
      <c r="F54" s="33"/>
      <c r="G54" s="33">
        <v>4</v>
      </c>
      <c r="H54" s="33">
        <v>1</v>
      </c>
      <c r="I54" s="33">
        <v>3</v>
      </c>
      <c r="J54" s="39"/>
      <c r="K54" s="8"/>
      <c r="L54" s="8"/>
      <c r="M54" s="45" t="s">
        <v>36</v>
      </c>
      <c r="N54" s="45">
        <f t="shared" si="14"/>
        <v>15.5953125</v>
      </c>
      <c r="O54" s="45">
        <f t="shared" si="15"/>
        <v>0</v>
      </c>
      <c r="P54" s="45">
        <f t="shared" si="16"/>
        <v>58.70625</v>
      </c>
      <c r="Q54" s="45">
        <f t="shared" si="17"/>
        <v>29.4525</v>
      </c>
      <c r="R54" s="45">
        <f t="shared" si="18"/>
        <v>0</v>
      </c>
      <c r="S54" s="45">
        <f t="shared" si="19"/>
        <v>0</v>
      </c>
      <c r="T54" s="45">
        <f t="shared" si="20"/>
        <v>0</v>
      </c>
      <c r="U54" s="45">
        <f t="shared" si="21"/>
        <v>27.135</v>
      </c>
      <c r="V54" s="45">
        <f t="shared" si="22"/>
        <v>103.7540625</v>
      </c>
      <c r="W54" s="45">
        <v>96</v>
      </c>
      <c r="X54" s="45">
        <f t="shared" si="23"/>
        <v>84.672</v>
      </c>
      <c r="Y54" s="45">
        <f t="shared" si="24"/>
        <v>-19.0820625</v>
      </c>
    </row>
    <row r="55" spans="1:25">
      <c r="A55" s="8"/>
      <c r="B55" s="28" t="s">
        <v>47</v>
      </c>
      <c r="C55" s="32"/>
      <c r="D55" s="33">
        <v>2</v>
      </c>
      <c r="E55" s="33">
        <v>4</v>
      </c>
      <c r="F55" s="33">
        <v>4</v>
      </c>
      <c r="G55" s="33">
        <v>1</v>
      </c>
      <c r="H55" s="33"/>
      <c r="I55" s="33"/>
      <c r="J55" s="39">
        <v>3</v>
      </c>
      <c r="K55" s="8"/>
      <c r="L55" s="8"/>
      <c r="M55" s="45" t="s">
        <v>37</v>
      </c>
      <c r="N55" s="45">
        <f t="shared" si="14"/>
        <v>31.190625</v>
      </c>
      <c r="O55" s="45">
        <f t="shared" si="15"/>
        <v>0</v>
      </c>
      <c r="P55" s="45">
        <f t="shared" si="16"/>
        <v>0</v>
      </c>
      <c r="Q55" s="45">
        <f t="shared" si="17"/>
        <v>0</v>
      </c>
      <c r="R55" s="45">
        <f t="shared" si="18"/>
        <v>175.62</v>
      </c>
      <c r="S55" s="45">
        <f t="shared" si="19"/>
        <v>164.375</v>
      </c>
      <c r="T55" s="45">
        <f t="shared" si="20"/>
        <v>51.984375</v>
      </c>
      <c r="U55" s="45">
        <f t="shared" si="21"/>
        <v>0</v>
      </c>
      <c r="V55" s="45">
        <f t="shared" si="22"/>
        <v>206.810625</v>
      </c>
      <c r="W55" s="45">
        <v>168</v>
      </c>
      <c r="X55" s="45">
        <f t="shared" si="23"/>
        <v>148.176</v>
      </c>
      <c r="Y55" s="45">
        <f t="shared" si="24"/>
        <v>-58.634625</v>
      </c>
    </row>
    <row r="56" spans="1:25">
      <c r="A56" s="8"/>
      <c r="B56" s="14" t="s">
        <v>48</v>
      </c>
      <c r="C56" s="15"/>
      <c r="D56" s="16">
        <v>2</v>
      </c>
      <c r="E56" s="16">
        <v>3</v>
      </c>
      <c r="F56" s="16">
        <v>3</v>
      </c>
      <c r="G56" s="16"/>
      <c r="H56" s="16"/>
      <c r="I56" s="16"/>
      <c r="J56" s="44">
        <v>4</v>
      </c>
      <c r="K56" s="8"/>
      <c r="L56" s="8"/>
      <c r="M56" s="45" t="s">
        <v>38</v>
      </c>
      <c r="N56" s="45">
        <f t="shared" si="14"/>
        <v>62.38125</v>
      </c>
      <c r="O56" s="45">
        <f t="shared" si="15"/>
        <v>0</v>
      </c>
      <c r="P56" s="45">
        <f t="shared" si="16"/>
        <v>0</v>
      </c>
      <c r="Q56" s="45">
        <f t="shared" si="17"/>
        <v>0</v>
      </c>
      <c r="R56" s="45">
        <f t="shared" si="18"/>
        <v>175.62</v>
      </c>
      <c r="S56" s="45">
        <f t="shared" si="19"/>
        <v>123.28125</v>
      </c>
      <c r="T56" s="45">
        <f t="shared" si="20"/>
        <v>103.96875</v>
      </c>
      <c r="U56" s="45">
        <f t="shared" si="21"/>
        <v>0</v>
      </c>
      <c r="V56" s="45">
        <f t="shared" si="22"/>
        <v>238.00125</v>
      </c>
      <c r="W56" s="45">
        <v>213.333333333333</v>
      </c>
      <c r="X56" s="45">
        <f t="shared" si="23"/>
        <v>188.16</v>
      </c>
      <c r="Y56" s="45">
        <f t="shared" si="24"/>
        <v>-49.84125</v>
      </c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45" t="s">
        <v>39</v>
      </c>
      <c r="N57" s="45">
        <f t="shared" si="14"/>
        <v>31.190625</v>
      </c>
      <c r="O57" s="45">
        <f t="shared" si="15"/>
        <v>0</v>
      </c>
      <c r="P57" s="45">
        <f t="shared" si="16"/>
        <v>0</v>
      </c>
      <c r="Q57" s="45">
        <f t="shared" si="17"/>
        <v>0</v>
      </c>
      <c r="R57" s="45">
        <f t="shared" si="18"/>
        <v>87.81</v>
      </c>
      <c r="S57" s="45">
        <f t="shared" si="19"/>
        <v>82.1875</v>
      </c>
      <c r="T57" s="45">
        <f t="shared" si="20"/>
        <v>25.9921875</v>
      </c>
      <c r="U57" s="45">
        <f t="shared" si="21"/>
        <v>0</v>
      </c>
      <c r="V57" s="45">
        <f t="shared" si="22"/>
        <v>119.000625</v>
      </c>
      <c r="W57" s="45">
        <v>106.666666666667</v>
      </c>
      <c r="X57" s="45">
        <f t="shared" si="23"/>
        <v>94.08</v>
      </c>
      <c r="Y57" s="45">
        <f t="shared" si="24"/>
        <v>-24.920625</v>
      </c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45" t="s">
        <v>42</v>
      </c>
      <c r="N58" s="45">
        <f t="shared" si="14"/>
        <v>0</v>
      </c>
      <c r="O58" s="45">
        <f t="shared" si="15"/>
        <v>75.75</v>
      </c>
      <c r="P58" s="45">
        <f t="shared" si="16"/>
        <v>117.4125</v>
      </c>
      <c r="Q58" s="45">
        <f t="shared" si="17"/>
        <v>58.905</v>
      </c>
      <c r="R58" s="45">
        <f t="shared" si="18"/>
        <v>87.81</v>
      </c>
      <c r="S58" s="45">
        <f t="shared" si="19"/>
        <v>0</v>
      </c>
      <c r="T58" s="45">
        <f t="shared" si="20"/>
        <v>0</v>
      </c>
      <c r="U58" s="45">
        <f t="shared" si="21"/>
        <v>108.54</v>
      </c>
      <c r="V58" s="45">
        <f t="shared" si="22"/>
        <v>339.8775</v>
      </c>
      <c r="W58" s="45">
        <v>400</v>
      </c>
      <c r="X58" s="45">
        <f t="shared" si="23"/>
        <v>352.8</v>
      </c>
      <c r="Y58" s="45">
        <f t="shared" si="24"/>
        <v>12.9225</v>
      </c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45" t="s">
        <v>43</v>
      </c>
      <c r="N59" s="45">
        <f t="shared" si="14"/>
        <v>0</v>
      </c>
      <c r="O59" s="45">
        <f t="shared" si="15"/>
        <v>0</v>
      </c>
      <c r="P59" s="45">
        <f t="shared" si="16"/>
        <v>0</v>
      </c>
      <c r="Q59" s="45">
        <f t="shared" si="17"/>
        <v>58.905</v>
      </c>
      <c r="R59" s="45">
        <f t="shared" si="18"/>
        <v>0</v>
      </c>
      <c r="S59" s="45">
        <f t="shared" si="19"/>
        <v>82.1875</v>
      </c>
      <c r="T59" s="45">
        <f t="shared" si="20"/>
        <v>0</v>
      </c>
      <c r="U59" s="45">
        <f t="shared" si="21"/>
        <v>27.135</v>
      </c>
      <c r="V59" s="45">
        <f t="shared" si="22"/>
        <v>58.905</v>
      </c>
      <c r="W59" s="45">
        <v>48</v>
      </c>
      <c r="X59" s="45">
        <f t="shared" si="23"/>
        <v>42.336</v>
      </c>
      <c r="Y59" s="45">
        <f t="shared" si="24"/>
        <v>-16.569</v>
      </c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45" t="s">
        <v>44</v>
      </c>
      <c r="N60" s="45">
        <f t="shared" si="14"/>
        <v>0</v>
      </c>
      <c r="O60" s="45">
        <f t="shared" si="15"/>
        <v>18.9375</v>
      </c>
      <c r="P60" s="45">
        <f t="shared" si="16"/>
        <v>234.825</v>
      </c>
      <c r="Q60" s="45">
        <f t="shared" si="17"/>
        <v>0</v>
      </c>
      <c r="R60" s="45">
        <f t="shared" si="18"/>
        <v>0</v>
      </c>
      <c r="S60" s="45">
        <f t="shared" si="19"/>
        <v>0</v>
      </c>
      <c r="T60" s="45">
        <f t="shared" si="20"/>
        <v>0</v>
      </c>
      <c r="U60" s="45">
        <f t="shared" si="21"/>
        <v>0</v>
      </c>
      <c r="V60" s="45">
        <f t="shared" si="22"/>
        <v>253.7625</v>
      </c>
      <c r="W60" s="45">
        <v>264</v>
      </c>
      <c r="X60" s="45">
        <f t="shared" si="23"/>
        <v>232.848</v>
      </c>
      <c r="Y60" s="45">
        <f t="shared" si="24"/>
        <v>-20.9145</v>
      </c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45" t="s">
        <v>45</v>
      </c>
      <c r="N61" s="45">
        <f t="shared" si="14"/>
        <v>31.190625</v>
      </c>
      <c r="O61" s="45">
        <f t="shared" si="15"/>
        <v>0</v>
      </c>
      <c r="P61" s="45">
        <f t="shared" si="16"/>
        <v>0</v>
      </c>
      <c r="Q61" s="45">
        <f t="shared" si="17"/>
        <v>0</v>
      </c>
      <c r="R61" s="45">
        <f t="shared" si="18"/>
        <v>87.81</v>
      </c>
      <c r="S61" s="45">
        <f t="shared" si="19"/>
        <v>82.1875</v>
      </c>
      <c r="T61" s="45">
        <f t="shared" si="20"/>
        <v>51.984375</v>
      </c>
      <c r="U61" s="45">
        <f t="shared" si="21"/>
        <v>27.135</v>
      </c>
      <c r="V61" s="45">
        <f t="shared" si="22"/>
        <v>119.000625</v>
      </c>
      <c r="W61" s="45">
        <v>102.857142857143</v>
      </c>
      <c r="X61" s="45">
        <f t="shared" si="23"/>
        <v>90.72</v>
      </c>
      <c r="Y61" s="45">
        <f t="shared" si="24"/>
        <v>-28.280625</v>
      </c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45" t="s">
        <v>46</v>
      </c>
      <c r="N62" s="45">
        <f t="shared" si="14"/>
        <v>62.38125</v>
      </c>
      <c r="O62" s="45">
        <f t="shared" si="15"/>
        <v>18.9375</v>
      </c>
      <c r="P62" s="45">
        <f t="shared" si="16"/>
        <v>0</v>
      </c>
      <c r="Q62" s="45">
        <f t="shared" si="17"/>
        <v>0</v>
      </c>
      <c r="R62" s="45">
        <f t="shared" si="18"/>
        <v>175.62</v>
      </c>
      <c r="S62" s="45">
        <f t="shared" si="19"/>
        <v>41.09375</v>
      </c>
      <c r="T62" s="45">
        <f t="shared" si="20"/>
        <v>77.9765625</v>
      </c>
      <c r="U62" s="45">
        <f t="shared" si="21"/>
        <v>0</v>
      </c>
      <c r="V62" s="45">
        <f t="shared" si="22"/>
        <v>256.93875</v>
      </c>
      <c r="W62" s="45">
        <v>256</v>
      </c>
      <c r="X62" s="45">
        <f t="shared" si="23"/>
        <v>225.792</v>
      </c>
      <c r="Y62" s="45">
        <f t="shared" si="24"/>
        <v>-31.14675</v>
      </c>
    </row>
    <row r="63" spans="13:25">
      <c r="M63" s="45" t="s">
        <v>47</v>
      </c>
      <c r="N63" s="45">
        <f t="shared" si="14"/>
        <v>0</v>
      </c>
      <c r="O63" s="45">
        <f t="shared" si="15"/>
        <v>37.875</v>
      </c>
      <c r="P63" s="45">
        <f t="shared" si="16"/>
        <v>234.825</v>
      </c>
      <c r="Q63" s="45">
        <f t="shared" si="17"/>
        <v>117.81</v>
      </c>
      <c r="R63" s="45">
        <f t="shared" si="18"/>
        <v>43.905</v>
      </c>
      <c r="S63" s="45">
        <f t="shared" si="19"/>
        <v>0</v>
      </c>
      <c r="T63" s="45">
        <f t="shared" si="20"/>
        <v>0</v>
      </c>
      <c r="U63" s="45">
        <f t="shared" si="21"/>
        <v>81.405</v>
      </c>
      <c r="V63" s="45">
        <f t="shared" si="22"/>
        <v>434.415</v>
      </c>
      <c r="W63" s="45">
        <v>422.4</v>
      </c>
      <c r="X63" s="45">
        <f t="shared" si="23"/>
        <v>372.5568</v>
      </c>
      <c r="Y63" s="45">
        <f t="shared" si="24"/>
        <v>-61.8582</v>
      </c>
    </row>
    <row r="64" spans="13:25">
      <c r="M64" s="45" t="s">
        <v>48</v>
      </c>
      <c r="N64" s="45">
        <f t="shared" si="14"/>
        <v>0</v>
      </c>
      <c r="O64" s="45">
        <f t="shared" si="15"/>
        <v>37.875</v>
      </c>
      <c r="P64" s="45">
        <f t="shared" si="16"/>
        <v>176.11875</v>
      </c>
      <c r="Q64" s="45">
        <f t="shared" si="17"/>
        <v>88.3575</v>
      </c>
      <c r="R64" s="45">
        <f t="shared" si="18"/>
        <v>0</v>
      </c>
      <c r="S64" s="45">
        <f t="shared" si="19"/>
        <v>0</v>
      </c>
      <c r="T64" s="45">
        <f t="shared" si="20"/>
        <v>0</v>
      </c>
      <c r="U64" s="45">
        <f t="shared" si="21"/>
        <v>108.54</v>
      </c>
      <c r="V64" s="45">
        <f t="shared" si="22"/>
        <v>302.35125</v>
      </c>
      <c r="W64" s="45">
        <v>320</v>
      </c>
      <c r="X64" s="45">
        <f t="shared" si="23"/>
        <v>282.24</v>
      </c>
      <c r="Y64" s="45">
        <f t="shared" si="24"/>
        <v>-20.1112499999999</v>
      </c>
    </row>
    <row r="67" spans="13:25">
      <c r="M67" t="s">
        <v>52</v>
      </c>
      <c r="N67" s="47" t="s">
        <v>6</v>
      </c>
      <c r="O67" s="47" t="s">
        <v>7</v>
      </c>
      <c r="P67" s="47" t="s">
        <v>8</v>
      </c>
      <c r="Q67" s="47" t="s">
        <v>9</v>
      </c>
      <c r="R67" s="47" t="s">
        <v>10</v>
      </c>
      <c r="S67" s="47" t="s">
        <v>132</v>
      </c>
      <c r="T67" s="47" t="s">
        <v>133</v>
      </c>
      <c r="U67" s="47" t="s">
        <v>134</v>
      </c>
      <c r="V67" s="47" t="s">
        <v>53</v>
      </c>
      <c r="W67" s="47" t="s">
        <v>20</v>
      </c>
      <c r="X67" s="47" t="s">
        <v>21</v>
      </c>
      <c r="Y67" s="47" t="s">
        <v>54</v>
      </c>
    </row>
    <row r="68" spans="13:25">
      <c r="M68" s="47" t="s">
        <v>24</v>
      </c>
      <c r="N68">
        <f>($C$18+2.576*$C$23)*C37</f>
        <v>48657.580017119</v>
      </c>
      <c r="O68">
        <f>($D$18+2.576*$D$23)*D37</f>
        <v>109572.740051357</v>
      </c>
      <c r="P68">
        <f>($E$18+2.576*$E$23)*E37</f>
        <v>689381.920410857</v>
      </c>
      <c r="Q68">
        <f>($F$18+2.576*$F$23)*F37</f>
        <v>404121.280273905</v>
      </c>
      <c r="R68">
        <f>($G$18+2.576*$G$23)*G37</f>
        <v>129443.950042798</v>
      </c>
      <c r="S68">
        <f>($H$18+2.576*$H$23)*H37</f>
        <v>0</v>
      </c>
      <c r="T68">
        <f>($I$18+2.576*$I$23)*I37</f>
        <v>0</v>
      </c>
      <c r="U68">
        <f>($J$18+2.576*$J$23)*J37</f>
        <v>191843.950042798</v>
      </c>
      <c r="V68">
        <f>SUM(N68:U68)</f>
        <v>1573021.42083883</v>
      </c>
      <c r="W68">
        <v>12.75</v>
      </c>
      <c r="X68">
        <f>0.98*0.9</f>
        <v>0.882</v>
      </c>
      <c r="Y68">
        <f>V68*W68/X68</f>
        <v>22739255.2332144</v>
      </c>
    </row>
    <row r="69" spans="13:25">
      <c r="M69" s="47" t="s">
        <v>25</v>
      </c>
      <c r="N69">
        <f t="shared" ref="N69:N87" si="25">($C$18+2.576*$C$23)*C38</f>
        <v>194630.320068476</v>
      </c>
      <c r="O69">
        <f t="shared" ref="O69:O87" si="26">($D$18+2.576*$D$23)*D38</f>
        <v>0</v>
      </c>
      <c r="P69">
        <f t="shared" ref="P69:P87" si="27">($E$18+2.576*$E$23)*E38</f>
        <v>344690.960205429</v>
      </c>
      <c r="Q69">
        <f t="shared" ref="Q69:Q87" si="28">($F$18+2.576*$F$23)*F38</f>
        <v>202060.640136952</v>
      </c>
      <c r="R69">
        <f t="shared" ref="R69:R87" si="29">($G$18+2.576*$G$23)*G38</f>
        <v>0</v>
      </c>
      <c r="S69">
        <f t="shared" ref="S69:S87" si="30">($H$18+2.576*$H$23)*H38</f>
        <v>0</v>
      </c>
      <c r="T69">
        <f t="shared" ref="T69:T87" si="31">($I$18+2.576*$I$23)*I38</f>
        <v>0</v>
      </c>
      <c r="U69">
        <f t="shared" ref="U69:U87" si="32">($J$18+2.576*$J$23)*J38</f>
        <v>95921.9750213988</v>
      </c>
      <c r="V69">
        <f t="shared" ref="V69:V87" si="33">SUM(N69:U69)</f>
        <v>837303.895432256</v>
      </c>
      <c r="W69">
        <v>7.75</v>
      </c>
      <c r="X69">
        <f t="shared" ref="X69:X78" si="34">0.98*0.9</f>
        <v>0.882</v>
      </c>
      <c r="Y69">
        <f t="shared" ref="Y69:Y87" si="35">V69*W69/X69</f>
        <v>7357262.11972787</v>
      </c>
    </row>
    <row r="70" spans="13:25">
      <c r="M70" s="47" t="s">
        <v>26</v>
      </c>
      <c r="N70">
        <f t="shared" si="25"/>
        <v>0</v>
      </c>
      <c r="O70">
        <f t="shared" si="26"/>
        <v>0</v>
      </c>
      <c r="P70">
        <f t="shared" si="27"/>
        <v>0</v>
      </c>
      <c r="Q70">
        <f t="shared" si="28"/>
        <v>404121.280273905</v>
      </c>
      <c r="R70">
        <f t="shared" si="29"/>
        <v>129443.950042798</v>
      </c>
      <c r="S70">
        <f t="shared" si="30"/>
        <v>222860.640136952</v>
      </c>
      <c r="T70">
        <f t="shared" si="31"/>
        <v>326860.640136952</v>
      </c>
      <c r="U70">
        <f t="shared" si="32"/>
        <v>95921.9750213988</v>
      </c>
      <c r="V70">
        <f t="shared" si="33"/>
        <v>1179208.48561201</v>
      </c>
      <c r="W70">
        <v>9.5</v>
      </c>
      <c r="X70">
        <f t="shared" si="34"/>
        <v>0.882</v>
      </c>
      <c r="Y70">
        <f t="shared" si="35"/>
        <v>12701225.1851633</v>
      </c>
    </row>
    <row r="71" spans="13:25">
      <c r="M71" s="47" t="s">
        <v>27</v>
      </c>
      <c r="N71">
        <f t="shared" si="25"/>
        <v>0</v>
      </c>
      <c r="O71">
        <f t="shared" si="26"/>
        <v>54786.3700256786</v>
      </c>
      <c r="P71">
        <f t="shared" si="27"/>
        <v>344690.960205429</v>
      </c>
      <c r="Q71">
        <f t="shared" si="28"/>
        <v>202060.640136952</v>
      </c>
      <c r="R71">
        <f t="shared" si="29"/>
        <v>0</v>
      </c>
      <c r="S71">
        <f t="shared" si="30"/>
        <v>0</v>
      </c>
      <c r="T71">
        <f t="shared" si="31"/>
        <v>0</v>
      </c>
      <c r="U71">
        <f t="shared" si="32"/>
        <v>0</v>
      </c>
      <c r="V71">
        <f t="shared" si="33"/>
        <v>601537.97036806</v>
      </c>
      <c r="W71">
        <v>7.5</v>
      </c>
      <c r="X71">
        <f t="shared" si="34"/>
        <v>0.882</v>
      </c>
      <c r="Y71">
        <f t="shared" si="35"/>
        <v>5115118.79564677</v>
      </c>
    </row>
    <row r="72" spans="13:25">
      <c r="M72" s="47" t="s">
        <v>29</v>
      </c>
      <c r="N72">
        <f t="shared" si="25"/>
        <v>0</v>
      </c>
      <c r="O72">
        <f t="shared" si="26"/>
        <v>54786.3700256786</v>
      </c>
      <c r="P72">
        <f t="shared" si="27"/>
        <v>344690.960205429</v>
      </c>
      <c r="Q72">
        <f t="shared" si="28"/>
        <v>0</v>
      </c>
      <c r="R72">
        <f t="shared" si="29"/>
        <v>0</v>
      </c>
      <c r="S72">
        <f t="shared" si="30"/>
        <v>111430.320068476</v>
      </c>
      <c r="T72">
        <f t="shared" si="31"/>
        <v>81715.1600342381</v>
      </c>
      <c r="U72">
        <f t="shared" si="32"/>
        <v>0</v>
      </c>
      <c r="V72">
        <f t="shared" si="33"/>
        <v>592622.810333821</v>
      </c>
      <c r="W72">
        <v>7.5</v>
      </c>
      <c r="X72">
        <f t="shared" si="34"/>
        <v>0.882</v>
      </c>
      <c r="Y72">
        <f t="shared" si="35"/>
        <v>5039309.61168216</v>
      </c>
    </row>
    <row r="73" spans="13:25">
      <c r="M73" s="47" t="s">
        <v>30</v>
      </c>
      <c r="N73">
        <f t="shared" si="25"/>
        <v>48657.580017119</v>
      </c>
      <c r="O73">
        <f t="shared" si="26"/>
        <v>0</v>
      </c>
      <c r="P73">
        <f t="shared" si="27"/>
        <v>0</v>
      </c>
      <c r="Q73">
        <f t="shared" si="28"/>
        <v>0</v>
      </c>
      <c r="R73">
        <f t="shared" si="29"/>
        <v>258887.900085595</v>
      </c>
      <c r="S73">
        <f t="shared" si="30"/>
        <v>0</v>
      </c>
      <c r="T73">
        <f t="shared" si="31"/>
        <v>0</v>
      </c>
      <c r="U73">
        <f t="shared" si="32"/>
        <v>287765.925064196</v>
      </c>
      <c r="V73">
        <f t="shared" si="33"/>
        <v>595311.405166911</v>
      </c>
      <c r="W73">
        <v>10.5</v>
      </c>
      <c r="X73">
        <f t="shared" si="34"/>
        <v>0.882</v>
      </c>
      <c r="Y73">
        <f t="shared" si="35"/>
        <v>7087040.53770132</v>
      </c>
    </row>
    <row r="74" spans="13:25">
      <c r="M74" s="47" t="s">
        <v>31</v>
      </c>
      <c r="N74">
        <f t="shared" si="25"/>
        <v>0</v>
      </c>
      <c r="O74">
        <f t="shared" si="26"/>
        <v>219145.480102714</v>
      </c>
      <c r="P74">
        <f t="shared" si="27"/>
        <v>0</v>
      </c>
      <c r="Q74">
        <f t="shared" si="28"/>
        <v>0</v>
      </c>
      <c r="R74">
        <f t="shared" si="29"/>
        <v>517775.80017119</v>
      </c>
      <c r="S74">
        <f t="shared" si="30"/>
        <v>0</v>
      </c>
      <c r="T74">
        <f t="shared" si="31"/>
        <v>81715.1600342381</v>
      </c>
      <c r="U74">
        <f t="shared" si="32"/>
        <v>95921.9750213988</v>
      </c>
      <c r="V74">
        <f t="shared" si="33"/>
        <v>914558.415329542</v>
      </c>
      <c r="W74">
        <v>10</v>
      </c>
      <c r="X74">
        <f t="shared" si="34"/>
        <v>0.882</v>
      </c>
      <c r="Y74">
        <f t="shared" si="35"/>
        <v>10369143.0309472</v>
      </c>
    </row>
    <row r="75" spans="13:25">
      <c r="M75" s="47" t="s">
        <v>32</v>
      </c>
      <c r="N75">
        <f t="shared" si="25"/>
        <v>0</v>
      </c>
      <c r="O75">
        <f t="shared" si="26"/>
        <v>0</v>
      </c>
      <c r="P75">
        <f t="shared" si="27"/>
        <v>0</v>
      </c>
      <c r="Q75">
        <f t="shared" si="28"/>
        <v>404121.280273905</v>
      </c>
      <c r="R75">
        <f t="shared" si="29"/>
        <v>0</v>
      </c>
      <c r="S75">
        <f t="shared" si="30"/>
        <v>222860.640136952</v>
      </c>
      <c r="T75">
        <f t="shared" si="31"/>
        <v>163430.320068476</v>
      </c>
      <c r="U75">
        <f t="shared" si="32"/>
        <v>287765.925064196</v>
      </c>
      <c r="V75">
        <f t="shared" si="33"/>
        <v>1078178.16554353</v>
      </c>
      <c r="W75">
        <v>4.75</v>
      </c>
      <c r="X75">
        <f t="shared" si="34"/>
        <v>0.882</v>
      </c>
      <c r="Y75">
        <f t="shared" si="35"/>
        <v>5806515.06386822</v>
      </c>
    </row>
    <row r="76" spans="13:25">
      <c r="M76" s="47" t="s">
        <v>34</v>
      </c>
      <c r="N76">
        <f t="shared" si="25"/>
        <v>0</v>
      </c>
      <c r="O76">
        <f t="shared" si="26"/>
        <v>109572.740051357</v>
      </c>
      <c r="P76">
        <f t="shared" si="27"/>
        <v>344690.960205429</v>
      </c>
      <c r="Q76">
        <f t="shared" si="28"/>
        <v>0</v>
      </c>
      <c r="R76">
        <f t="shared" si="29"/>
        <v>0</v>
      </c>
      <c r="S76">
        <f t="shared" si="30"/>
        <v>111430.320068476</v>
      </c>
      <c r="T76">
        <f t="shared" si="31"/>
        <v>163430.320068476</v>
      </c>
      <c r="U76">
        <f t="shared" si="32"/>
        <v>0</v>
      </c>
      <c r="V76">
        <f t="shared" si="33"/>
        <v>729124.340393738</v>
      </c>
      <c r="W76">
        <v>8.5</v>
      </c>
      <c r="X76">
        <f t="shared" si="34"/>
        <v>0.882</v>
      </c>
      <c r="Y76">
        <f t="shared" si="35"/>
        <v>7026708.49585802</v>
      </c>
    </row>
    <row r="77" spans="13:25">
      <c r="M77" s="47" t="s">
        <v>36</v>
      </c>
      <c r="N77">
        <f t="shared" si="25"/>
        <v>48657.580017119</v>
      </c>
      <c r="O77">
        <f t="shared" si="26"/>
        <v>0</v>
      </c>
      <c r="P77">
        <f t="shared" si="27"/>
        <v>172345.480102714</v>
      </c>
      <c r="Q77">
        <f t="shared" si="28"/>
        <v>101030.320068476</v>
      </c>
      <c r="R77">
        <f t="shared" si="29"/>
        <v>0</v>
      </c>
      <c r="S77">
        <f t="shared" si="30"/>
        <v>0</v>
      </c>
      <c r="T77">
        <f t="shared" si="31"/>
        <v>0</v>
      </c>
      <c r="U77">
        <f t="shared" si="32"/>
        <v>95921.9750213988</v>
      </c>
      <c r="V77">
        <f t="shared" si="33"/>
        <v>417955.355209708</v>
      </c>
      <c r="W77">
        <v>6.5</v>
      </c>
      <c r="X77">
        <f t="shared" si="34"/>
        <v>0.882</v>
      </c>
      <c r="Y77">
        <f t="shared" si="35"/>
        <v>3080169.85131871</v>
      </c>
    </row>
    <row r="78" spans="13:25">
      <c r="M78" s="47" t="s">
        <v>37</v>
      </c>
      <c r="N78">
        <f t="shared" si="25"/>
        <v>97315.1600342381</v>
      </c>
      <c r="O78">
        <f t="shared" si="26"/>
        <v>0</v>
      </c>
      <c r="P78">
        <f t="shared" si="27"/>
        <v>0</v>
      </c>
      <c r="Q78">
        <f t="shared" si="28"/>
        <v>0</v>
      </c>
      <c r="R78">
        <f t="shared" si="29"/>
        <v>517775.80017119</v>
      </c>
      <c r="S78">
        <f t="shared" si="30"/>
        <v>445721.280273905</v>
      </c>
      <c r="T78">
        <f t="shared" si="31"/>
        <v>163430.320068476</v>
      </c>
      <c r="U78">
        <f t="shared" si="32"/>
        <v>0</v>
      </c>
      <c r="V78">
        <f t="shared" si="33"/>
        <v>1224242.56054781</v>
      </c>
      <c r="W78">
        <v>4</v>
      </c>
      <c r="X78">
        <f t="shared" si="34"/>
        <v>0.882</v>
      </c>
      <c r="Y78">
        <f t="shared" si="35"/>
        <v>5552120.45599914</v>
      </c>
    </row>
    <row r="79" spans="13:25">
      <c r="M79" s="47" t="s">
        <v>38</v>
      </c>
      <c r="N79">
        <f t="shared" si="25"/>
        <v>194630.320068476</v>
      </c>
      <c r="O79">
        <f t="shared" si="26"/>
        <v>0</v>
      </c>
      <c r="P79">
        <f t="shared" si="27"/>
        <v>0</v>
      </c>
      <c r="Q79">
        <f t="shared" si="28"/>
        <v>0</v>
      </c>
      <c r="R79">
        <f t="shared" si="29"/>
        <v>517775.80017119</v>
      </c>
      <c r="S79">
        <f t="shared" si="30"/>
        <v>334290.960205429</v>
      </c>
      <c r="T79">
        <f t="shared" si="31"/>
        <v>326860.640136952</v>
      </c>
      <c r="U79">
        <f t="shared" si="32"/>
        <v>0</v>
      </c>
      <c r="V79">
        <f t="shared" si="33"/>
        <v>1373557.72058205</v>
      </c>
      <c r="W79">
        <v>6</v>
      </c>
      <c r="X79">
        <f t="shared" ref="X79:X87" si="36">0.98*0.9</f>
        <v>0.882</v>
      </c>
      <c r="Y79">
        <f t="shared" si="35"/>
        <v>9343930.07198672</v>
      </c>
    </row>
    <row r="80" spans="13:25">
      <c r="M80" s="47" t="s">
        <v>39</v>
      </c>
      <c r="N80">
        <f t="shared" si="25"/>
        <v>97315.1600342381</v>
      </c>
      <c r="O80">
        <f t="shared" si="26"/>
        <v>0</v>
      </c>
      <c r="P80">
        <f t="shared" si="27"/>
        <v>0</v>
      </c>
      <c r="Q80">
        <f t="shared" si="28"/>
        <v>0</v>
      </c>
      <c r="R80">
        <f t="shared" si="29"/>
        <v>258887.900085595</v>
      </c>
      <c r="S80">
        <f t="shared" si="30"/>
        <v>222860.640136952</v>
      </c>
      <c r="T80">
        <f t="shared" si="31"/>
        <v>81715.1600342381</v>
      </c>
      <c r="U80">
        <f t="shared" si="32"/>
        <v>0</v>
      </c>
      <c r="V80">
        <f t="shared" si="33"/>
        <v>660778.860291024</v>
      </c>
      <c r="W80">
        <v>7.5</v>
      </c>
      <c r="X80">
        <f t="shared" si="36"/>
        <v>0.882</v>
      </c>
      <c r="Y80">
        <f t="shared" si="35"/>
        <v>5618867.85961755</v>
      </c>
    </row>
    <row r="81" spans="13:25">
      <c r="M81" s="47" t="s">
        <v>42</v>
      </c>
      <c r="N81">
        <f t="shared" si="25"/>
        <v>0</v>
      </c>
      <c r="O81">
        <f t="shared" si="26"/>
        <v>219145.480102714</v>
      </c>
      <c r="P81">
        <f t="shared" si="27"/>
        <v>344690.960205429</v>
      </c>
      <c r="Q81">
        <f t="shared" si="28"/>
        <v>202060.640136952</v>
      </c>
      <c r="R81">
        <f t="shared" si="29"/>
        <v>258887.900085595</v>
      </c>
      <c r="S81">
        <f t="shared" si="30"/>
        <v>0</v>
      </c>
      <c r="T81">
        <f t="shared" si="31"/>
        <v>0</v>
      </c>
      <c r="U81">
        <f t="shared" si="32"/>
        <v>383687.900085595</v>
      </c>
      <c r="V81">
        <f t="shared" si="33"/>
        <v>1408472.88061629</v>
      </c>
      <c r="W81">
        <v>4.75</v>
      </c>
      <c r="X81">
        <f t="shared" si="36"/>
        <v>0.882</v>
      </c>
      <c r="Y81">
        <f t="shared" si="35"/>
        <v>7585313.1325707</v>
      </c>
    </row>
    <row r="82" spans="13:25">
      <c r="M82" s="47" t="s">
        <v>43</v>
      </c>
      <c r="N82">
        <f t="shared" si="25"/>
        <v>0</v>
      </c>
      <c r="O82">
        <f t="shared" si="26"/>
        <v>0</v>
      </c>
      <c r="P82">
        <f t="shared" si="27"/>
        <v>0</v>
      </c>
      <c r="Q82">
        <f t="shared" si="28"/>
        <v>202060.640136952</v>
      </c>
      <c r="R82">
        <f t="shared" si="29"/>
        <v>0</v>
      </c>
      <c r="S82">
        <f t="shared" si="30"/>
        <v>222860.640136952</v>
      </c>
      <c r="T82">
        <f t="shared" si="31"/>
        <v>0</v>
      </c>
      <c r="U82">
        <f t="shared" si="32"/>
        <v>95921.9750213988</v>
      </c>
      <c r="V82">
        <f t="shared" si="33"/>
        <v>520843.255295304</v>
      </c>
      <c r="W82">
        <v>7.5</v>
      </c>
      <c r="X82">
        <f t="shared" si="36"/>
        <v>0.882</v>
      </c>
      <c r="Y82">
        <f t="shared" si="35"/>
        <v>4428939.24570836</v>
      </c>
    </row>
    <row r="83" spans="13:25">
      <c r="M83" s="47" t="s">
        <v>44</v>
      </c>
      <c r="N83">
        <f t="shared" si="25"/>
        <v>0</v>
      </c>
      <c r="O83">
        <f t="shared" si="26"/>
        <v>54786.3700256786</v>
      </c>
      <c r="P83">
        <f t="shared" si="27"/>
        <v>689381.920410857</v>
      </c>
      <c r="Q83">
        <f t="shared" si="28"/>
        <v>0</v>
      </c>
      <c r="R83">
        <f t="shared" si="29"/>
        <v>0</v>
      </c>
      <c r="S83">
        <f t="shared" si="30"/>
        <v>0</v>
      </c>
      <c r="T83">
        <f t="shared" si="31"/>
        <v>0</v>
      </c>
      <c r="U83">
        <f t="shared" si="32"/>
        <v>0</v>
      </c>
      <c r="V83">
        <f t="shared" si="33"/>
        <v>744168.290436536</v>
      </c>
      <c r="W83">
        <v>10</v>
      </c>
      <c r="X83">
        <f t="shared" si="36"/>
        <v>0.882</v>
      </c>
      <c r="Y83">
        <f t="shared" si="35"/>
        <v>8437282.20449587</v>
      </c>
    </row>
    <row r="84" spans="13:25">
      <c r="M84" s="47" t="s">
        <v>45</v>
      </c>
      <c r="N84">
        <f t="shared" si="25"/>
        <v>97315.1600342381</v>
      </c>
      <c r="O84">
        <f t="shared" si="26"/>
        <v>0</v>
      </c>
      <c r="P84">
        <f t="shared" si="27"/>
        <v>0</v>
      </c>
      <c r="Q84">
        <f t="shared" si="28"/>
        <v>0</v>
      </c>
      <c r="R84">
        <f t="shared" si="29"/>
        <v>258887.900085595</v>
      </c>
      <c r="S84">
        <f t="shared" si="30"/>
        <v>222860.640136952</v>
      </c>
      <c r="T84">
        <f t="shared" si="31"/>
        <v>163430.320068476</v>
      </c>
      <c r="U84">
        <f t="shared" si="32"/>
        <v>95921.9750213988</v>
      </c>
      <c r="V84">
        <f t="shared" si="33"/>
        <v>838415.995346661</v>
      </c>
      <c r="W84">
        <v>7.25</v>
      </c>
      <c r="X84">
        <f t="shared" si="36"/>
        <v>0.882</v>
      </c>
      <c r="Y84">
        <f t="shared" si="35"/>
        <v>6891741.4583484</v>
      </c>
    </row>
    <row r="85" spans="13:25">
      <c r="M85" s="47" t="s">
        <v>46</v>
      </c>
      <c r="N85">
        <f t="shared" si="25"/>
        <v>194630.320068476</v>
      </c>
      <c r="O85">
        <f t="shared" si="26"/>
        <v>54786.3700256786</v>
      </c>
      <c r="P85">
        <f t="shared" si="27"/>
        <v>0</v>
      </c>
      <c r="Q85">
        <f t="shared" si="28"/>
        <v>0</v>
      </c>
      <c r="R85">
        <f t="shared" si="29"/>
        <v>517775.80017119</v>
      </c>
      <c r="S85">
        <f t="shared" si="30"/>
        <v>111430.320068476</v>
      </c>
      <c r="T85">
        <f t="shared" si="31"/>
        <v>245145.480102714</v>
      </c>
      <c r="U85">
        <f t="shared" si="32"/>
        <v>0</v>
      </c>
      <c r="V85">
        <f t="shared" si="33"/>
        <v>1123768.29043654</v>
      </c>
      <c r="W85">
        <v>6.25</v>
      </c>
      <c r="X85">
        <f t="shared" si="36"/>
        <v>0.882</v>
      </c>
      <c r="Y85">
        <f t="shared" si="35"/>
        <v>7963210.67486207</v>
      </c>
    </row>
    <row r="86" spans="13:25">
      <c r="M86" s="47" t="s">
        <v>47</v>
      </c>
      <c r="N86">
        <f t="shared" si="25"/>
        <v>0</v>
      </c>
      <c r="O86">
        <f t="shared" si="26"/>
        <v>109572.740051357</v>
      </c>
      <c r="P86">
        <f t="shared" si="27"/>
        <v>689381.920410857</v>
      </c>
      <c r="Q86">
        <f t="shared" si="28"/>
        <v>404121.280273905</v>
      </c>
      <c r="R86">
        <f t="shared" si="29"/>
        <v>129443.950042798</v>
      </c>
      <c r="S86">
        <f t="shared" si="30"/>
        <v>0</v>
      </c>
      <c r="T86">
        <f t="shared" si="31"/>
        <v>0</v>
      </c>
      <c r="U86">
        <f t="shared" si="32"/>
        <v>287765.925064196</v>
      </c>
      <c r="V86">
        <f t="shared" si="33"/>
        <v>1620285.81584311</v>
      </c>
      <c r="W86">
        <v>10.5</v>
      </c>
      <c r="X86">
        <f t="shared" si="36"/>
        <v>0.882</v>
      </c>
      <c r="Y86">
        <f t="shared" si="35"/>
        <v>19289116.8552752</v>
      </c>
    </row>
    <row r="87" spans="13:25">
      <c r="M87" s="47" t="s">
        <v>48</v>
      </c>
      <c r="N87">
        <f t="shared" si="25"/>
        <v>0</v>
      </c>
      <c r="O87">
        <f t="shared" si="26"/>
        <v>109572.740051357</v>
      </c>
      <c r="P87">
        <f t="shared" si="27"/>
        <v>517036.440308143</v>
      </c>
      <c r="Q87">
        <f t="shared" si="28"/>
        <v>303090.960205429</v>
      </c>
      <c r="R87">
        <f t="shared" si="29"/>
        <v>0</v>
      </c>
      <c r="S87">
        <f t="shared" si="30"/>
        <v>0</v>
      </c>
      <c r="T87">
        <f t="shared" si="31"/>
        <v>0</v>
      </c>
      <c r="U87">
        <f t="shared" si="32"/>
        <v>383687.900085595</v>
      </c>
      <c r="V87">
        <f t="shared" si="33"/>
        <v>1313388.04065052</v>
      </c>
      <c r="W87">
        <v>5.75</v>
      </c>
      <c r="X87">
        <f t="shared" si="36"/>
        <v>0.882</v>
      </c>
      <c r="Y87">
        <f t="shared" si="35"/>
        <v>8562336.9997058</v>
      </c>
    </row>
  </sheetData>
  <mergeCells count="5">
    <mergeCell ref="B16:H16"/>
    <mergeCell ref="B21:H21"/>
    <mergeCell ref="B26:H26"/>
    <mergeCell ref="B30:H30"/>
    <mergeCell ref="C35:J3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zoomScale="50" zoomScaleNormal="50" workbookViewId="0">
      <selection activeCell="Q12" sqref="Q12"/>
    </sheetView>
  </sheetViews>
  <sheetFormatPr defaultColWidth="8.88888888888889" defaultRowHeight="17.6"/>
  <cols>
    <col min="1" max="1" width="22.4513888888889" customWidth="1"/>
    <col min="2" max="2" width="21.4097222222222" customWidth="1"/>
    <col min="3" max="3" width="14" customWidth="1"/>
    <col min="5" max="5" width="13.1944444444444" customWidth="1"/>
    <col min="6" max="6" width="18.4027777777778" customWidth="1"/>
    <col min="7" max="7" width="14.8125" customWidth="1"/>
    <col min="8" max="8" width="15.2777777777778" customWidth="1"/>
    <col min="9" max="9" width="10.2986111111111" customWidth="1"/>
    <col min="10" max="10" width="15.9652777777778" customWidth="1"/>
    <col min="11" max="11" width="11.5694444444444" customWidth="1"/>
    <col min="12" max="12" width="16.8958333333333" customWidth="1"/>
    <col min="13" max="13" width="10.2986111111111" customWidth="1"/>
    <col min="14" max="14" width="15.9375" customWidth="1"/>
    <col min="15" max="15" width="11.8263888888889" customWidth="1"/>
    <col min="16" max="16" width="17.4861111111111" customWidth="1"/>
    <col min="17" max="17" width="12.7222222222222" customWidth="1"/>
    <col min="18" max="18" width="12.9583333333333" customWidth="1"/>
    <col min="19" max="19" width="14.1180555555556" customWidth="1"/>
    <col min="20" max="20" width="14.3472222222222" customWidth="1"/>
    <col min="21" max="21" width="13.1875" customWidth="1"/>
    <col min="22" max="22" width="12.2638888888889" customWidth="1"/>
    <col min="23" max="23" width="14.8125" customWidth="1"/>
    <col min="24" max="24" width="15.0416666666667" customWidth="1"/>
  </cols>
  <sheetData>
    <row r="1" spans="1:2">
      <c r="A1" t="s">
        <v>55</v>
      </c>
      <c r="B1" t="s">
        <v>56</v>
      </c>
    </row>
    <row r="2" spans="1:2">
      <c r="A2" t="s">
        <v>57</v>
      </c>
      <c r="B2">
        <v>2</v>
      </c>
    </row>
    <row r="3" spans="1:2">
      <c r="A3" t="s">
        <v>58</v>
      </c>
      <c r="B3">
        <v>0.1</v>
      </c>
    </row>
    <row r="4" spans="1:2">
      <c r="A4" t="s">
        <v>59</v>
      </c>
      <c r="B4">
        <v>20</v>
      </c>
    </row>
    <row r="5" spans="1:2">
      <c r="A5" t="s">
        <v>60</v>
      </c>
      <c r="B5">
        <v>0.35</v>
      </c>
    </row>
    <row r="6" spans="1:2">
      <c r="A6" t="s">
        <v>61</v>
      </c>
      <c r="B6">
        <v>250</v>
      </c>
    </row>
    <row r="7" spans="1:2">
      <c r="A7" t="s">
        <v>62</v>
      </c>
      <c r="B7">
        <v>200</v>
      </c>
    </row>
    <row r="8" spans="1:2">
      <c r="A8" t="s">
        <v>63</v>
      </c>
      <c r="B8">
        <v>0.4</v>
      </c>
    </row>
    <row r="9" spans="1:2">
      <c r="A9" t="s">
        <v>64</v>
      </c>
      <c r="B9">
        <v>80</v>
      </c>
    </row>
    <row r="10" spans="1:2">
      <c r="A10" t="s">
        <v>65</v>
      </c>
      <c r="B10">
        <v>0.6</v>
      </c>
    </row>
    <row r="11" spans="1:24">
      <c r="A11" t="s">
        <v>40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s="5" t="s">
        <v>76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s="5" t="s">
        <v>85</v>
      </c>
      <c r="V11" s="5" t="s">
        <v>86</v>
      </c>
      <c r="W11" t="s">
        <v>87</v>
      </c>
      <c r="X11" t="s">
        <v>88</v>
      </c>
    </row>
    <row r="12" spans="1:24">
      <c r="A12" t="s">
        <v>24</v>
      </c>
      <c r="B12">
        <v>450.0103125</v>
      </c>
      <c r="C12">
        <f t="shared" ref="C12:C31" si="0">INDEX($G$43:$G$62,MATCH($A12,$A$43:$A$62,0))</f>
        <v>0.0416666666666667</v>
      </c>
      <c r="D12">
        <f t="shared" ref="D12:D31" si="1">INDEX($F$43:$F$62,MATCH($A12,$A$43:$A$62,0))</f>
        <v>12</v>
      </c>
      <c r="E12">
        <f>B12*$B$2*$B$9</f>
        <v>72001.65</v>
      </c>
      <c r="F12">
        <f t="shared" ref="F12:F31" si="2">E12*C12</f>
        <v>3000.06875</v>
      </c>
      <c r="G12">
        <f t="shared" ref="G12:G31" si="3">E12*D12</f>
        <v>864019.8</v>
      </c>
      <c r="H12">
        <f t="shared" ref="H12:H31" si="4">E12*$B$8</f>
        <v>28800.66</v>
      </c>
      <c r="I12">
        <f t="shared" ref="I12:I31" si="5">E12-H12</f>
        <v>43200.99</v>
      </c>
      <c r="J12">
        <f t="shared" ref="J12:J31" si="6">H12*C12</f>
        <v>1200.0275</v>
      </c>
      <c r="K12">
        <f t="shared" ref="K12:K31" si="7">I12*C12</f>
        <v>1800.04125</v>
      </c>
      <c r="L12" s="5">
        <f>J12/($B$4*$B$5)</f>
        <v>171.4325</v>
      </c>
      <c r="M12">
        <f>K12/($B$4*$B$5)</f>
        <v>257.14875</v>
      </c>
      <c r="N12">
        <f t="shared" ref="N12:N31" si="8">L12*$B$6</f>
        <v>42858.125</v>
      </c>
      <c r="O12">
        <f t="shared" ref="O12:O31" si="9">M12*$B$7</f>
        <v>51429.75</v>
      </c>
      <c r="P12">
        <f>E12*D12*$B$3</f>
        <v>86401.98</v>
      </c>
      <c r="Q12" s="3">
        <f t="shared" ref="Q12:Q31" si="10">I12*IF(INDEX($S$43:$S$62,MATCH($A12,$A$43:$A$62,0))=0,1,IF(INDEX($R$43:$R$62,MATCH($A12,$A$43:$A$62,0))=0,0,$B$10))</f>
        <v>25920.594</v>
      </c>
      <c r="R12" s="3">
        <f t="shared" ref="R12:R31" si="11">I12-Q12</f>
        <v>17280.396</v>
      </c>
      <c r="S12" s="3">
        <f t="shared" ref="S12:S31" si="12">Q12*C12</f>
        <v>1080.02475</v>
      </c>
      <c r="T12" s="3">
        <f t="shared" ref="T12:T31" si="13">R12*C12</f>
        <v>720.0165</v>
      </c>
      <c r="U12" s="6">
        <f>S12/($B$4*$B$5)</f>
        <v>154.28925</v>
      </c>
      <c r="V12" s="6">
        <f>T12/($B$4*$B$5)</f>
        <v>102.8595</v>
      </c>
      <c r="W12" s="3">
        <f t="shared" ref="W12:W31" si="14">U12*$B$7</f>
        <v>30857.85</v>
      </c>
      <c r="X12" s="3">
        <f t="shared" ref="X12:X31" si="15">V12*$B$7</f>
        <v>20571.9</v>
      </c>
    </row>
    <row r="13" spans="1:24">
      <c r="A13" t="s">
        <v>25</v>
      </c>
      <c r="B13">
        <v>238.69875</v>
      </c>
      <c r="C13">
        <f t="shared" si="0"/>
        <v>0.148148148148148</v>
      </c>
      <c r="D13">
        <f t="shared" si="1"/>
        <v>100</v>
      </c>
      <c r="E13">
        <f>B13*$B$2*$B$9</f>
        <v>38191.8</v>
      </c>
      <c r="F13">
        <f t="shared" si="2"/>
        <v>5658.04444444444</v>
      </c>
      <c r="G13">
        <f t="shared" si="3"/>
        <v>3819180</v>
      </c>
      <c r="H13">
        <f t="shared" si="4"/>
        <v>15276.72</v>
      </c>
      <c r="I13">
        <f t="shared" si="5"/>
        <v>22915.08</v>
      </c>
      <c r="J13">
        <f t="shared" si="6"/>
        <v>2263.21777777778</v>
      </c>
      <c r="K13">
        <f t="shared" si="7"/>
        <v>3394.82666666667</v>
      </c>
      <c r="L13" s="5">
        <f>J13/($B$4*$B$5)</f>
        <v>323.316825396825</v>
      </c>
      <c r="M13">
        <f>K13/($B$4*$B$5)</f>
        <v>484.975238095238</v>
      </c>
      <c r="N13">
        <f t="shared" si="8"/>
        <v>80829.2063492063</v>
      </c>
      <c r="O13">
        <f t="shared" si="9"/>
        <v>96995.0476190476</v>
      </c>
      <c r="P13">
        <f>E13*D13*$B$3</f>
        <v>381918</v>
      </c>
      <c r="Q13" s="3">
        <f t="shared" si="10"/>
        <v>13749.048</v>
      </c>
      <c r="R13" s="3">
        <f t="shared" si="11"/>
        <v>9166.032</v>
      </c>
      <c r="S13" s="3">
        <f t="shared" si="12"/>
        <v>2036.896</v>
      </c>
      <c r="T13" s="3">
        <f t="shared" si="13"/>
        <v>1357.93066666667</v>
      </c>
      <c r="U13" s="6">
        <f>S13/($B$4*$B$5)</f>
        <v>290.985142857143</v>
      </c>
      <c r="V13" s="6">
        <f>T13/($B$4*$B$5)</f>
        <v>193.990095238095</v>
      </c>
      <c r="W13" s="3">
        <f t="shared" si="14"/>
        <v>58197.0285714285</v>
      </c>
      <c r="X13" s="3">
        <f t="shared" si="15"/>
        <v>38798.019047619</v>
      </c>
    </row>
    <row r="14" spans="1:24">
      <c r="A14" t="s">
        <v>26</v>
      </c>
      <c r="B14">
        <v>161.715</v>
      </c>
      <c r="C14">
        <f t="shared" si="0"/>
        <v>0.125</v>
      </c>
      <c r="D14">
        <f t="shared" si="1"/>
        <v>50</v>
      </c>
      <c r="E14">
        <f>B14*$B$2*$B$9</f>
        <v>25874.4</v>
      </c>
      <c r="F14">
        <f t="shared" si="2"/>
        <v>3234.3</v>
      </c>
      <c r="G14">
        <f t="shared" si="3"/>
        <v>1293720</v>
      </c>
      <c r="H14">
        <f t="shared" si="4"/>
        <v>10349.76</v>
      </c>
      <c r="I14">
        <f t="shared" si="5"/>
        <v>15524.64</v>
      </c>
      <c r="J14">
        <f t="shared" si="6"/>
        <v>1293.72</v>
      </c>
      <c r="K14">
        <f t="shared" si="7"/>
        <v>1940.58</v>
      </c>
      <c r="L14" s="5">
        <f>J14/($B$4*$B$5)</f>
        <v>184.817142857143</v>
      </c>
      <c r="M14">
        <f>K14/($B$4*$B$5)</f>
        <v>277.225714285714</v>
      </c>
      <c r="N14">
        <f t="shared" si="8"/>
        <v>46204.2857142857</v>
      </c>
      <c r="O14">
        <f t="shared" si="9"/>
        <v>55445.1428571428</v>
      </c>
      <c r="P14">
        <f>E14*D14*$B$3</f>
        <v>129372</v>
      </c>
      <c r="Q14" s="3">
        <f t="shared" si="10"/>
        <v>9314.784</v>
      </c>
      <c r="R14" s="3">
        <f t="shared" si="11"/>
        <v>6209.856</v>
      </c>
      <c r="S14" s="3">
        <f t="shared" si="12"/>
        <v>1164.348</v>
      </c>
      <c r="T14" s="3">
        <f t="shared" si="13"/>
        <v>776.232</v>
      </c>
      <c r="U14" s="6">
        <f>S14/($B$4*$B$5)</f>
        <v>166.335428571429</v>
      </c>
      <c r="V14" s="6">
        <f>T14/($B$4*$B$5)</f>
        <v>110.890285714286</v>
      </c>
      <c r="W14" s="3">
        <f t="shared" si="14"/>
        <v>33267.0857142857</v>
      </c>
      <c r="X14" s="3">
        <f t="shared" si="15"/>
        <v>22178.0571428571</v>
      </c>
    </row>
    <row r="15" spans="1:24">
      <c r="A15" t="s">
        <v>27</v>
      </c>
      <c r="B15">
        <v>195.255</v>
      </c>
      <c r="C15">
        <f t="shared" si="0"/>
        <v>0.166666666666667</v>
      </c>
      <c r="D15">
        <f t="shared" si="1"/>
        <v>120</v>
      </c>
      <c r="E15">
        <f>B15*$B$2*$B$9</f>
        <v>31240.8</v>
      </c>
      <c r="F15">
        <f t="shared" si="2"/>
        <v>5206.8</v>
      </c>
      <c r="G15">
        <f t="shared" si="3"/>
        <v>3748896</v>
      </c>
      <c r="H15">
        <f t="shared" si="4"/>
        <v>12496.32</v>
      </c>
      <c r="I15">
        <f t="shared" si="5"/>
        <v>18744.48</v>
      </c>
      <c r="J15">
        <f t="shared" si="6"/>
        <v>2082.72</v>
      </c>
      <c r="K15">
        <f t="shared" si="7"/>
        <v>3124.08</v>
      </c>
      <c r="L15" s="5">
        <f>J15/($B$4*$B$5)</f>
        <v>297.531428571429</v>
      </c>
      <c r="M15">
        <f>K15/($B$4*$B$5)</f>
        <v>446.297142857143</v>
      </c>
      <c r="N15">
        <f t="shared" si="8"/>
        <v>74382.8571428571</v>
      </c>
      <c r="O15">
        <f t="shared" si="9"/>
        <v>89259.4285714286</v>
      </c>
      <c r="P15">
        <f>E15*D15*$B$3</f>
        <v>374889.6</v>
      </c>
      <c r="Q15" s="3">
        <f t="shared" si="10"/>
        <v>11246.688</v>
      </c>
      <c r="R15" s="3">
        <f t="shared" si="11"/>
        <v>7497.792</v>
      </c>
      <c r="S15" s="3">
        <f t="shared" si="12"/>
        <v>1874.448</v>
      </c>
      <c r="T15" s="3">
        <f t="shared" si="13"/>
        <v>1249.632</v>
      </c>
      <c r="U15" s="6">
        <f>S15/($B$4*$B$5)</f>
        <v>267.778285714286</v>
      </c>
      <c r="V15" s="6">
        <f>T15/($B$4*$B$5)</f>
        <v>178.518857142857</v>
      </c>
      <c r="W15" s="3">
        <f t="shared" si="14"/>
        <v>53555.6571428571</v>
      </c>
      <c r="X15" s="3">
        <f t="shared" si="15"/>
        <v>35703.7714285714</v>
      </c>
    </row>
    <row r="16" spans="1:24">
      <c r="A16" t="s">
        <v>29</v>
      </c>
      <c r="B16">
        <v>136.35</v>
      </c>
      <c r="C16">
        <f t="shared" si="0"/>
        <v>0.111111111111111</v>
      </c>
      <c r="D16">
        <f t="shared" si="1"/>
        <v>50</v>
      </c>
      <c r="E16">
        <f>B16*$B$2*$B$9</f>
        <v>21816</v>
      </c>
      <c r="F16">
        <f t="shared" si="2"/>
        <v>2424</v>
      </c>
      <c r="G16">
        <f t="shared" si="3"/>
        <v>1090800</v>
      </c>
      <c r="H16">
        <f t="shared" si="4"/>
        <v>8726.4</v>
      </c>
      <c r="I16">
        <f t="shared" si="5"/>
        <v>13089.6</v>
      </c>
      <c r="J16">
        <f t="shared" si="6"/>
        <v>969.6</v>
      </c>
      <c r="K16">
        <f t="shared" si="7"/>
        <v>1454.4</v>
      </c>
      <c r="L16" s="5">
        <f>J16/($B$4*$B$5)</f>
        <v>138.514285714286</v>
      </c>
      <c r="M16">
        <f>K16/($B$4*$B$5)</f>
        <v>207.771428571429</v>
      </c>
      <c r="N16">
        <f t="shared" si="8"/>
        <v>34628.5714285714</v>
      </c>
      <c r="O16">
        <f t="shared" si="9"/>
        <v>41554.2857142857</v>
      </c>
      <c r="P16">
        <f>E16*D16*$B$3</f>
        <v>109080</v>
      </c>
      <c r="Q16" s="3">
        <f t="shared" si="10"/>
        <v>7853.76</v>
      </c>
      <c r="R16" s="3">
        <f t="shared" si="11"/>
        <v>5235.84</v>
      </c>
      <c r="S16" s="3">
        <f t="shared" si="12"/>
        <v>872.64</v>
      </c>
      <c r="T16" s="3">
        <f t="shared" si="13"/>
        <v>581.76</v>
      </c>
      <c r="U16" s="6">
        <f>S16/($B$4*$B$5)</f>
        <v>124.662857142857</v>
      </c>
      <c r="V16" s="6">
        <f>T16/($B$4*$B$5)</f>
        <v>83.1085714285714</v>
      </c>
      <c r="W16" s="3">
        <f t="shared" si="14"/>
        <v>24932.5714285714</v>
      </c>
      <c r="X16" s="3">
        <f t="shared" si="15"/>
        <v>16621.7142857143</v>
      </c>
    </row>
    <row r="17" spans="1:24">
      <c r="A17" t="s">
        <v>30</v>
      </c>
      <c r="B17">
        <v>103.4053125</v>
      </c>
      <c r="C17">
        <f t="shared" si="0"/>
        <v>0.0555555555555556</v>
      </c>
      <c r="D17">
        <f t="shared" si="1"/>
        <v>15</v>
      </c>
      <c r="E17">
        <f>B17*$B$2*$B$9</f>
        <v>16544.85</v>
      </c>
      <c r="F17">
        <f t="shared" si="2"/>
        <v>919.158333333333</v>
      </c>
      <c r="G17">
        <f t="shared" si="3"/>
        <v>248172.75</v>
      </c>
      <c r="H17">
        <f t="shared" si="4"/>
        <v>6617.94</v>
      </c>
      <c r="I17">
        <f t="shared" si="5"/>
        <v>9926.91</v>
      </c>
      <c r="J17">
        <f t="shared" si="6"/>
        <v>367.663333333333</v>
      </c>
      <c r="K17">
        <f t="shared" si="7"/>
        <v>551.495</v>
      </c>
      <c r="L17" s="5">
        <f>J17/($B$4*$B$5)</f>
        <v>52.5233333333333</v>
      </c>
      <c r="M17">
        <f>K17/($B$4*$B$5)</f>
        <v>78.785</v>
      </c>
      <c r="N17">
        <f t="shared" si="8"/>
        <v>13130.8333333333</v>
      </c>
      <c r="O17">
        <f t="shared" si="9"/>
        <v>15757</v>
      </c>
      <c r="P17">
        <f>E17*D17*$B$3</f>
        <v>24817.275</v>
      </c>
      <c r="Q17" s="3">
        <f t="shared" si="10"/>
        <v>5956.146</v>
      </c>
      <c r="R17" s="3">
        <f t="shared" si="11"/>
        <v>3970.764</v>
      </c>
      <c r="S17" s="3">
        <f t="shared" si="12"/>
        <v>330.897</v>
      </c>
      <c r="T17" s="3">
        <f t="shared" si="13"/>
        <v>220.598</v>
      </c>
      <c r="U17" s="6">
        <f>S17/($B$4*$B$5)</f>
        <v>47.271</v>
      </c>
      <c r="V17" s="6">
        <f>T17/($B$4*$B$5)</f>
        <v>31.514</v>
      </c>
      <c r="W17" s="3">
        <f t="shared" si="14"/>
        <v>9454.2</v>
      </c>
      <c r="X17" s="3">
        <f t="shared" si="15"/>
        <v>6302.8</v>
      </c>
    </row>
    <row r="18" spans="1:24">
      <c r="A18" t="s">
        <v>31</v>
      </c>
      <c r="B18">
        <v>251.37</v>
      </c>
      <c r="C18">
        <f t="shared" si="0"/>
        <v>0.0277777777777778</v>
      </c>
      <c r="D18">
        <f t="shared" si="1"/>
        <v>25</v>
      </c>
      <c r="E18">
        <f>B18*$B$2*$B$9</f>
        <v>40219.2</v>
      </c>
      <c r="F18">
        <f t="shared" si="2"/>
        <v>1117.2</v>
      </c>
      <c r="G18">
        <f t="shared" si="3"/>
        <v>1005480</v>
      </c>
      <c r="H18">
        <f t="shared" si="4"/>
        <v>16087.68</v>
      </c>
      <c r="I18">
        <f t="shared" si="5"/>
        <v>24131.52</v>
      </c>
      <c r="J18">
        <f t="shared" si="6"/>
        <v>446.88</v>
      </c>
      <c r="K18">
        <f t="shared" si="7"/>
        <v>670.32</v>
      </c>
      <c r="L18" s="5">
        <f>J18/($B$4*$B$5)</f>
        <v>63.84</v>
      </c>
      <c r="M18">
        <f>K18/($B$4*$B$5)</f>
        <v>95.76</v>
      </c>
      <c r="N18">
        <f t="shared" si="8"/>
        <v>15960</v>
      </c>
      <c r="O18">
        <f t="shared" si="9"/>
        <v>19152</v>
      </c>
      <c r="P18">
        <f>E18*D18*$B$3</f>
        <v>100548</v>
      </c>
      <c r="Q18" s="3">
        <f t="shared" si="10"/>
        <v>14478.912</v>
      </c>
      <c r="R18" s="3">
        <f t="shared" si="11"/>
        <v>9652.608</v>
      </c>
      <c r="S18" s="3">
        <f t="shared" si="12"/>
        <v>402.192</v>
      </c>
      <c r="T18" s="3">
        <f t="shared" si="13"/>
        <v>268.128</v>
      </c>
      <c r="U18" s="6">
        <f>S18/($B$4*$B$5)</f>
        <v>57.456</v>
      </c>
      <c r="V18" s="6">
        <f>T18/($B$4*$B$5)</f>
        <v>38.304</v>
      </c>
      <c r="W18" s="3">
        <f t="shared" si="14"/>
        <v>11491.2</v>
      </c>
      <c r="X18" s="3">
        <f t="shared" si="15"/>
        <v>7660.8</v>
      </c>
    </row>
    <row r="19" spans="1:24">
      <c r="A19" t="s">
        <v>32</v>
      </c>
      <c r="B19">
        <v>117.81</v>
      </c>
      <c r="C19">
        <f t="shared" si="0"/>
        <v>0.037037037037037</v>
      </c>
      <c r="D19">
        <f t="shared" si="1"/>
        <v>20</v>
      </c>
      <c r="E19">
        <f>B19*$B$2*$B$9</f>
        <v>18849.6</v>
      </c>
      <c r="F19">
        <f t="shared" si="2"/>
        <v>698.133333333333</v>
      </c>
      <c r="G19">
        <f t="shared" si="3"/>
        <v>376992</v>
      </c>
      <c r="H19">
        <f t="shared" si="4"/>
        <v>7539.84</v>
      </c>
      <c r="I19">
        <f t="shared" si="5"/>
        <v>11309.76</v>
      </c>
      <c r="J19">
        <f t="shared" si="6"/>
        <v>279.253333333333</v>
      </c>
      <c r="K19">
        <f t="shared" si="7"/>
        <v>418.88</v>
      </c>
      <c r="L19" s="5">
        <f>J19/($B$4*$B$5)</f>
        <v>39.8933333333333</v>
      </c>
      <c r="M19">
        <f>K19/($B$4*$B$5)</f>
        <v>59.84</v>
      </c>
      <c r="N19">
        <f t="shared" si="8"/>
        <v>9973.33333333333</v>
      </c>
      <c r="O19">
        <f t="shared" si="9"/>
        <v>11968</v>
      </c>
      <c r="P19">
        <f>E19*D19*$B$3</f>
        <v>37699.2</v>
      </c>
      <c r="Q19" s="3">
        <f t="shared" si="10"/>
        <v>6785.856</v>
      </c>
      <c r="R19" s="3">
        <f t="shared" si="11"/>
        <v>4523.904</v>
      </c>
      <c r="S19" s="3">
        <f t="shared" si="12"/>
        <v>251.328</v>
      </c>
      <c r="T19" s="3">
        <f t="shared" si="13"/>
        <v>167.552</v>
      </c>
      <c r="U19" s="6">
        <f>S19/($B$4*$B$5)</f>
        <v>35.904</v>
      </c>
      <c r="V19" s="6">
        <f>T19/($B$4*$B$5)</f>
        <v>23.936</v>
      </c>
      <c r="W19" s="3">
        <f t="shared" si="14"/>
        <v>7180.8</v>
      </c>
      <c r="X19" s="3">
        <f t="shared" si="15"/>
        <v>4787.2</v>
      </c>
    </row>
    <row r="20" spans="1:24">
      <c r="A20" t="s">
        <v>34</v>
      </c>
      <c r="B20">
        <v>155.2875</v>
      </c>
      <c r="C20">
        <f t="shared" si="0"/>
        <v>0.0555555555555556</v>
      </c>
      <c r="D20">
        <f t="shared" si="1"/>
        <v>40</v>
      </c>
      <c r="E20">
        <f>B20*$B$2*$B$9</f>
        <v>24846</v>
      </c>
      <c r="F20">
        <f t="shared" si="2"/>
        <v>1380.33333333333</v>
      </c>
      <c r="G20">
        <f t="shared" si="3"/>
        <v>993840</v>
      </c>
      <c r="H20">
        <f t="shared" si="4"/>
        <v>9938.4</v>
      </c>
      <c r="I20">
        <f t="shared" si="5"/>
        <v>14907.6</v>
      </c>
      <c r="J20">
        <f t="shared" si="6"/>
        <v>552.133333333333</v>
      </c>
      <c r="K20">
        <f t="shared" si="7"/>
        <v>828.2</v>
      </c>
      <c r="L20" s="5">
        <f>J20/($B$4*$B$5)</f>
        <v>78.8761904761905</v>
      </c>
      <c r="M20">
        <f>K20/($B$4*$B$5)</f>
        <v>118.314285714286</v>
      </c>
      <c r="N20">
        <f t="shared" si="8"/>
        <v>19719.0476190476</v>
      </c>
      <c r="O20">
        <f t="shared" si="9"/>
        <v>23662.8571428571</v>
      </c>
      <c r="P20">
        <f>E20*D20*$B$3</f>
        <v>99384</v>
      </c>
      <c r="Q20" s="3">
        <f t="shared" si="10"/>
        <v>8944.56</v>
      </c>
      <c r="R20" s="3">
        <f t="shared" si="11"/>
        <v>5963.04</v>
      </c>
      <c r="S20" s="3">
        <f t="shared" si="12"/>
        <v>496.92</v>
      </c>
      <c r="T20" s="3">
        <f t="shared" si="13"/>
        <v>331.28</v>
      </c>
      <c r="U20" s="6">
        <f>S20/($B$4*$B$5)</f>
        <v>70.9885714285714</v>
      </c>
      <c r="V20" s="6">
        <f>T20/($B$4*$B$5)</f>
        <v>47.3257142857143</v>
      </c>
      <c r="W20" s="3">
        <f t="shared" si="14"/>
        <v>14197.7142857143</v>
      </c>
      <c r="X20" s="3">
        <f t="shared" si="15"/>
        <v>9465.14285714286</v>
      </c>
    </row>
    <row r="21" spans="1:24">
      <c r="A21" t="s">
        <v>36</v>
      </c>
      <c r="B21">
        <v>103.7540625</v>
      </c>
      <c r="C21">
        <f t="shared" si="0"/>
        <v>0.037037037037037</v>
      </c>
      <c r="D21">
        <f t="shared" si="1"/>
        <v>20</v>
      </c>
      <c r="E21">
        <f>B21*$B$2*$B$9</f>
        <v>16600.65</v>
      </c>
      <c r="F21">
        <f t="shared" si="2"/>
        <v>614.838888888889</v>
      </c>
      <c r="G21">
        <f t="shared" si="3"/>
        <v>332013</v>
      </c>
      <c r="H21">
        <f t="shared" si="4"/>
        <v>6640.26</v>
      </c>
      <c r="I21">
        <f t="shared" si="5"/>
        <v>9960.39</v>
      </c>
      <c r="J21">
        <f t="shared" si="6"/>
        <v>245.935555555556</v>
      </c>
      <c r="K21">
        <f t="shared" si="7"/>
        <v>368.903333333333</v>
      </c>
      <c r="L21" s="5">
        <f>J21/($B$4*$B$5)</f>
        <v>35.1336507936508</v>
      </c>
      <c r="M21">
        <f>K21/($B$4*$B$5)</f>
        <v>52.7004761904762</v>
      </c>
      <c r="N21">
        <f t="shared" si="8"/>
        <v>8783.4126984127</v>
      </c>
      <c r="O21">
        <f t="shared" si="9"/>
        <v>10540.0952380952</v>
      </c>
      <c r="P21">
        <f>E21*D21*$B$3</f>
        <v>33201.3</v>
      </c>
      <c r="Q21" s="3">
        <f t="shared" si="10"/>
        <v>5976.234</v>
      </c>
      <c r="R21" s="3">
        <f t="shared" si="11"/>
        <v>3984.156</v>
      </c>
      <c r="S21" s="3">
        <f t="shared" si="12"/>
        <v>221.342</v>
      </c>
      <c r="T21" s="3">
        <f t="shared" si="13"/>
        <v>147.561333333333</v>
      </c>
      <c r="U21" s="6">
        <f>S21/($B$4*$B$5)</f>
        <v>31.6202857142857</v>
      </c>
      <c r="V21" s="6">
        <f>T21/($B$4*$B$5)</f>
        <v>21.0801904761905</v>
      </c>
      <c r="W21" s="3">
        <f t="shared" si="14"/>
        <v>6324.05714285714</v>
      </c>
      <c r="X21" s="3">
        <f t="shared" si="15"/>
        <v>4216.03809523809</v>
      </c>
    </row>
    <row r="22" spans="1:24">
      <c r="A22" t="s">
        <v>37</v>
      </c>
      <c r="B22">
        <v>206.810625</v>
      </c>
      <c r="C22">
        <f t="shared" si="0"/>
        <v>0.0555555555555556</v>
      </c>
      <c r="D22">
        <f t="shared" si="1"/>
        <v>30</v>
      </c>
      <c r="E22">
        <f>B22*$B$2*$B$9</f>
        <v>33089.7</v>
      </c>
      <c r="F22">
        <f t="shared" si="2"/>
        <v>1838.31666666667</v>
      </c>
      <c r="G22">
        <f t="shared" si="3"/>
        <v>992691</v>
      </c>
      <c r="H22">
        <f t="shared" si="4"/>
        <v>13235.88</v>
      </c>
      <c r="I22">
        <f t="shared" si="5"/>
        <v>19853.82</v>
      </c>
      <c r="J22">
        <f t="shared" si="6"/>
        <v>735.326666666667</v>
      </c>
      <c r="K22">
        <f t="shared" si="7"/>
        <v>1102.99</v>
      </c>
      <c r="L22" s="5">
        <f>J22/($B$4*$B$5)</f>
        <v>105.046666666667</v>
      </c>
      <c r="M22">
        <f>K22/($B$4*$B$5)</f>
        <v>157.57</v>
      </c>
      <c r="N22">
        <f t="shared" si="8"/>
        <v>26261.6666666667</v>
      </c>
      <c r="O22">
        <f t="shared" si="9"/>
        <v>31514</v>
      </c>
      <c r="P22">
        <f>E22*D22*$B$3</f>
        <v>99269.1</v>
      </c>
      <c r="Q22" s="3">
        <f t="shared" si="10"/>
        <v>11912.292</v>
      </c>
      <c r="R22" s="3">
        <f t="shared" si="11"/>
        <v>7941.528</v>
      </c>
      <c r="S22" s="3">
        <f t="shared" si="12"/>
        <v>661.794</v>
      </c>
      <c r="T22" s="3">
        <f t="shared" si="13"/>
        <v>441.196</v>
      </c>
      <c r="U22" s="6">
        <f>S22/($B$4*$B$5)</f>
        <v>94.542</v>
      </c>
      <c r="V22" s="6">
        <f>T22/($B$4*$B$5)</f>
        <v>63.028</v>
      </c>
      <c r="W22" s="3">
        <f t="shared" si="14"/>
        <v>18908.4</v>
      </c>
      <c r="X22" s="3">
        <f t="shared" si="15"/>
        <v>12605.6</v>
      </c>
    </row>
    <row r="23" spans="1:24">
      <c r="A23" t="s">
        <v>38</v>
      </c>
      <c r="B23">
        <v>238.00125</v>
      </c>
      <c r="C23">
        <f t="shared" si="0"/>
        <v>0.0833333333333333</v>
      </c>
      <c r="D23">
        <f t="shared" si="1"/>
        <v>30</v>
      </c>
      <c r="E23">
        <f>B23*$B$2*$B$9</f>
        <v>38080.2</v>
      </c>
      <c r="F23">
        <f t="shared" si="2"/>
        <v>3173.35</v>
      </c>
      <c r="G23">
        <f t="shared" si="3"/>
        <v>1142406</v>
      </c>
      <c r="H23">
        <f t="shared" si="4"/>
        <v>15232.08</v>
      </c>
      <c r="I23">
        <f t="shared" si="5"/>
        <v>22848.12</v>
      </c>
      <c r="J23">
        <f t="shared" si="6"/>
        <v>1269.34</v>
      </c>
      <c r="K23">
        <f t="shared" si="7"/>
        <v>1904.01</v>
      </c>
      <c r="L23" s="5">
        <f>J23/($B$4*$B$5)</f>
        <v>181.334285714286</v>
      </c>
      <c r="M23">
        <f>K23/($B$4*$B$5)</f>
        <v>272.001428571429</v>
      </c>
      <c r="N23">
        <f t="shared" si="8"/>
        <v>45333.5714285714</v>
      </c>
      <c r="O23">
        <f t="shared" si="9"/>
        <v>54400.2857142857</v>
      </c>
      <c r="P23">
        <f>E23*D23*$B$3</f>
        <v>114240.6</v>
      </c>
      <c r="Q23" s="3">
        <f t="shared" si="10"/>
        <v>13708.872</v>
      </c>
      <c r="R23" s="3">
        <f t="shared" si="11"/>
        <v>9139.248</v>
      </c>
      <c r="S23" s="3">
        <f t="shared" si="12"/>
        <v>1142.406</v>
      </c>
      <c r="T23" s="3">
        <f t="shared" si="13"/>
        <v>761.604</v>
      </c>
      <c r="U23" s="6">
        <f>S23/($B$4*$B$5)</f>
        <v>163.200857142857</v>
      </c>
      <c r="V23" s="6">
        <f>T23/($B$4*$B$5)</f>
        <v>108.800571428571</v>
      </c>
      <c r="W23" s="3">
        <f t="shared" si="14"/>
        <v>32640.1714285714</v>
      </c>
      <c r="X23" s="3">
        <f t="shared" si="15"/>
        <v>21760.1142857143</v>
      </c>
    </row>
    <row r="24" spans="1:24">
      <c r="A24" t="s">
        <v>39</v>
      </c>
      <c r="B24">
        <v>119.000625</v>
      </c>
      <c r="C24">
        <f t="shared" si="0"/>
        <v>0.0277777777777778</v>
      </c>
      <c r="D24">
        <f t="shared" si="1"/>
        <v>25</v>
      </c>
      <c r="E24">
        <f>B24*$B$2*$B$9</f>
        <v>19040.1</v>
      </c>
      <c r="F24">
        <f t="shared" si="2"/>
        <v>528.891666666667</v>
      </c>
      <c r="G24">
        <f t="shared" si="3"/>
        <v>476002.5</v>
      </c>
      <c r="H24">
        <f t="shared" si="4"/>
        <v>7616.04</v>
      </c>
      <c r="I24">
        <f t="shared" si="5"/>
        <v>11424.06</v>
      </c>
      <c r="J24">
        <f t="shared" si="6"/>
        <v>211.556666666667</v>
      </c>
      <c r="K24">
        <f t="shared" si="7"/>
        <v>317.335</v>
      </c>
      <c r="L24" s="5">
        <f>J24/($B$4*$B$5)</f>
        <v>30.2223809523809</v>
      </c>
      <c r="M24">
        <f>K24/($B$4*$B$5)</f>
        <v>45.3335714285714</v>
      </c>
      <c r="N24">
        <f t="shared" si="8"/>
        <v>7555.59523809524</v>
      </c>
      <c r="O24">
        <f t="shared" si="9"/>
        <v>9066.71428571428</v>
      </c>
      <c r="P24">
        <f>E24*D24*$B$3</f>
        <v>47600.25</v>
      </c>
      <c r="Q24" s="3">
        <f t="shared" si="10"/>
        <v>6854.436</v>
      </c>
      <c r="R24" s="3">
        <f t="shared" si="11"/>
        <v>4569.624</v>
      </c>
      <c r="S24" s="3">
        <f t="shared" si="12"/>
        <v>190.401</v>
      </c>
      <c r="T24" s="3">
        <f t="shared" si="13"/>
        <v>126.934</v>
      </c>
      <c r="U24" s="6">
        <f>S24/($B$4*$B$5)</f>
        <v>27.2001428571429</v>
      </c>
      <c r="V24" s="6">
        <f>T24/($B$4*$B$5)</f>
        <v>18.1334285714286</v>
      </c>
      <c r="W24" s="3">
        <f t="shared" si="14"/>
        <v>5440.02857142857</v>
      </c>
      <c r="X24" s="3">
        <f t="shared" si="15"/>
        <v>3626.68571428571</v>
      </c>
    </row>
    <row r="25" spans="1:24">
      <c r="A25" t="s">
        <v>42</v>
      </c>
      <c r="B25">
        <v>339.8775</v>
      </c>
      <c r="C25">
        <f t="shared" si="0"/>
        <v>0.0277777777777778</v>
      </c>
      <c r="D25">
        <f t="shared" si="1"/>
        <v>20</v>
      </c>
      <c r="E25">
        <f>B25*$B$2*$B$9</f>
        <v>54380.4</v>
      </c>
      <c r="F25">
        <f t="shared" si="2"/>
        <v>1510.56666666667</v>
      </c>
      <c r="G25">
        <f t="shared" si="3"/>
        <v>1087608</v>
      </c>
      <c r="H25">
        <f t="shared" si="4"/>
        <v>21752.16</v>
      </c>
      <c r="I25">
        <f t="shared" si="5"/>
        <v>32628.24</v>
      </c>
      <c r="J25">
        <f t="shared" si="6"/>
        <v>604.226666666667</v>
      </c>
      <c r="K25">
        <f t="shared" si="7"/>
        <v>906.34</v>
      </c>
      <c r="L25" s="5">
        <f>J25/($B$4*$B$5)</f>
        <v>86.3180952380952</v>
      </c>
      <c r="M25">
        <f>K25/($B$4*$B$5)</f>
        <v>129.477142857143</v>
      </c>
      <c r="N25">
        <f t="shared" si="8"/>
        <v>21579.5238095238</v>
      </c>
      <c r="O25">
        <f t="shared" si="9"/>
        <v>25895.4285714286</v>
      </c>
      <c r="P25">
        <f>E25*D25*$B$3</f>
        <v>108760.8</v>
      </c>
      <c r="Q25" s="3">
        <f t="shared" si="10"/>
        <v>19576.944</v>
      </c>
      <c r="R25" s="3">
        <f t="shared" si="11"/>
        <v>13051.296</v>
      </c>
      <c r="S25" s="3">
        <f t="shared" si="12"/>
        <v>543.804</v>
      </c>
      <c r="T25" s="3">
        <f t="shared" si="13"/>
        <v>362.536</v>
      </c>
      <c r="U25" s="6">
        <f>S25/($B$4*$B$5)</f>
        <v>77.6862857142857</v>
      </c>
      <c r="V25" s="6">
        <f>T25/($B$4*$B$5)</f>
        <v>51.7908571428571</v>
      </c>
      <c r="W25" s="3">
        <f t="shared" si="14"/>
        <v>15537.2571428571</v>
      </c>
      <c r="X25" s="3">
        <f t="shared" si="15"/>
        <v>10358.1714285714</v>
      </c>
    </row>
    <row r="26" spans="1:24">
      <c r="A26" t="s">
        <v>43</v>
      </c>
      <c r="B26">
        <v>58.905</v>
      </c>
      <c r="C26">
        <f t="shared" si="0"/>
        <v>0.0555555555555556</v>
      </c>
      <c r="D26">
        <f t="shared" si="1"/>
        <v>25</v>
      </c>
      <c r="E26">
        <f>B26*$B$2*$B$9</f>
        <v>9424.8</v>
      </c>
      <c r="F26">
        <f t="shared" si="2"/>
        <v>523.6</v>
      </c>
      <c r="G26">
        <f t="shared" si="3"/>
        <v>235620</v>
      </c>
      <c r="H26">
        <f t="shared" si="4"/>
        <v>3769.92</v>
      </c>
      <c r="I26">
        <f t="shared" si="5"/>
        <v>5654.88</v>
      </c>
      <c r="J26">
        <f t="shared" si="6"/>
        <v>209.44</v>
      </c>
      <c r="K26">
        <f t="shared" si="7"/>
        <v>314.16</v>
      </c>
      <c r="L26" s="5">
        <f>J26/($B$4*$B$5)</f>
        <v>29.92</v>
      </c>
      <c r="M26">
        <f>K26/($B$4*$B$5)</f>
        <v>44.88</v>
      </c>
      <c r="N26">
        <f t="shared" si="8"/>
        <v>7480</v>
      </c>
      <c r="O26">
        <f t="shared" si="9"/>
        <v>8976</v>
      </c>
      <c r="P26">
        <f>E26*D26*$B$3</f>
        <v>23562</v>
      </c>
      <c r="Q26" s="3">
        <f t="shared" si="10"/>
        <v>3392.928</v>
      </c>
      <c r="R26" s="3">
        <f t="shared" si="11"/>
        <v>2261.952</v>
      </c>
      <c r="S26" s="3">
        <f t="shared" si="12"/>
        <v>188.496</v>
      </c>
      <c r="T26" s="3">
        <f t="shared" si="13"/>
        <v>125.664</v>
      </c>
      <c r="U26" s="6">
        <f>S26/($B$4*$B$5)</f>
        <v>26.928</v>
      </c>
      <c r="V26" s="6">
        <f>T26/($B$4*$B$5)</f>
        <v>17.952</v>
      </c>
      <c r="W26" s="3">
        <f t="shared" si="14"/>
        <v>5385.6</v>
      </c>
      <c r="X26" s="3">
        <f t="shared" si="15"/>
        <v>3590.4</v>
      </c>
    </row>
    <row r="27" spans="1:24">
      <c r="A27" t="s">
        <v>44</v>
      </c>
      <c r="B27">
        <v>253.7625</v>
      </c>
      <c r="C27">
        <f t="shared" si="0"/>
        <v>0.037037037037037</v>
      </c>
      <c r="D27">
        <f t="shared" si="1"/>
        <v>20</v>
      </c>
      <c r="E27">
        <f>B27*$B$2*$B$9</f>
        <v>40602</v>
      </c>
      <c r="F27">
        <f t="shared" si="2"/>
        <v>1503.77777777778</v>
      </c>
      <c r="G27">
        <f t="shared" si="3"/>
        <v>812040</v>
      </c>
      <c r="H27">
        <f t="shared" si="4"/>
        <v>16240.8</v>
      </c>
      <c r="I27">
        <f t="shared" si="5"/>
        <v>24361.2</v>
      </c>
      <c r="J27">
        <f t="shared" si="6"/>
        <v>601.511111111111</v>
      </c>
      <c r="K27">
        <f t="shared" si="7"/>
        <v>902.266666666667</v>
      </c>
      <c r="L27" s="5">
        <f>J27/($B$4*$B$5)</f>
        <v>85.9301587301587</v>
      </c>
      <c r="M27">
        <f>K27/($B$4*$B$5)</f>
        <v>128.895238095238</v>
      </c>
      <c r="N27">
        <f t="shared" si="8"/>
        <v>21482.5396825397</v>
      </c>
      <c r="O27">
        <f t="shared" si="9"/>
        <v>25779.0476190476</v>
      </c>
      <c r="P27">
        <f>E27*D27*$B$3</f>
        <v>81204</v>
      </c>
      <c r="Q27" s="3">
        <f t="shared" si="10"/>
        <v>24361.2</v>
      </c>
      <c r="R27" s="3">
        <f t="shared" si="11"/>
        <v>0</v>
      </c>
      <c r="S27" s="3">
        <f t="shared" si="12"/>
        <v>902.266666666667</v>
      </c>
      <c r="T27" s="3">
        <f t="shared" si="13"/>
        <v>0</v>
      </c>
      <c r="U27" s="6">
        <f>S27/($B$4*$B$5)</f>
        <v>128.895238095238</v>
      </c>
      <c r="V27" s="6">
        <f>T27/($B$4*$B$5)</f>
        <v>0</v>
      </c>
      <c r="W27" s="3">
        <f t="shared" si="14"/>
        <v>25779.0476190476</v>
      </c>
      <c r="X27" s="3">
        <f t="shared" si="15"/>
        <v>0</v>
      </c>
    </row>
    <row r="28" spans="1:24">
      <c r="A28" t="s">
        <v>45</v>
      </c>
      <c r="B28">
        <v>119.000625</v>
      </c>
      <c r="C28">
        <f t="shared" si="0"/>
        <v>0.0277777777777778</v>
      </c>
      <c r="D28">
        <f t="shared" si="1"/>
        <v>80</v>
      </c>
      <c r="E28">
        <f>B28*$B$2*$B$9</f>
        <v>19040.1</v>
      </c>
      <c r="F28">
        <f t="shared" si="2"/>
        <v>528.891666666667</v>
      </c>
      <c r="G28">
        <f t="shared" si="3"/>
        <v>1523208</v>
      </c>
      <c r="H28">
        <f t="shared" si="4"/>
        <v>7616.04</v>
      </c>
      <c r="I28">
        <f t="shared" si="5"/>
        <v>11424.06</v>
      </c>
      <c r="J28">
        <f t="shared" si="6"/>
        <v>211.556666666667</v>
      </c>
      <c r="K28">
        <f t="shared" si="7"/>
        <v>317.335</v>
      </c>
      <c r="L28" s="5">
        <f>J28/($B$4*$B$5)</f>
        <v>30.2223809523809</v>
      </c>
      <c r="M28">
        <f>K28/($B$4*$B$5)</f>
        <v>45.3335714285714</v>
      </c>
      <c r="N28">
        <f t="shared" si="8"/>
        <v>7555.59523809524</v>
      </c>
      <c r="O28">
        <f t="shared" si="9"/>
        <v>9066.71428571428</v>
      </c>
      <c r="P28">
        <f>E28*D28*$B$3</f>
        <v>152320.8</v>
      </c>
      <c r="Q28" s="3">
        <f t="shared" si="10"/>
        <v>6854.436</v>
      </c>
      <c r="R28" s="3">
        <f t="shared" si="11"/>
        <v>4569.624</v>
      </c>
      <c r="S28" s="3">
        <f t="shared" si="12"/>
        <v>190.401</v>
      </c>
      <c r="T28" s="3">
        <f t="shared" si="13"/>
        <v>126.934</v>
      </c>
      <c r="U28" s="6">
        <f>S28/($B$4*$B$5)</f>
        <v>27.2001428571429</v>
      </c>
      <c r="V28" s="6">
        <f>T28/($B$4*$B$5)</f>
        <v>18.1334285714286</v>
      </c>
      <c r="W28" s="3">
        <f t="shared" si="14"/>
        <v>5440.02857142857</v>
      </c>
      <c r="X28" s="3">
        <f t="shared" si="15"/>
        <v>3626.68571428571</v>
      </c>
    </row>
    <row r="29" spans="1:24">
      <c r="A29" t="s">
        <v>46</v>
      </c>
      <c r="B29">
        <v>256.93875</v>
      </c>
      <c r="C29">
        <f t="shared" si="0"/>
        <v>0.0277777777777778</v>
      </c>
      <c r="D29">
        <f t="shared" si="1"/>
        <v>80</v>
      </c>
      <c r="E29">
        <f>B29*$B$2*$B$9</f>
        <v>41110.2</v>
      </c>
      <c r="F29">
        <f t="shared" si="2"/>
        <v>1141.95</v>
      </c>
      <c r="G29">
        <f t="shared" si="3"/>
        <v>3288816</v>
      </c>
      <c r="H29">
        <f t="shared" si="4"/>
        <v>16444.08</v>
      </c>
      <c r="I29">
        <f t="shared" si="5"/>
        <v>24666.12</v>
      </c>
      <c r="J29">
        <f t="shared" si="6"/>
        <v>456.78</v>
      </c>
      <c r="K29">
        <f t="shared" si="7"/>
        <v>685.17</v>
      </c>
      <c r="L29" s="5">
        <f>J29/($B$4*$B$5)</f>
        <v>65.2542857142857</v>
      </c>
      <c r="M29">
        <f>K29/($B$4*$B$5)</f>
        <v>97.8814285714286</v>
      </c>
      <c r="N29">
        <f t="shared" si="8"/>
        <v>16313.5714285714</v>
      </c>
      <c r="O29">
        <f t="shared" si="9"/>
        <v>19576.2857142857</v>
      </c>
      <c r="P29">
        <f>E29*D29*$B$3</f>
        <v>328881.6</v>
      </c>
      <c r="Q29" s="3">
        <f t="shared" si="10"/>
        <v>14799.672</v>
      </c>
      <c r="R29" s="3">
        <f t="shared" si="11"/>
        <v>9866.448</v>
      </c>
      <c r="S29" s="3">
        <f t="shared" si="12"/>
        <v>411.102</v>
      </c>
      <c r="T29" s="3">
        <f t="shared" si="13"/>
        <v>274.068</v>
      </c>
      <c r="U29" s="6">
        <f>S29/($B$4*$B$5)</f>
        <v>58.7288571428571</v>
      </c>
      <c r="V29" s="6">
        <f>T29/($B$4*$B$5)</f>
        <v>39.1525714285714</v>
      </c>
      <c r="W29" s="3">
        <f t="shared" si="14"/>
        <v>11745.7714285714</v>
      </c>
      <c r="X29" s="3">
        <f t="shared" si="15"/>
        <v>7830.51428571429</v>
      </c>
    </row>
    <row r="30" spans="1:24">
      <c r="A30" t="s">
        <v>47</v>
      </c>
      <c r="B30">
        <v>434.415</v>
      </c>
      <c r="C30">
        <f t="shared" si="0"/>
        <v>0.0277777777777778</v>
      </c>
      <c r="D30">
        <f t="shared" si="1"/>
        <v>80</v>
      </c>
      <c r="E30">
        <f>B30*$B$2*$B$9</f>
        <v>69506.4</v>
      </c>
      <c r="F30">
        <f t="shared" si="2"/>
        <v>1930.73333333333</v>
      </c>
      <c r="G30">
        <f t="shared" si="3"/>
        <v>5560512</v>
      </c>
      <c r="H30">
        <f t="shared" si="4"/>
        <v>27802.56</v>
      </c>
      <c r="I30">
        <f t="shared" si="5"/>
        <v>41703.84</v>
      </c>
      <c r="J30">
        <f t="shared" si="6"/>
        <v>772.293333333333</v>
      </c>
      <c r="K30">
        <f t="shared" si="7"/>
        <v>1158.44</v>
      </c>
      <c r="L30" s="5">
        <f>J30/($B$4*$B$5)</f>
        <v>110.327619047619</v>
      </c>
      <c r="M30">
        <f>K30/($B$4*$B$5)</f>
        <v>165.491428571429</v>
      </c>
      <c r="N30">
        <f t="shared" si="8"/>
        <v>27581.9047619048</v>
      </c>
      <c r="O30">
        <f t="shared" si="9"/>
        <v>33098.2857142857</v>
      </c>
      <c r="P30">
        <f>E30*D30*$B$3</f>
        <v>556051.2</v>
      </c>
      <c r="Q30" s="3">
        <f t="shared" si="10"/>
        <v>25022.304</v>
      </c>
      <c r="R30" s="3">
        <f t="shared" si="11"/>
        <v>16681.536</v>
      </c>
      <c r="S30" s="3">
        <f t="shared" si="12"/>
        <v>695.064</v>
      </c>
      <c r="T30" s="3">
        <f t="shared" si="13"/>
        <v>463.376</v>
      </c>
      <c r="U30" s="6">
        <f>S30/($B$4*$B$5)</f>
        <v>99.2948571428571</v>
      </c>
      <c r="V30" s="6">
        <f>T30/($B$4*$B$5)</f>
        <v>66.1965714285714</v>
      </c>
      <c r="W30" s="3">
        <f t="shared" si="14"/>
        <v>19858.9714285714</v>
      </c>
      <c r="X30" s="3">
        <f t="shared" si="15"/>
        <v>13239.3142857143</v>
      </c>
    </row>
    <row r="31" spans="1:24">
      <c r="A31" t="s">
        <v>48</v>
      </c>
      <c r="B31">
        <v>302.35125</v>
      </c>
      <c r="C31">
        <f t="shared" si="0"/>
        <v>0.0277777777777778</v>
      </c>
      <c r="D31">
        <f t="shared" si="1"/>
        <v>80</v>
      </c>
      <c r="E31">
        <f>B31*$B$2*$B$9</f>
        <v>48376.2</v>
      </c>
      <c r="F31">
        <f t="shared" si="2"/>
        <v>1343.78333333333</v>
      </c>
      <c r="G31">
        <f t="shared" si="3"/>
        <v>3870096</v>
      </c>
      <c r="H31">
        <f t="shared" si="4"/>
        <v>19350.48</v>
      </c>
      <c r="I31">
        <f t="shared" si="5"/>
        <v>29025.72</v>
      </c>
      <c r="J31">
        <f t="shared" si="6"/>
        <v>537.513333333333</v>
      </c>
      <c r="K31">
        <f t="shared" si="7"/>
        <v>806.27</v>
      </c>
      <c r="L31" s="5">
        <f>J31/($B$4*$B$5)</f>
        <v>76.787619047619</v>
      </c>
      <c r="M31">
        <f>K31/($B$4*$B$5)</f>
        <v>115.181428571429</v>
      </c>
      <c r="N31">
        <f t="shared" si="8"/>
        <v>19196.9047619048</v>
      </c>
      <c r="O31">
        <f t="shared" si="9"/>
        <v>23036.2857142857</v>
      </c>
      <c r="P31">
        <f>E31*D31*$B$3</f>
        <v>387009.6</v>
      </c>
      <c r="Q31" s="3">
        <f t="shared" si="10"/>
        <v>17415.432</v>
      </c>
      <c r="R31" s="3">
        <f t="shared" si="11"/>
        <v>11610.288</v>
      </c>
      <c r="S31" s="3">
        <f t="shared" si="12"/>
        <v>483.762</v>
      </c>
      <c r="T31" s="3">
        <f t="shared" si="13"/>
        <v>322.508</v>
      </c>
      <c r="U31" s="6">
        <f>S31/($B$4*$B$5)</f>
        <v>69.1088571428571</v>
      </c>
      <c r="V31" s="6">
        <f>T31/($B$4*$B$5)</f>
        <v>46.0725714285714</v>
      </c>
      <c r="W31" s="3">
        <f t="shared" si="14"/>
        <v>13821.7714285714</v>
      </c>
      <c r="X31" s="3">
        <f t="shared" si="15"/>
        <v>9214.51428571428</v>
      </c>
    </row>
    <row r="32" spans="1:24">
      <c r="A32" t="s">
        <v>89</v>
      </c>
      <c r="B32">
        <f t="shared" ref="B32:X32" si="16">SUM(B12:B31)</f>
        <v>4242.7190625</v>
      </c>
      <c r="C32">
        <f t="shared" si="16"/>
        <v>1.2037037037037</v>
      </c>
      <c r="D32">
        <f t="shared" si="16"/>
        <v>922</v>
      </c>
      <c r="E32">
        <f t="shared" si="16"/>
        <v>678835.05</v>
      </c>
      <c r="F32">
        <f t="shared" si="16"/>
        <v>38276.7381944444</v>
      </c>
      <c r="G32">
        <f t="shared" si="16"/>
        <v>32762113.05</v>
      </c>
      <c r="H32">
        <f t="shared" si="16"/>
        <v>271534.02</v>
      </c>
      <c r="I32">
        <f t="shared" si="16"/>
        <v>407301.03</v>
      </c>
      <c r="J32">
        <f t="shared" si="16"/>
        <v>15310.6952777778</v>
      </c>
      <c r="K32">
        <f t="shared" si="16"/>
        <v>22966.0429166667</v>
      </c>
      <c r="L32" s="5">
        <f t="shared" si="16"/>
        <v>2187.24218253968</v>
      </c>
      <c r="M32">
        <f t="shared" si="16"/>
        <v>3280.86327380952</v>
      </c>
      <c r="N32">
        <f t="shared" si="16"/>
        <v>546810.545634921</v>
      </c>
      <c r="O32">
        <f t="shared" si="16"/>
        <v>656172.654761905</v>
      </c>
      <c r="P32">
        <f t="shared" si="16"/>
        <v>3276211.305</v>
      </c>
      <c r="Q32">
        <f t="shared" si="16"/>
        <v>254125.098</v>
      </c>
      <c r="R32">
        <f t="shared" si="16"/>
        <v>153175.932</v>
      </c>
      <c r="S32">
        <f t="shared" si="16"/>
        <v>14140.5324166667</v>
      </c>
      <c r="T32">
        <f t="shared" si="16"/>
        <v>8825.5105</v>
      </c>
      <c r="U32" s="5">
        <f t="shared" si="16"/>
        <v>2020.07605952381</v>
      </c>
      <c r="V32" s="5">
        <f t="shared" si="16"/>
        <v>1260.78721428571</v>
      </c>
      <c r="W32">
        <f t="shared" si="16"/>
        <v>404015.211904762</v>
      </c>
      <c r="X32">
        <f t="shared" si="16"/>
        <v>252157.442857143</v>
      </c>
    </row>
    <row r="41" spans="1:10">
      <c r="A41" t="s">
        <v>40</v>
      </c>
      <c r="B41" t="s">
        <v>90</v>
      </c>
      <c r="F41" t="s">
        <v>91</v>
      </c>
      <c r="I41" t="s">
        <v>40</v>
      </c>
      <c r="J41" t="s">
        <v>136</v>
      </c>
    </row>
    <row r="42" spans="1:17">
      <c r="A42" t="s">
        <v>92</v>
      </c>
      <c r="B42" t="s">
        <v>93</v>
      </c>
      <c r="C42" t="s">
        <v>94</v>
      </c>
      <c r="D42" t="s">
        <v>95</v>
      </c>
      <c r="E42" t="s">
        <v>96</v>
      </c>
      <c r="F42" t="s">
        <v>97</v>
      </c>
      <c r="G42" t="s">
        <v>67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 t="s">
        <v>132</v>
      </c>
      <c r="P42" t="s">
        <v>133</v>
      </c>
      <c r="Q42" t="s">
        <v>134</v>
      </c>
    </row>
    <row r="43" spans="1:19">
      <c r="A43" t="s">
        <v>24</v>
      </c>
      <c r="B43">
        <v>2</v>
      </c>
      <c r="C43">
        <v>6</v>
      </c>
      <c r="D43">
        <v>6</v>
      </c>
      <c r="E43">
        <v>2</v>
      </c>
      <c r="F43">
        <v>12</v>
      </c>
      <c r="G43" s="3">
        <f t="shared" ref="G43:G62" si="17">B43*C43*D43/1728</f>
        <v>0.0416666666666667</v>
      </c>
      <c r="I43" t="s">
        <v>24</v>
      </c>
      <c r="J43">
        <v>1</v>
      </c>
      <c r="K43">
        <v>2</v>
      </c>
      <c r="L43">
        <v>4</v>
      </c>
      <c r="M43">
        <v>4</v>
      </c>
      <c r="N43">
        <v>1</v>
      </c>
      <c r="Q43">
        <v>2</v>
      </c>
      <c r="R43">
        <f t="shared" ref="R43:R62" si="18">J43+K43+L43+O43</f>
        <v>7</v>
      </c>
      <c r="S43">
        <f t="shared" ref="S43:S62" si="19">M43+N43+P43+Q43</f>
        <v>7</v>
      </c>
    </row>
    <row r="44" spans="1:19">
      <c r="A44" t="s">
        <v>25</v>
      </c>
      <c r="B44">
        <v>8</v>
      </c>
      <c r="C44">
        <v>8</v>
      </c>
      <c r="D44">
        <v>4</v>
      </c>
      <c r="E44">
        <v>14</v>
      </c>
      <c r="F44">
        <v>100</v>
      </c>
      <c r="G44" s="3">
        <f t="shared" si="17"/>
        <v>0.148148148148148</v>
      </c>
      <c r="I44" t="s">
        <v>25</v>
      </c>
      <c r="J44">
        <v>4</v>
      </c>
      <c r="L44">
        <v>2</v>
      </c>
      <c r="M44">
        <v>2</v>
      </c>
      <c r="Q44">
        <v>1</v>
      </c>
      <c r="R44">
        <f t="shared" si="18"/>
        <v>6</v>
      </c>
      <c r="S44">
        <f t="shared" si="19"/>
        <v>3</v>
      </c>
    </row>
    <row r="45" spans="1:19">
      <c r="A45" t="s">
        <v>26</v>
      </c>
      <c r="B45">
        <v>6</v>
      </c>
      <c r="C45">
        <v>6</v>
      </c>
      <c r="D45">
        <v>6</v>
      </c>
      <c r="E45">
        <v>6</v>
      </c>
      <c r="F45">
        <v>50</v>
      </c>
      <c r="G45" s="3">
        <f t="shared" si="17"/>
        <v>0.125</v>
      </c>
      <c r="I45" t="s">
        <v>26</v>
      </c>
      <c r="M45">
        <v>4</v>
      </c>
      <c r="N45">
        <v>1</v>
      </c>
      <c r="O45">
        <v>2</v>
      </c>
      <c r="P45">
        <v>4</v>
      </c>
      <c r="Q45">
        <v>1</v>
      </c>
      <c r="R45">
        <f t="shared" si="18"/>
        <v>2</v>
      </c>
      <c r="S45">
        <f t="shared" si="19"/>
        <v>10</v>
      </c>
    </row>
    <row r="46" spans="1:19">
      <c r="A46" t="s">
        <v>27</v>
      </c>
      <c r="B46">
        <v>12</v>
      </c>
      <c r="C46">
        <v>6</v>
      </c>
      <c r="D46">
        <v>4</v>
      </c>
      <c r="E46">
        <v>16</v>
      </c>
      <c r="F46">
        <v>120</v>
      </c>
      <c r="G46" s="3">
        <f t="shared" si="17"/>
        <v>0.166666666666667</v>
      </c>
      <c r="I46" t="s">
        <v>27</v>
      </c>
      <c r="K46">
        <v>1</v>
      </c>
      <c r="L46">
        <v>2</v>
      </c>
      <c r="M46">
        <v>2</v>
      </c>
      <c r="R46">
        <f t="shared" si="18"/>
        <v>3</v>
      </c>
      <c r="S46">
        <f t="shared" si="19"/>
        <v>2</v>
      </c>
    </row>
    <row r="47" spans="1:19">
      <c r="A47" t="s">
        <v>29</v>
      </c>
      <c r="B47">
        <v>8</v>
      </c>
      <c r="C47">
        <v>4</v>
      </c>
      <c r="D47">
        <v>6</v>
      </c>
      <c r="E47">
        <v>5</v>
      </c>
      <c r="F47">
        <v>50</v>
      </c>
      <c r="G47" s="3">
        <f t="shared" si="17"/>
        <v>0.111111111111111</v>
      </c>
      <c r="I47" t="s">
        <v>29</v>
      </c>
      <c r="K47">
        <v>1</v>
      </c>
      <c r="L47">
        <v>2</v>
      </c>
      <c r="O47">
        <v>1</v>
      </c>
      <c r="P47">
        <v>1</v>
      </c>
      <c r="R47">
        <f t="shared" si="18"/>
        <v>4</v>
      </c>
      <c r="S47">
        <f t="shared" si="19"/>
        <v>1</v>
      </c>
    </row>
    <row r="48" spans="1:19">
      <c r="A48" t="s">
        <v>30</v>
      </c>
      <c r="B48">
        <v>2</v>
      </c>
      <c r="C48">
        <v>8</v>
      </c>
      <c r="D48">
        <v>6</v>
      </c>
      <c r="E48">
        <v>3</v>
      </c>
      <c r="F48">
        <v>15</v>
      </c>
      <c r="G48" s="3">
        <f t="shared" si="17"/>
        <v>0.0555555555555556</v>
      </c>
      <c r="I48" t="s">
        <v>30</v>
      </c>
      <c r="J48">
        <v>1</v>
      </c>
      <c r="N48">
        <v>2</v>
      </c>
      <c r="Q48">
        <v>3</v>
      </c>
      <c r="R48">
        <f t="shared" si="18"/>
        <v>1</v>
      </c>
      <c r="S48">
        <f t="shared" si="19"/>
        <v>5</v>
      </c>
    </row>
    <row r="49" spans="1:19">
      <c r="A49" t="s">
        <v>31</v>
      </c>
      <c r="B49">
        <v>2</v>
      </c>
      <c r="C49">
        <v>2</v>
      </c>
      <c r="D49">
        <v>12</v>
      </c>
      <c r="E49">
        <v>1</v>
      </c>
      <c r="F49">
        <v>25</v>
      </c>
      <c r="G49" s="3">
        <f t="shared" si="17"/>
        <v>0.0277777777777778</v>
      </c>
      <c r="I49" t="s">
        <v>31</v>
      </c>
      <c r="K49">
        <v>4</v>
      </c>
      <c r="N49">
        <v>4</v>
      </c>
      <c r="P49">
        <v>1</v>
      </c>
      <c r="Q49">
        <v>1</v>
      </c>
      <c r="R49">
        <f t="shared" si="18"/>
        <v>4</v>
      </c>
      <c r="S49">
        <f t="shared" si="19"/>
        <v>6</v>
      </c>
    </row>
    <row r="50" spans="1:19">
      <c r="A50" t="s">
        <v>32</v>
      </c>
      <c r="B50">
        <v>4</v>
      </c>
      <c r="C50">
        <v>4</v>
      </c>
      <c r="D50">
        <v>4</v>
      </c>
      <c r="E50">
        <v>1</v>
      </c>
      <c r="F50">
        <v>20</v>
      </c>
      <c r="G50" s="3">
        <f t="shared" si="17"/>
        <v>0.037037037037037</v>
      </c>
      <c r="I50" t="s">
        <v>32</v>
      </c>
      <c r="M50">
        <v>4</v>
      </c>
      <c r="O50">
        <v>2</v>
      </c>
      <c r="P50">
        <v>2</v>
      </c>
      <c r="Q50">
        <v>3</v>
      </c>
      <c r="R50">
        <f t="shared" si="18"/>
        <v>2</v>
      </c>
      <c r="S50">
        <f t="shared" si="19"/>
        <v>9</v>
      </c>
    </row>
    <row r="51" spans="1:19">
      <c r="A51" t="s">
        <v>34</v>
      </c>
      <c r="B51">
        <v>2</v>
      </c>
      <c r="C51">
        <v>4</v>
      </c>
      <c r="D51">
        <v>12</v>
      </c>
      <c r="E51">
        <v>2</v>
      </c>
      <c r="F51">
        <v>40</v>
      </c>
      <c r="G51" s="3">
        <f t="shared" si="17"/>
        <v>0.0555555555555556</v>
      </c>
      <c r="I51" t="s">
        <v>34</v>
      </c>
      <c r="K51">
        <v>2</v>
      </c>
      <c r="L51">
        <v>2</v>
      </c>
      <c r="O51">
        <v>1</v>
      </c>
      <c r="P51">
        <v>2</v>
      </c>
      <c r="R51">
        <f t="shared" si="18"/>
        <v>5</v>
      </c>
      <c r="S51">
        <f t="shared" si="19"/>
        <v>2</v>
      </c>
    </row>
    <row r="52" spans="1:19">
      <c r="A52" t="s">
        <v>36</v>
      </c>
      <c r="B52">
        <v>4</v>
      </c>
      <c r="C52">
        <v>4</v>
      </c>
      <c r="D52">
        <v>4</v>
      </c>
      <c r="E52">
        <v>1</v>
      </c>
      <c r="F52">
        <v>20</v>
      </c>
      <c r="G52" s="3">
        <f t="shared" si="17"/>
        <v>0.037037037037037</v>
      </c>
      <c r="I52" t="s">
        <v>36</v>
      </c>
      <c r="J52">
        <v>1</v>
      </c>
      <c r="L52">
        <v>1</v>
      </c>
      <c r="M52">
        <v>1</v>
      </c>
      <c r="Q52">
        <v>1</v>
      </c>
      <c r="R52">
        <f t="shared" si="18"/>
        <v>2</v>
      </c>
      <c r="S52">
        <f t="shared" si="19"/>
        <v>2</v>
      </c>
    </row>
    <row r="53" spans="1:19">
      <c r="A53" t="s">
        <v>37</v>
      </c>
      <c r="B53">
        <v>4</v>
      </c>
      <c r="C53">
        <v>6</v>
      </c>
      <c r="D53">
        <v>4</v>
      </c>
      <c r="E53">
        <v>2</v>
      </c>
      <c r="F53">
        <v>30</v>
      </c>
      <c r="G53" s="3">
        <f t="shared" si="17"/>
        <v>0.0555555555555556</v>
      </c>
      <c r="I53" t="s">
        <v>37</v>
      </c>
      <c r="J53">
        <v>2</v>
      </c>
      <c r="N53">
        <v>4</v>
      </c>
      <c r="O53">
        <v>4</v>
      </c>
      <c r="P53">
        <v>2</v>
      </c>
      <c r="R53">
        <f t="shared" si="18"/>
        <v>6</v>
      </c>
      <c r="S53">
        <f t="shared" si="19"/>
        <v>6</v>
      </c>
    </row>
    <row r="54" spans="1:19">
      <c r="A54" t="s">
        <v>38</v>
      </c>
      <c r="B54">
        <v>6</v>
      </c>
      <c r="C54">
        <v>6</v>
      </c>
      <c r="D54">
        <v>4</v>
      </c>
      <c r="E54">
        <v>2</v>
      </c>
      <c r="F54">
        <v>30</v>
      </c>
      <c r="G54" s="3">
        <f t="shared" si="17"/>
        <v>0.0833333333333333</v>
      </c>
      <c r="I54" t="s">
        <v>38</v>
      </c>
      <c r="J54">
        <v>4</v>
      </c>
      <c r="N54">
        <v>4</v>
      </c>
      <c r="O54">
        <v>3</v>
      </c>
      <c r="P54">
        <v>4</v>
      </c>
      <c r="R54">
        <f t="shared" si="18"/>
        <v>7</v>
      </c>
      <c r="S54">
        <f t="shared" si="19"/>
        <v>8</v>
      </c>
    </row>
    <row r="55" spans="1:19">
      <c r="A55" t="s">
        <v>39</v>
      </c>
      <c r="B55">
        <v>2</v>
      </c>
      <c r="C55">
        <v>2</v>
      </c>
      <c r="D55">
        <v>12</v>
      </c>
      <c r="E55">
        <v>1</v>
      </c>
      <c r="F55">
        <v>25</v>
      </c>
      <c r="G55" s="3">
        <f t="shared" si="17"/>
        <v>0.0277777777777778</v>
      </c>
      <c r="I55" t="s">
        <v>39</v>
      </c>
      <c r="J55">
        <v>2</v>
      </c>
      <c r="N55">
        <v>2</v>
      </c>
      <c r="O55">
        <v>2</v>
      </c>
      <c r="P55">
        <v>1</v>
      </c>
      <c r="R55">
        <f t="shared" si="18"/>
        <v>4</v>
      </c>
      <c r="S55">
        <f t="shared" si="19"/>
        <v>3</v>
      </c>
    </row>
    <row r="56" spans="1:19">
      <c r="A56" t="s">
        <v>42</v>
      </c>
      <c r="B56">
        <v>2</v>
      </c>
      <c r="C56">
        <v>4</v>
      </c>
      <c r="D56">
        <v>6</v>
      </c>
      <c r="E56">
        <v>1</v>
      </c>
      <c r="F56">
        <v>20</v>
      </c>
      <c r="G56" s="3">
        <f t="shared" si="17"/>
        <v>0.0277777777777778</v>
      </c>
      <c r="I56" t="s">
        <v>42</v>
      </c>
      <c r="K56">
        <v>4</v>
      </c>
      <c r="L56">
        <v>2</v>
      </c>
      <c r="M56">
        <v>2</v>
      </c>
      <c r="N56">
        <v>2</v>
      </c>
      <c r="Q56">
        <v>4</v>
      </c>
      <c r="R56">
        <f t="shared" si="18"/>
        <v>6</v>
      </c>
      <c r="S56">
        <f t="shared" si="19"/>
        <v>8</v>
      </c>
    </row>
    <row r="57" spans="1:19">
      <c r="A57" t="s">
        <v>43</v>
      </c>
      <c r="B57">
        <v>4</v>
      </c>
      <c r="C57">
        <v>6</v>
      </c>
      <c r="D57">
        <v>4</v>
      </c>
      <c r="E57">
        <v>2</v>
      </c>
      <c r="F57">
        <v>25</v>
      </c>
      <c r="G57" s="3">
        <f t="shared" si="17"/>
        <v>0.0555555555555556</v>
      </c>
      <c r="I57" t="s">
        <v>43</v>
      </c>
      <c r="M57">
        <v>2</v>
      </c>
      <c r="O57">
        <v>2</v>
      </c>
      <c r="Q57">
        <v>1</v>
      </c>
      <c r="R57">
        <f t="shared" si="18"/>
        <v>2</v>
      </c>
      <c r="S57">
        <f t="shared" si="19"/>
        <v>3</v>
      </c>
    </row>
    <row r="58" spans="1:19">
      <c r="A58" t="s">
        <v>44</v>
      </c>
      <c r="B58">
        <v>4</v>
      </c>
      <c r="C58">
        <v>4</v>
      </c>
      <c r="D58">
        <v>4</v>
      </c>
      <c r="E58">
        <v>1</v>
      </c>
      <c r="F58">
        <v>20</v>
      </c>
      <c r="G58" s="3">
        <f t="shared" si="17"/>
        <v>0.037037037037037</v>
      </c>
      <c r="I58" t="s">
        <v>44</v>
      </c>
      <c r="K58">
        <v>1</v>
      </c>
      <c r="L58">
        <v>4</v>
      </c>
      <c r="R58">
        <f t="shared" si="18"/>
        <v>5</v>
      </c>
      <c r="S58">
        <f t="shared" si="19"/>
        <v>0</v>
      </c>
    </row>
    <row r="59" spans="1:19">
      <c r="A59" t="s">
        <v>45</v>
      </c>
      <c r="B59">
        <v>12</v>
      </c>
      <c r="C59">
        <v>2</v>
      </c>
      <c r="D59">
        <v>2</v>
      </c>
      <c r="E59">
        <v>4</v>
      </c>
      <c r="F59">
        <v>80</v>
      </c>
      <c r="G59" s="3">
        <f t="shared" si="17"/>
        <v>0.0277777777777778</v>
      </c>
      <c r="I59" t="s">
        <v>45</v>
      </c>
      <c r="J59">
        <v>2</v>
      </c>
      <c r="N59">
        <v>2</v>
      </c>
      <c r="O59">
        <v>2</v>
      </c>
      <c r="P59">
        <v>2</v>
      </c>
      <c r="Q59">
        <v>1</v>
      </c>
      <c r="R59">
        <f t="shared" si="18"/>
        <v>4</v>
      </c>
      <c r="S59">
        <f t="shared" si="19"/>
        <v>5</v>
      </c>
    </row>
    <row r="60" spans="1:19">
      <c r="A60" t="s">
        <v>46</v>
      </c>
      <c r="B60">
        <v>12</v>
      </c>
      <c r="C60">
        <v>2</v>
      </c>
      <c r="D60">
        <v>2</v>
      </c>
      <c r="E60">
        <v>4</v>
      </c>
      <c r="F60">
        <v>80</v>
      </c>
      <c r="G60" s="3">
        <f t="shared" si="17"/>
        <v>0.0277777777777778</v>
      </c>
      <c r="I60" t="s">
        <v>46</v>
      </c>
      <c r="J60">
        <v>4</v>
      </c>
      <c r="K60">
        <v>1</v>
      </c>
      <c r="N60">
        <v>4</v>
      </c>
      <c r="O60">
        <v>1</v>
      </c>
      <c r="P60">
        <v>3</v>
      </c>
      <c r="R60">
        <f t="shared" si="18"/>
        <v>6</v>
      </c>
      <c r="S60">
        <f t="shared" si="19"/>
        <v>7</v>
      </c>
    </row>
    <row r="61" spans="1:19">
      <c r="A61" t="s">
        <v>47</v>
      </c>
      <c r="B61">
        <v>12</v>
      </c>
      <c r="C61">
        <v>2</v>
      </c>
      <c r="D61">
        <v>2</v>
      </c>
      <c r="E61">
        <v>4</v>
      </c>
      <c r="F61">
        <v>80</v>
      </c>
      <c r="G61" s="3">
        <f t="shared" si="17"/>
        <v>0.0277777777777778</v>
      </c>
      <c r="I61" t="s">
        <v>47</v>
      </c>
      <c r="K61">
        <v>2</v>
      </c>
      <c r="L61">
        <v>4</v>
      </c>
      <c r="M61">
        <v>4</v>
      </c>
      <c r="N61">
        <v>1</v>
      </c>
      <c r="Q61">
        <v>3</v>
      </c>
      <c r="R61">
        <f t="shared" si="18"/>
        <v>6</v>
      </c>
      <c r="S61">
        <f t="shared" si="19"/>
        <v>8</v>
      </c>
    </row>
    <row r="62" spans="1:19">
      <c r="A62" t="s">
        <v>48</v>
      </c>
      <c r="B62">
        <v>12</v>
      </c>
      <c r="C62">
        <v>2</v>
      </c>
      <c r="D62">
        <v>2</v>
      </c>
      <c r="E62">
        <v>4</v>
      </c>
      <c r="F62">
        <v>80</v>
      </c>
      <c r="G62" s="3">
        <f t="shared" si="17"/>
        <v>0.0277777777777778</v>
      </c>
      <c r="I62" t="s">
        <v>48</v>
      </c>
      <c r="K62">
        <v>2</v>
      </c>
      <c r="L62">
        <v>3</v>
      </c>
      <c r="M62">
        <v>3</v>
      </c>
      <c r="Q62">
        <v>4</v>
      </c>
      <c r="R62">
        <f t="shared" si="18"/>
        <v>5</v>
      </c>
      <c r="S62">
        <f t="shared" si="19"/>
        <v>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zoomScale="80" zoomScaleNormal="80" workbookViewId="0">
      <selection activeCell="B26" sqref="B26:B45"/>
    </sheetView>
  </sheetViews>
  <sheetFormatPr defaultColWidth="8.88888888888889" defaultRowHeight="17.6"/>
  <cols>
    <col min="2" max="2" width="31.1319444444444" customWidth="1"/>
    <col min="3" max="3" width="12.5555555555556"/>
    <col min="4" max="4" width="10.8402777777778" customWidth="1"/>
    <col min="7" max="7" width="12.5555555555556"/>
    <col min="9" max="10" width="12.5555555555556"/>
    <col min="12" max="12" width="12.5555555555556"/>
    <col min="18" max="18" width="15.1875" customWidth="1"/>
    <col min="19" max="19" width="15.7638888888889" customWidth="1"/>
    <col min="20" max="20" width="9.82638888888889" customWidth="1"/>
    <col min="21" max="21" width="10.9930555555556" customWidth="1"/>
  </cols>
  <sheetData>
    <row r="1" spans="2:19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</row>
    <row r="2" ht="18" spans="1:19">
      <c r="A2" t="s">
        <v>24</v>
      </c>
      <c r="B2" t="s">
        <v>115</v>
      </c>
      <c r="C2" t="s">
        <v>116</v>
      </c>
      <c r="D2" t="s">
        <v>115</v>
      </c>
      <c r="E2" t="s">
        <v>117</v>
      </c>
      <c r="F2" t="s">
        <v>118</v>
      </c>
      <c r="G2" t="s">
        <v>119</v>
      </c>
      <c r="H2" t="s">
        <v>120</v>
      </c>
      <c r="I2">
        <f>_xlfn.XLOOKUP(A2,$A$2:$A$21,$C$26:$C$45)</f>
        <v>1894.78026315789</v>
      </c>
      <c r="J2" t="str">
        <f t="shared" ref="J2:O2" si="0">IF(AND(B2&lt;&gt;"",C2&lt;&gt;"",B2&lt;&gt;C2),B2&amp;"-&gt;"&amp;C2,"")</f>
        <v>B-&gt;A</v>
      </c>
      <c r="K2" s="3" t="str">
        <f t="shared" si="0"/>
        <v>A-&gt;B</v>
      </c>
      <c r="L2" s="3" t="str">
        <f t="shared" si="0"/>
        <v>B-&gt;C</v>
      </c>
      <c r="M2" s="3" t="str">
        <f t="shared" si="0"/>
        <v>C-&gt;D</v>
      </c>
      <c r="N2" s="3" t="str">
        <f t="shared" si="0"/>
        <v>D-&gt;I</v>
      </c>
      <c r="O2" s="3" t="str">
        <f t="shared" si="0"/>
        <v>I-&gt;J</v>
      </c>
      <c r="P2" s="4" t="s">
        <v>116</v>
      </c>
      <c r="Q2" s="4" t="s">
        <v>115</v>
      </c>
      <c r="R2" s="3">
        <f>SUMPRODUCT($I$2:$I$21*(($J$2:$J$21=$P2&amp;"-&gt;"&amp;$Q2)+($K$2:$K$21=$P2&amp;"-&gt;"&amp;$Q2)+($L$2:$L$21=$P2&amp;"-&gt;"&amp;$Q2)+($M$2:$M$21=$P2&amp;"-&gt;"&amp;$Q2)+($N$2:$N$21=$P2&amp;"-&gt;"&amp;$Q2)+($O$2:$O$21=$P2&amp;"-&gt;"&amp;$Q2)))</f>
        <v>3152.29736842105</v>
      </c>
      <c r="S2" s="3">
        <f>SUMPRODUCT($D$26:$D$45*(($J$2:$J$21=$P2&amp;"-&gt;"&amp;$Q2)+($K$2:$K$21=$P2&amp;"-&gt;"&amp;$Q2)+($L$2:$L$21=$P2&amp;"-&gt;"&amp;$Q2)+($M$2:$M$21=$P2&amp;"-&gt;"&amp;$Q2)+($N$2:$N$21=$P2&amp;"-&gt;"&amp;$Q2)+($O$2:$O$21=$P2&amp;"-&gt;"&amp;$Q2)))</f>
        <v>39.4037171052632</v>
      </c>
    </row>
    <row r="3" ht="18" spans="1:19">
      <c r="A3" t="s">
        <v>25</v>
      </c>
      <c r="B3" t="s">
        <v>116</v>
      </c>
      <c r="C3" t="s">
        <v>117</v>
      </c>
      <c r="D3" t="s">
        <v>118</v>
      </c>
      <c r="E3" t="s">
        <v>121</v>
      </c>
      <c r="F3" t="s">
        <v>120</v>
      </c>
      <c r="I3">
        <f>_xlfn.XLOOKUP(A3,$A$2:$A$21,$C$26:$C$45)</f>
        <v>1005.04736842105</v>
      </c>
      <c r="J3" t="str">
        <f t="shared" ref="J3:O3" si="1">IF(AND(B3&lt;&gt;"",C3&lt;&gt;"",B3&lt;&gt;C3),B3&amp;"-&gt;"&amp;C3,"")</f>
        <v>A-&gt;C</v>
      </c>
      <c r="K3" s="3" t="str">
        <f t="shared" si="1"/>
        <v>C-&gt;D</v>
      </c>
      <c r="L3" s="3" t="str">
        <f t="shared" si="1"/>
        <v>D-&gt;H</v>
      </c>
      <c r="M3" s="3" t="str">
        <f t="shared" si="1"/>
        <v>H-&gt;J</v>
      </c>
      <c r="N3" s="3" t="str">
        <f t="shared" si="1"/>
        <v/>
      </c>
      <c r="O3" s="3" t="str">
        <f t="shared" si="1"/>
        <v/>
      </c>
      <c r="P3" s="4" t="s">
        <v>116</v>
      </c>
      <c r="Q3" s="4" t="s">
        <v>117</v>
      </c>
      <c r="R3" s="3">
        <f>SUMPRODUCT($I$2:$I$21*(($J$2:$J$21=$P3&amp;"-&gt;"&amp;$Q3)+($K$2:$K$21=$P3&amp;"-&gt;"&amp;$Q3)+($L$2:$L$21=$P3&amp;"-&gt;"&amp;$Q3)+($M$2:$M$21=$P3&amp;"-&gt;"&amp;$Q3)+($N$2:$N$21=$P3&amp;"-&gt;"&amp;$Q3)+($O$2:$O$21=$P3&amp;"-&gt;"&amp;$Q3)))</f>
        <v>1005.04736842105</v>
      </c>
      <c r="S3" s="3">
        <f>SUMPRODUCT($D$26:$D$45*(($J$2:$J$21=$P3&amp;"-&gt;"&amp;$Q3)+($K$2:$K$21=$P3&amp;"-&gt;"&amp;$Q3)+($L$2:$L$21=$P3&amp;"-&gt;"&amp;$Q3)+($M$2:$M$21=$P3&amp;"-&gt;"&amp;$Q3)+($N$2:$N$21=$P3&amp;"-&gt;"&amp;$Q3)+($O$2:$O$21=$P3&amp;"-&gt;"&amp;$Q3)))</f>
        <v>12.5630921052632</v>
      </c>
    </row>
    <row r="4" ht="18" spans="1:19">
      <c r="A4" t="s">
        <v>26</v>
      </c>
      <c r="B4" t="s">
        <v>115</v>
      </c>
      <c r="C4" t="s">
        <v>118</v>
      </c>
      <c r="D4" t="s">
        <v>117</v>
      </c>
      <c r="E4" t="s">
        <v>119</v>
      </c>
      <c r="F4" t="s">
        <v>120</v>
      </c>
      <c r="I4">
        <f>_xlfn.XLOOKUP(A4,$A$2:$A$21,$C$26:$C$45)</f>
        <v>680.905263157895</v>
      </c>
      <c r="J4" t="str">
        <f t="shared" ref="J4:O4" si="2">IF(AND(B4&lt;&gt;"",C4&lt;&gt;"",B4&lt;&gt;C4),B4&amp;"-&gt;"&amp;C4,"")</f>
        <v>B-&gt;D</v>
      </c>
      <c r="K4" s="3" t="str">
        <f t="shared" si="2"/>
        <v>D-&gt;C</v>
      </c>
      <c r="L4" s="3" t="str">
        <f t="shared" si="2"/>
        <v>C-&gt;I</v>
      </c>
      <c r="M4" s="3" t="str">
        <f t="shared" si="2"/>
        <v>I-&gt;J</v>
      </c>
      <c r="N4" s="3" t="str">
        <f t="shared" si="2"/>
        <v/>
      </c>
      <c r="O4" s="3" t="str">
        <f t="shared" si="2"/>
        <v/>
      </c>
      <c r="P4" s="4" t="s">
        <v>115</v>
      </c>
      <c r="Q4" s="4" t="s">
        <v>116</v>
      </c>
      <c r="R4" s="3">
        <f>SUMPRODUCT($I$2:$I$21*(($J$2:$J$21=$P4&amp;"-&gt;"&amp;$Q4)+($K$2:$K$21=$P4&amp;"-&gt;"&amp;$Q4)+($L$2:$L$21=$P4&amp;"-&gt;"&amp;$Q4)+($M$2:$M$21=$P4&amp;"-&gt;"&amp;$Q4)+($N$2:$N$21=$P4&amp;"-&gt;"&amp;$Q4)+($O$2:$O$21=$P4&amp;"-&gt;"&amp;$Q4)))</f>
        <v>1894.78026315789</v>
      </c>
      <c r="S4" s="3">
        <f>SUMPRODUCT($D$26:$D$45*(($J$2:$J$21=$P4&amp;"-&gt;"&amp;$Q4)+($K$2:$K$21=$P4&amp;"-&gt;"&amp;$Q4)+($L$2:$L$21=$P4&amp;"-&gt;"&amp;$Q4)+($M$2:$M$21=$P4&amp;"-&gt;"&amp;$Q4)+($N$2:$N$21=$P4&amp;"-&gt;"&amp;$Q4)+($O$2:$O$21=$P4&amp;"-&gt;"&amp;$Q4)))</f>
        <v>23.6847532894737</v>
      </c>
    </row>
    <row r="5" ht="18" spans="1:19">
      <c r="A5" t="s">
        <v>27</v>
      </c>
      <c r="B5" t="s">
        <v>116</v>
      </c>
      <c r="C5" t="s">
        <v>115</v>
      </c>
      <c r="D5" t="s">
        <v>118</v>
      </c>
      <c r="E5" t="s">
        <v>122</v>
      </c>
      <c r="F5" t="s">
        <v>121</v>
      </c>
      <c r="I5">
        <f>_xlfn.XLOOKUP(A5,$A$2:$A$21,$C$26:$C$45)</f>
        <v>822.126315789474</v>
      </c>
      <c r="J5" t="str">
        <f t="shared" ref="J5:O5" si="3">IF(AND(B5&lt;&gt;"",C5&lt;&gt;"",B5&lt;&gt;C5),B5&amp;"-&gt;"&amp;C5,"")</f>
        <v>A-&gt;B</v>
      </c>
      <c r="K5" s="3" t="str">
        <f t="shared" si="3"/>
        <v>B-&gt;D</v>
      </c>
      <c r="L5" s="3" t="str">
        <f t="shared" si="3"/>
        <v>D-&gt;G</v>
      </c>
      <c r="M5" s="3" t="str">
        <f t="shared" si="3"/>
        <v>G-&gt;H</v>
      </c>
      <c r="N5" s="3" t="str">
        <f t="shared" si="3"/>
        <v/>
      </c>
      <c r="O5" s="3" t="str">
        <f t="shared" si="3"/>
        <v/>
      </c>
      <c r="P5" s="4" t="s">
        <v>115</v>
      </c>
      <c r="Q5" s="4" t="s">
        <v>117</v>
      </c>
      <c r="R5" s="3">
        <f>SUMPRODUCT($I$2:$I$21*(($J$2:$J$21=$P5&amp;"-&gt;"&amp;$Q5)+($K$2:$K$21=$P5&amp;"-&gt;"&amp;$Q5)+($L$2:$L$21=$P5&amp;"-&gt;"&amp;$Q5)+($M$2:$M$21=$P5&amp;"-&gt;"&amp;$Q5)+($N$2:$N$21=$P5&amp;"-&gt;"&amp;$Q5)+($O$2:$O$21=$P5&amp;"-&gt;"&amp;$Q5)))</f>
        <v>2904.27631578947</v>
      </c>
      <c r="S5" s="3">
        <f>SUMPRODUCT($D$26:$D$45*(($J$2:$J$21=$P5&amp;"-&gt;"&amp;$Q5)+($K$2:$K$21=$P5&amp;"-&gt;"&amp;$Q5)+($L$2:$L$21=$P5&amp;"-&gt;"&amp;$Q5)+($M$2:$M$21=$P5&amp;"-&gt;"&amp;$Q5)+($N$2:$N$21=$P5&amp;"-&gt;"&amp;$Q5)+($O$2:$O$21=$P5&amp;"-&gt;"&amp;$Q5)))</f>
        <v>36.3034539473684</v>
      </c>
    </row>
    <row r="6" ht="18" spans="1:19">
      <c r="A6" t="s">
        <v>29</v>
      </c>
      <c r="B6" t="s">
        <v>115</v>
      </c>
      <c r="C6" t="s">
        <v>117</v>
      </c>
      <c r="D6" t="s">
        <v>118</v>
      </c>
      <c r="E6" t="s">
        <v>119</v>
      </c>
      <c r="I6">
        <f>_xlfn.XLOOKUP(A6,$A$2:$A$21,$C$26:$C$45)</f>
        <v>574.105263157895</v>
      </c>
      <c r="J6" t="str">
        <f t="shared" ref="J6:O6" si="4">IF(AND(B6&lt;&gt;"",C6&lt;&gt;"",B6&lt;&gt;C6),B6&amp;"-&gt;"&amp;C6,"")</f>
        <v>B-&gt;C</v>
      </c>
      <c r="K6" s="3" t="str">
        <f t="shared" si="4"/>
        <v>C-&gt;D</v>
      </c>
      <c r="L6" s="3" t="str">
        <f t="shared" si="4"/>
        <v>D-&gt;I</v>
      </c>
      <c r="M6" s="3" t="str">
        <f t="shared" si="4"/>
        <v/>
      </c>
      <c r="N6" s="3" t="str">
        <f t="shared" si="4"/>
        <v/>
      </c>
      <c r="O6" s="3" t="str">
        <f t="shared" si="4"/>
        <v/>
      </c>
      <c r="P6" s="4" t="s">
        <v>115</v>
      </c>
      <c r="Q6" s="4" t="s">
        <v>118</v>
      </c>
      <c r="R6" s="3">
        <f>SUMPRODUCT($I$2:$I$21*(($J$2:$J$21=$P6&amp;"-&gt;"&amp;$Q6)+($K$2:$K$21=$P6&amp;"-&gt;"&amp;$Q6)+($L$2:$L$21=$P6&amp;"-&gt;"&amp;$Q6)+($M$2:$M$21=$P6&amp;"-&gt;"&amp;$Q6)+($N$2:$N$21=$P6&amp;"-&gt;"&amp;$Q6)+($O$2:$O$21=$P6&amp;"-&gt;"&amp;$Q6)))</f>
        <v>1503.03157894737</v>
      </c>
      <c r="S6" s="3">
        <f>SUMPRODUCT($D$26:$D$45*(($J$2:$J$21=$P6&amp;"-&gt;"&amp;$Q6)+($K$2:$K$21=$P6&amp;"-&gt;"&amp;$Q6)+($L$2:$L$21=$P6&amp;"-&gt;"&amp;$Q6)+($M$2:$M$21=$P6&amp;"-&gt;"&amp;$Q6)+($N$2:$N$21=$P6&amp;"-&gt;"&amp;$Q6)+($O$2:$O$21=$P6&amp;"-&gt;"&amp;$Q6)))</f>
        <v>18.7878947368421</v>
      </c>
    </row>
    <row r="7" ht="18" spans="1:19">
      <c r="A7" t="s">
        <v>30</v>
      </c>
      <c r="B7" t="s">
        <v>116</v>
      </c>
      <c r="C7" t="s">
        <v>115</v>
      </c>
      <c r="D7" t="s">
        <v>117</v>
      </c>
      <c r="E7" t="s">
        <v>118</v>
      </c>
      <c r="F7" t="s">
        <v>121</v>
      </c>
      <c r="G7" t="s">
        <v>119</v>
      </c>
      <c r="H7" t="s">
        <v>120</v>
      </c>
      <c r="I7">
        <f>_xlfn.XLOOKUP(A7,$A$2:$A$21,$C$26:$C$45)</f>
        <v>435.390789473684</v>
      </c>
      <c r="J7" t="str">
        <f t="shared" ref="J7:O7" si="5">IF(AND(B7&lt;&gt;"",C7&lt;&gt;"",B7&lt;&gt;C7),B7&amp;"-&gt;"&amp;C7,"")</f>
        <v>A-&gt;B</v>
      </c>
      <c r="K7" s="3" t="str">
        <f t="shared" si="5"/>
        <v>B-&gt;C</v>
      </c>
      <c r="L7" s="3" t="str">
        <f t="shared" si="5"/>
        <v>C-&gt;D</v>
      </c>
      <c r="M7" s="3" t="str">
        <f t="shared" si="5"/>
        <v>D-&gt;H</v>
      </c>
      <c r="N7" s="3" t="str">
        <f t="shared" si="5"/>
        <v>H-&gt;I</v>
      </c>
      <c r="O7" s="3" t="str">
        <f t="shared" si="5"/>
        <v>I-&gt;J</v>
      </c>
      <c r="P7" s="4" t="s">
        <v>117</v>
      </c>
      <c r="Q7" s="4" t="s">
        <v>118</v>
      </c>
      <c r="R7" s="3">
        <f>SUMPRODUCT($I$2:$I$21*(($J$2:$J$21=$P7&amp;"-&gt;"&amp;$Q7)+($K$2:$K$21=$P7&amp;"-&gt;"&amp;$Q7)+($L$2:$L$21=$P7&amp;"-&gt;"&amp;$Q7)+($M$2:$M$21=$P7&amp;"-&gt;"&amp;$Q7)+($N$2:$N$21=$P7&amp;"-&gt;"&amp;$Q7)+($O$2:$O$21=$P7&amp;"-&gt;"&amp;$Q7)))</f>
        <v>4967.72368421053</v>
      </c>
      <c r="S7" s="3">
        <f>SUMPRODUCT($D$26:$D$45*(($J$2:$J$21=$P7&amp;"-&gt;"&amp;$Q7)+($K$2:$K$21=$P7&amp;"-&gt;"&amp;$Q7)+($L$2:$L$21=$P7&amp;"-&gt;"&amp;$Q7)+($M$2:$M$21=$P7&amp;"-&gt;"&amp;$Q7)+($N$2:$N$21=$P7&amp;"-&gt;"&amp;$Q7)+($O$2:$O$21=$P7&amp;"-&gt;"&amp;$Q7)))</f>
        <v>62.0965460526316</v>
      </c>
    </row>
    <row r="8" ht="18" spans="1:19">
      <c r="A8" t="s">
        <v>31</v>
      </c>
      <c r="B8" t="s">
        <v>123</v>
      </c>
      <c r="C8" t="s">
        <v>124</v>
      </c>
      <c r="D8" t="s">
        <v>117</v>
      </c>
      <c r="E8" t="s">
        <v>118</v>
      </c>
      <c r="F8" t="s">
        <v>119</v>
      </c>
      <c r="G8" t="s">
        <v>120</v>
      </c>
      <c r="I8">
        <f>_xlfn.XLOOKUP(A8,$A$2:$A$21,$C$26:$C$45)</f>
        <v>1058.4</v>
      </c>
      <c r="J8" t="str">
        <f t="shared" ref="J8:O8" si="6">IF(AND(B8&lt;&gt;"",C8&lt;&gt;"",B8&lt;&gt;C8),B8&amp;"-&gt;"&amp;C8,"")</f>
        <v>E-&gt;F</v>
      </c>
      <c r="K8" s="3" t="str">
        <f t="shared" si="6"/>
        <v>F-&gt;C</v>
      </c>
      <c r="L8" s="3" t="str">
        <f t="shared" si="6"/>
        <v>C-&gt;D</v>
      </c>
      <c r="M8" s="3" t="str">
        <f t="shared" si="6"/>
        <v>D-&gt;I</v>
      </c>
      <c r="N8" s="3" t="str">
        <f t="shared" si="6"/>
        <v>I-&gt;J</v>
      </c>
      <c r="O8" s="3" t="str">
        <f t="shared" si="6"/>
        <v/>
      </c>
      <c r="P8" s="4" t="s">
        <v>117</v>
      </c>
      <c r="Q8" s="4" t="s">
        <v>119</v>
      </c>
      <c r="R8" s="3">
        <f>SUMPRODUCT($I$2:$I$21*(($J$2:$J$21=$P8&amp;"-&gt;"&amp;$Q8)+($K$2:$K$21=$P8&amp;"-&gt;"&amp;$Q8)+($L$2:$L$21=$P8&amp;"-&gt;"&amp;$Q8)+($M$2:$M$21=$P8&amp;"-&gt;"&amp;$Q8)+($N$2:$N$21=$P8&amp;"-&gt;"&amp;$Q8)+($O$2:$O$21=$P8&amp;"-&gt;"&amp;$Q8)))</f>
        <v>680.905263157895</v>
      </c>
      <c r="S8" s="3">
        <f>SUMPRODUCT($D$26:$D$45*(($J$2:$J$21=$P8&amp;"-&gt;"&amp;$Q8)+($K$2:$K$21=$P8&amp;"-&gt;"&amp;$Q8)+($L$2:$L$21=$P8&amp;"-&gt;"&amp;$Q8)+($M$2:$M$21=$P8&amp;"-&gt;"&amp;$Q8)+($N$2:$N$21=$P8&amp;"-&gt;"&amp;$Q8)+($O$2:$O$21=$P8&amp;"-&gt;"&amp;$Q8)))</f>
        <v>8.51131578947368</v>
      </c>
    </row>
    <row r="9" ht="18" spans="1:19">
      <c r="A9" t="s">
        <v>32</v>
      </c>
      <c r="B9" t="s">
        <v>123</v>
      </c>
      <c r="C9" t="s">
        <v>121</v>
      </c>
      <c r="D9" t="s">
        <v>120</v>
      </c>
      <c r="E9" t="s">
        <v>119</v>
      </c>
      <c r="I9">
        <f>_xlfn.XLOOKUP(A9,$A$2:$A$21,$C$26:$C$45)</f>
        <v>496.042105263158</v>
      </c>
      <c r="J9" t="str">
        <f t="shared" ref="J9:O9" si="7">IF(AND(B9&lt;&gt;"",C9&lt;&gt;"",B9&lt;&gt;C9),B9&amp;"-&gt;"&amp;C9,"")</f>
        <v>E-&gt;H</v>
      </c>
      <c r="K9" s="3" t="str">
        <f t="shared" si="7"/>
        <v>H-&gt;J</v>
      </c>
      <c r="L9" s="3" t="str">
        <f t="shared" si="7"/>
        <v>J-&gt;I</v>
      </c>
      <c r="M9" s="3" t="str">
        <f t="shared" si="7"/>
        <v/>
      </c>
      <c r="N9" s="3" t="str">
        <f t="shared" si="7"/>
        <v/>
      </c>
      <c r="O9" s="3" t="str">
        <f t="shared" si="7"/>
        <v/>
      </c>
      <c r="P9" s="4" t="s">
        <v>118</v>
      </c>
      <c r="Q9" s="4" t="s">
        <v>117</v>
      </c>
      <c r="R9" s="3">
        <f>SUMPRODUCT($I$2:$I$21*(($J$2:$J$21=$P9&amp;"-&gt;"&amp;$Q9)+($K$2:$K$21=$P9&amp;"-&gt;"&amp;$Q9)+($L$2:$L$21=$P9&amp;"-&gt;"&amp;$Q9)+($M$2:$M$21=$P9&amp;"-&gt;"&amp;$Q9)+($N$2:$N$21=$P9&amp;"-&gt;"&amp;$Q9)+($O$2:$O$21=$P9&amp;"-&gt;"&amp;$Q9)))</f>
        <v>680.905263157895</v>
      </c>
      <c r="S9" s="3">
        <f>SUMPRODUCT($D$26:$D$45*(($J$2:$J$21=$P9&amp;"-&gt;"&amp;$Q9)+($K$2:$K$21=$P9&amp;"-&gt;"&amp;$Q9)+($L$2:$L$21=$P9&amp;"-&gt;"&amp;$Q9)+($M$2:$M$21=$P9&amp;"-&gt;"&amp;$Q9)+($N$2:$N$21=$P9&amp;"-&gt;"&amp;$Q9)+($O$2:$O$21=$P9&amp;"-&gt;"&amp;$Q9)))</f>
        <v>8.51131578947368</v>
      </c>
    </row>
    <row r="10" ht="18" spans="1:19">
      <c r="A10" t="s">
        <v>34</v>
      </c>
      <c r="B10" t="s">
        <v>124</v>
      </c>
      <c r="C10" t="s">
        <v>122</v>
      </c>
      <c r="D10" t="s">
        <v>123</v>
      </c>
      <c r="E10" t="s">
        <v>122</v>
      </c>
      <c r="F10" t="s">
        <v>119</v>
      </c>
      <c r="G10" t="s">
        <v>120</v>
      </c>
      <c r="I10">
        <f>_xlfn.XLOOKUP(A10,$A$2:$A$21,$C$26:$C$45)</f>
        <v>653.842105263158</v>
      </c>
      <c r="J10" t="str">
        <f t="shared" ref="J10:O10" si="8">IF(AND(B10&lt;&gt;"",C10&lt;&gt;"",B10&lt;&gt;C10),B10&amp;"-&gt;"&amp;C10,"")</f>
        <v>F-&gt;G</v>
      </c>
      <c r="K10" s="3" t="str">
        <f t="shared" si="8"/>
        <v>G-&gt;E</v>
      </c>
      <c r="L10" s="3" t="str">
        <f t="shared" si="8"/>
        <v>E-&gt;G</v>
      </c>
      <c r="M10" s="3" t="str">
        <f t="shared" si="8"/>
        <v>G-&gt;I</v>
      </c>
      <c r="N10" s="3" t="str">
        <f t="shared" si="8"/>
        <v>I-&gt;J</v>
      </c>
      <c r="O10" s="3" t="str">
        <f t="shared" si="8"/>
        <v/>
      </c>
      <c r="P10" s="4" t="s">
        <v>118</v>
      </c>
      <c r="Q10" s="4" t="s">
        <v>122</v>
      </c>
      <c r="R10" s="3">
        <f>SUMPRODUCT($I$2:$I$21*(($J$2:$J$21=$P10&amp;"-&gt;"&amp;$Q10)+($K$2:$K$21=$P10&amp;"-&gt;"&amp;$Q10)+($L$2:$L$21=$P10&amp;"-&gt;"&amp;$Q10)+($M$2:$M$21=$P10&amp;"-&gt;"&amp;$Q10)+($N$2:$N$21=$P10&amp;"-&gt;"&amp;$Q10)+($O$2:$O$21=$P10&amp;"-&gt;"&amp;$Q10)))</f>
        <v>822.126315789474</v>
      </c>
      <c r="S10" s="3">
        <f>SUMPRODUCT($D$26:$D$45*(($J$2:$J$21=$P10&amp;"-&gt;"&amp;$Q10)+($K$2:$K$21=$P10&amp;"-&gt;"&amp;$Q10)+($L$2:$L$21=$P10&amp;"-&gt;"&amp;$Q10)+($M$2:$M$21=$P10&amp;"-&gt;"&amp;$Q10)+($N$2:$N$21=$P10&amp;"-&gt;"&amp;$Q10)+($O$2:$O$21=$P10&amp;"-&gt;"&amp;$Q10)))</f>
        <v>10.2765789473684</v>
      </c>
    </row>
    <row r="11" ht="18" spans="1:19">
      <c r="A11" t="s">
        <v>36</v>
      </c>
      <c r="B11" t="s">
        <v>123</v>
      </c>
      <c r="C11" t="s">
        <v>124</v>
      </c>
      <c r="D11" t="s">
        <v>119</v>
      </c>
      <c r="E11" t="s">
        <v>120</v>
      </c>
      <c r="I11">
        <f>_xlfn.XLOOKUP(A11,$A$2:$A$21,$C$26:$C$45)</f>
        <v>436.859210526316</v>
      </c>
      <c r="J11" t="str">
        <f t="shared" ref="J11:O11" si="9">IF(AND(B11&lt;&gt;"",C11&lt;&gt;"",B11&lt;&gt;C11),B11&amp;"-&gt;"&amp;C11,"")</f>
        <v>E-&gt;F</v>
      </c>
      <c r="K11" s="3" t="str">
        <f t="shared" si="9"/>
        <v>F-&gt;I</v>
      </c>
      <c r="L11" s="3" t="str">
        <f t="shared" si="9"/>
        <v>I-&gt;J</v>
      </c>
      <c r="M11" s="3" t="str">
        <f t="shared" si="9"/>
        <v/>
      </c>
      <c r="N11" s="3" t="str">
        <f t="shared" si="9"/>
        <v/>
      </c>
      <c r="O11" s="3" t="str">
        <f t="shared" si="9"/>
        <v/>
      </c>
      <c r="P11" s="4" t="s">
        <v>118</v>
      </c>
      <c r="Q11" s="4" t="s">
        <v>121</v>
      </c>
      <c r="R11" s="3">
        <f>SUMPRODUCT($I$2:$I$21*(($J$2:$J$21=$P11&amp;"-&gt;"&amp;$Q11)+($K$2:$K$21=$P11&amp;"-&gt;"&amp;$Q11)+($L$2:$L$21=$P11&amp;"-&gt;"&amp;$Q11)+($M$2:$M$21=$P11&amp;"-&gt;"&amp;$Q11)+($N$2:$N$21=$P11&amp;"-&gt;"&amp;$Q11)+($O$2:$O$21=$P11&amp;"-&gt;"&amp;$Q11)))</f>
        <v>1440.43815789474</v>
      </c>
      <c r="S11" s="3">
        <f>SUMPRODUCT($D$26:$D$45*(($J$2:$J$21=$P11&amp;"-&gt;"&amp;$Q11)+($K$2:$K$21=$P11&amp;"-&gt;"&amp;$Q11)+($L$2:$L$21=$P11&amp;"-&gt;"&amp;$Q11)+($M$2:$M$21=$P11&amp;"-&gt;"&amp;$Q11)+($N$2:$N$21=$P11&amp;"-&gt;"&amp;$Q11)+($O$2:$O$21=$P11&amp;"-&gt;"&amp;$Q11)))</f>
        <v>18.0054769736842</v>
      </c>
    </row>
    <row r="12" ht="18" spans="1:19">
      <c r="A12" t="s">
        <v>37</v>
      </c>
      <c r="B12" t="s">
        <v>123</v>
      </c>
      <c r="C12" t="s">
        <v>122</v>
      </c>
      <c r="D12" t="s">
        <v>123</v>
      </c>
      <c r="E12" t="s">
        <v>122</v>
      </c>
      <c r="F12" t="s">
        <v>119</v>
      </c>
      <c r="I12">
        <f>_xlfn.XLOOKUP(A12,$A$2:$A$21,$C$26:$C$45)</f>
        <v>870.781578947368</v>
      </c>
      <c r="J12" t="str">
        <f t="shared" ref="J12:O12" si="10">IF(AND(B12&lt;&gt;"",C12&lt;&gt;"",B12&lt;&gt;C12),B12&amp;"-&gt;"&amp;C12,"")</f>
        <v>E-&gt;G</v>
      </c>
      <c r="K12" s="3" t="str">
        <f t="shared" si="10"/>
        <v>G-&gt;E</v>
      </c>
      <c r="L12" s="3" t="str">
        <f t="shared" si="10"/>
        <v>E-&gt;G</v>
      </c>
      <c r="M12" s="3" t="str">
        <f t="shared" si="10"/>
        <v>G-&gt;I</v>
      </c>
      <c r="N12" s="3" t="str">
        <f t="shared" si="10"/>
        <v/>
      </c>
      <c r="O12" s="3" t="str">
        <f t="shared" si="10"/>
        <v/>
      </c>
      <c r="P12" s="4" t="s">
        <v>118</v>
      </c>
      <c r="Q12" s="4" t="s">
        <v>119</v>
      </c>
      <c r="R12" s="3">
        <f>SUMPRODUCT($I$2:$I$21*(($J$2:$J$21=$P12&amp;"-&gt;"&amp;$Q12)+($K$2:$K$21=$P12&amp;"-&gt;"&amp;$Q12)+($L$2:$L$21=$P12&amp;"-&gt;"&amp;$Q12)+($M$2:$M$21=$P12&amp;"-&gt;"&amp;$Q12)+($N$2:$N$21=$P12&amp;"-&gt;"&amp;$Q12)+($O$2:$O$21=$P12&amp;"-&gt;"&amp;$Q12)))</f>
        <v>3527.28552631579</v>
      </c>
      <c r="S12" s="3">
        <f>SUMPRODUCT($D$26:$D$45*(($J$2:$J$21=$P12&amp;"-&gt;"&amp;$Q12)+($K$2:$K$21=$P12&amp;"-&gt;"&amp;$Q12)+($L$2:$L$21=$P12&amp;"-&gt;"&amp;$Q12)+($M$2:$M$21=$P12&amp;"-&gt;"&amp;$Q12)+($N$2:$N$21=$P12&amp;"-&gt;"&amp;$Q12)+($O$2:$O$21=$P12&amp;"-&gt;"&amp;$Q12)))</f>
        <v>44.0910690789474</v>
      </c>
    </row>
    <row r="13" ht="18" spans="1:19">
      <c r="A13" t="s">
        <v>38</v>
      </c>
      <c r="B13" t="s">
        <v>123</v>
      </c>
      <c r="C13" t="s">
        <v>122</v>
      </c>
      <c r="D13" t="s">
        <v>124</v>
      </c>
      <c r="E13" t="s">
        <v>119</v>
      </c>
      <c r="F13" t="s">
        <v>120</v>
      </c>
      <c r="I13">
        <f>_xlfn.XLOOKUP(A13,$A$2:$A$21,$C$26:$C$45)</f>
        <v>1002.11052631579</v>
      </c>
      <c r="J13" t="str">
        <f t="shared" ref="J13:O13" si="11">IF(AND(B13&lt;&gt;"",C13&lt;&gt;"",B13&lt;&gt;C13),B13&amp;"-&gt;"&amp;C13,"")</f>
        <v>E-&gt;G</v>
      </c>
      <c r="K13" s="3" t="str">
        <f t="shared" si="11"/>
        <v>G-&gt;F</v>
      </c>
      <c r="L13" s="3" t="str">
        <f t="shared" si="11"/>
        <v>F-&gt;I</v>
      </c>
      <c r="M13" s="3" t="str">
        <f t="shared" si="11"/>
        <v>I-&gt;J</v>
      </c>
      <c r="N13" s="3" t="str">
        <f t="shared" si="11"/>
        <v/>
      </c>
      <c r="O13" s="3" t="str">
        <f t="shared" si="11"/>
        <v/>
      </c>
      <c r="P13" s="4" t="s">
        <v>123</v>
      </c>
      <c r="Q13" s="4" t="s">
        <v>124</v>
      </c>
      <c r="R13" s="3">
        <f>SUMPRODUCT($I$2:$I$21*(($J$2:$J$21=$P13&amp;"-&gt;"&amp;$Q13)+($K$2:$K$21=$P13&amp;"-&gt;"&amp;$Q13)+($L$2:$L$21=$P13&amp;"-&gt;"&amp;$Q13)+($M$2:$M$21=$P13&amp;"-&gt;"&amp;$Q13)+($N$2:$N$21=$P13&amp;"-&gt;"&amp;$Q13)+($O$2:$O$21=$P13&amp;"-&gt;"&amp;$Q13)))</f>
        <v>3427.37763157895</v>
      </c>
      <c r="S13" s="3">
        <f>SUMPRODUCT($D$26:$D$45*(($J$2:$J$21=$P13&amp;"-&gt;"&amp;$Q13)+($K$2:$K$21=$P13&amp;"-&gt;"&amp;$Q13)+($L$2:$L$21=$P13&amp;"-&gt;"&amp;$Q13)+($M$2:$M$21=$P13&amp;"-&gt;"&amp;$Q13)+($N$2:$N$21=$P13&amp;"-&gt;"&amp;$Q13)+($O$2:$O$21=$P13&amp;"-&gt;"&amp;$Q13)))</f>
        <v>42.8422203947368</v>
      </c>
    </row>
    <row r="14" ht="18" spans="1:19">
      <c r="A14" t="s">
        <v>39</v>
      </c>
      <c r="B14" t="s">
        <v>123</v>
      </c>
      <c r="C14" t="s">
        <v>124</v>
      </c>
      <c r="D14" t="s">
        <v>122</v>
      </c>
      <c r="E14" t="s">
        <v>124</v>
      </c>
      <c r="F14" t="s">
        <v>122</v>
      </c>
      <c r="G14" t="s">
        <v>121</v>
      </c>
      <c r="H14" t="s">
        <v>119</v>
      </c>
      <c r="I14">
        <f>_xlfn.XLOOKUP(A14,$A$2:$A$21,$C$26:$C$45)</f>
        <v>501.055263157895</v>
      </c>
      <c r="J14" t="str">
        <f t="shared" ref="J14:O14" si="12">IF(AND(B14&lt;&gt;"",C14&lt;&gt;"",B14&lt;&gt;C14),B14&amp;"-&gt;"&amp;C14,"")</f>
        <v>E-&gt;F</v>
      </c>
      <c r="K14" s="3" t="str">
        <f t="shared" si="12"/>
        <v>F-&gt;G</v>
      </c>
      <c r="L14" s="3" t="str">
        <f t="shared" si="12"/>
        <v>G-&gt;F</v>
      </c>
      <c r="M14" s="3" t="str">
        <f t="shared" si="12"/>
        <v>F-&gt;G</v>
      </c>
      <c r="N14" s="3" t="str">
        <f t="shared" si="12"/>
        <v>G-&gt;H</v>
      </c>
      <c r="O14" s="3" t="str">
        <f t="shared" si="12"/>
        <v>H-&gt;I</v>
      </c>
      <c r="P14" s="4" t="s">
        <v>123</v>
      </c>
      <c r="Q14" s="4" t="s">
        <v>122</v>
      </c>
      <c r="R14" s="3">
        <f>SUMPRODUCT($I$2:$I$21*(($J$2:$J$21=$P14&amp;"-&gt;"&amp;$Q14)+($K$2:$K$21=$P14&amp;"-&gt;"&amp;$Q14)+($L$2:$L$21=$P14&amp;"-&gt;"&amp;$Q14)+($M$2:$M$21=$P14&amp;"-&gt;"&amp;$Q14)+($N$2:$N$21=$P14&amp;"-&gt;"&amp;$Q14)+($O$2:$O$21=$P14&amp;"-&gt;"&amp;$Q14)))</f>
        <v>3645.53684210526</v>
      </c>
      <c r="S14" s="3">
        <f>SUMPRODUCT($D$26:$D$45*(($J$2:$J$21=$P14&amp;"-&gt;"&amp;$Q14)+($K$2:$K$21=$P14&amp;"-&gt;"&amp;$Q14)+($L$2:$L$21=$P14&amp;"-&gt;"&amp;$Q14)+($M$2:$M$21=$P14&amp;"-&gt;"&amp;$Q14)+($N$2:$N$21=$P14&amp;"-&gt;"&amp;$Q14)+($O$2:$O$21=$P14&amp;"-&gt;"&amp;$Q14)))</f>
        <v>45.5692105263158</v>
      </c>
    </row>
    <row r="15" ht="18" spans="1:19">
      <c r="A15" t="s">
        <v>42</v>
      </c>
      <c r="B15" t="s">
        <v>123</v>
      </c>
      <c r="C15" t="s">
        <v>124</v>
      </c>
      <c r="D15" t="s">
        <v>122</v>
      </c>
      <c r="E15" t="s">
        <v>121</v>
      </c>
      <c r="I15">
        <f>_xlfn.XLOOKUP(A15,$A$2:$A$21,$C$26:$C$45)</f>
        <v>1431.06315789474</v>
      </c>
      <c r="J15" t="str">
        <f t="shared" ref="J15:O15" si="13">IF(AND(B15&lt;&gt;"",C15&lt;&gt;"",B15&lt;&gt;C15),B15&amp;"-&gt;"&amp;C15,"")</f>
        <v>E-&gt;F</v>
      </c>
      <c r="K15" s="3" t="str">
        <f t="shared" si="13"/>
        <v>F-&gt;G</v>
      </c>
      <c r="L15" s="3" t="str">
        <f t="shared" si="13"/>
        <v>G-&gt;H</v>
      </c>
      <c r="M15" s="3" t="str">
        <f t="shared" si="13"/>
        <v/>
      </c>
      <c r="N15" s="3" t="str">
        <f t="shared" si="13"/>
        <v/>
      </c>
      <c r="O15" s="3" t="str">
        <f t="shared" si="13"/>
        <v/>
      </c>
      <c r="P15" s="4" t="s">
        <v>123</v>
      </c>
      <c r="Q15" s="4" t="s">
        <v>121</v>
      </c>
      <c r="R15" s="3">
        <f>SUMPRODUCT($I$2:$I$21*(($J$2:$J$21=$P15&amp;"-&gt;"&amp;$Q15)+($K$2:$K$21=$P15&amp;"-&gt;"&amp;$Q15)+($L$2:$L$21=$P15&amp;"-&gt;"&amp;$Q15)+($M$2:$M$21=$P15&amp;"-&gt;"&amp;$Q15)+($N$2:$N$21=$P15&amp;"-&gt;"&amp;$Q15)+($O$2:$O$21=$P15&amp;"-&gt;"&amp;$Q15)))</f>
        <v>496.042105263158</v>
      </c>
      <c r="S15" s="3">
        <f>SUMPRODUCT($D$26:$D$45*(($J$2:$J$21=$P15&amp;"-&gt;"&amp;$Q15)+($K$2:$K$21=$P15&amp;"-&gt;"&amp;$Q15)+($L$2:$L$21=$P15&amp;"-&gt;"&amp;$Q15)+($M$2:$M$21=$P15&amp;"-&gt;"&amp;$Q15)+($N$2:$N$21=$P15&amp;"-&gt;"&amp;$Q15)+($O$2:$O$21=$P15&amp;"-&gt;"&amp;$Q15)))</f>
        <v>6.20052631578947</v>
      </c>
    </row>
    <row r="16" ht="18" spans="1:19">
      <c r="A16" t="s">
        <v>43</v>
      </c>
      <c r="B16" t="s">
        <v>123</v>
      </c>
      <c r="C16" t="s">
        <v>122</v>
      </c>
      <c r="D16" t="s">
        <v>124</v>
      </c>
      <c r="E16" t="s">
        <v>121</v>
      </c>
      <c r="F16" t="s">
        <v>120</v>
      </c>
      <c r="I16">
        <f>_xlfn.XLOOKUP(A16,$A$2:$A$21,$C$26:$C$45)</f>
        <v>248.021052631579</v>
      </c>
      <c r="J16" t="str">
        <f t="shared" ref="J16:O16" si="14">IF(AND(B16&lt;&gt;"",C16&lt;&gt;"",B16&lt;&gt;C16),B16&amp;"-&gt;"&amp;C16,"")</f>
        <v>E-&gt;G</v>
      </c>
      <c r="K16" s="3" t="str">
        <f t="shared" si="14"/>
        <v>G-&gt;F</v>
      </c>
      <c r="L16" s="3" t="str">
        <f t="shared" si="14"/>
        <v>F-&gt;H</v>
      </c>
      <c r="M16" s="3" t="str">
        <f t="shared" si="14"/>
        <v>H-&gt;J</v>
      </c>
      <c r="N16" s="3" t="str">
        <f t="shared" si="14"/>
        <v/>
      </c>
      <c r="O16" s="3" t="str">
        <f t="shared" si="14"/>
        <v/>
      </c>
      <c r="P16" s="4" t="s">
        <v>124</v>
      </c>
      <c r="Q16" s="4" t="s">
        <v>117</v>
      </c>
      <c r="R16" s="3">
        <f>SUMPRODUCT($I$2:$I$21*(($J$2:$J$21=$P16&amp;"-&gt;"&amp;$Q16)+($K$2:$K$21=$P16&amp;"-&gt;"&amp;$Q16)+($L$2:$L$21=$P16&amp;"-&gt;"&amp;$Q16)+($M$2:$M$21=$P16&amp;"-&gt;"&amp;$Q16)+($N$2:$N$21=$P16&amp;"-&gt;"&amp;$Q16)+($O$2:$O$21=$P16&amp;"-&gt;"&amp;$Q16)))</f>
        <v>1058.4</v>
      </c>
      <c r="S16" s="3">
        <f>SUMPRODUCT($D$26:$D$45*(($J$2:$J$21=$P16&amp;"-&gt;"&amp;$Q16)+($K$2:$K$21=$P16&amp;"-&gt;"&amp;$Q16)+($L$2:$L$21=$P16&amp;"-&gt;"&amp;$Q16)+($M$2:$M$21=$P16&amp;"-&gt;"&amp;$Q16)+($N$2:$N$21=$P16&amp;"-&gt;"&amp;$Q16)+($O$2:$O$21=$P16&amp;"-&gt;"&amp;$Q16)))</f>
        <v>13.23</v>
      </c>
    </row>
    <row r="17" ht="18" spans="1:19">
      <c r="A17" t="s">
        <v>44</v>
      </c>
      <c r="B17" t="s">
        <v>124</v>
      </c>
      <c r="C17" t="s">
        <v>121</v>
      </c>
      <c r="D17" t="s">
        <v>119</v>
      </c>
      <c r="E17" t="s">
        <v>120</v>
      </c>
      <c r="I17">
        <f>_xlfn.XLOOKUP(A17,$A$2:$A$21,$C$26:$C$45)</f>
        <v>1068.47368421053</v>
      </c>
      <c r="J17" t="str">
        <f t="shared" ref="J17:O17" si="15">IF(AND(B17&lt;&gt;"",C17&lt;&gt;"",B17&lt;&gt;C17),B17&amp;"-&gt;"&amp;C17,"")</f>
        <v>F-&gt;H</v>
      </c>
      <c r="K17" s="3" t="str">
        <f t="shared" si="15"/>
        <v>H-&gt;I</v>
      </c>
      <c r="L17" s="3" t="str">
        <f t="shared" si="15"/>
        <v>I-&gt;J</v>
      </c>
      <c r="M17" s="3" t="str">
        <f t="shared" si="15"/>
        <v/>
      </c>
      <c r="N17" s="3" t="str">
        <f t="shared" si="15"/>
        <v/>
      </c>
      <c r="O17" s="3" t="str">
        <f t="shared" si="15"/>
        <v/>
      </c>
      <c r="P17" s="4" t="s">
        <v>124</v>
      </c>
      <c r="Q17" s="4" t="s">
        <v>122</v>
      </c>
      <c r="R17" s="3">
        <f>SUMPRODUCT($I$2:$I$21*(($J$2:$J$21=$P17&amp;"-&gt;"&amp;$Q17)+($K$2:$K$21=$P17&amp;"-&gt;"&amp;$Q17)+($L$2:$L$21=$P17&amp;"-&gt;"&amp;$Q17)+($M$2:$M$21=$P17&amp;"-&gt;"&amp;$Q17)+($N$2:$N$21=$P17&amp;"-&gt;"&amp;$Q17)+($O$2:$O$21=$P17&amp;"-&gt;"&amp;$Q17)))</f>
        <v>3087.01578947368</v>
      </c>
      <c r="S17" s="3">
        <f>SUMPRODUCT($D$26:$D$45*(($J$2:$J$21=$P17&amp;"-&gt;"&amp;$Q17)+($K$2:$K$21=$P17&amp;"-&gt;"&amp;$Q17)+($L$2:$L$21=$P17&amp;"-&gt;"&amp;$Q17)+($M$2:$M$21=$P17&amp;"-&gt;"&amp;$Q17)+($N$2:$N$21=$P17&amp;"-&gt;"&amp;$Q17)+($O$2:$O$21=$P17&amp;"-&gt;"&amp;$Q17)))</f>
        <v>38.5876973684211</v>
      </c>
    </row>
    <row r="18" ht="18" spans="1:19">
      <c r="A18" t="s">
        <v>45</v>
      </c>
      <c r="B18" t="s">
        <v>125</v>
      </c>
      <c r="C18" t="s">
        <v>126</v>
      </c>
      <c r="D18" t="s">
        <v>127</v>
      </c>
      <c r="I18">
        <f>_xlfn.XLOOKUP(A18,$A$2:$A$21,$C$26:$C$45)</f>
        <v>501.055263157895</v>
      </c>
      <c r="J18" t="str">
        <f t="shared" ref="J18:O18" si="16">IF(AND(B18&lt;&gt;"",C18&lt;&gt;"",B18&lt;&gt;C18),B18&amp;"-&gt;"&amp;C18,"")</f>
        <v>K-&gt;L</v>
      </c>
      <c r="K18" s="3" t="str">
        <f t="shared" si="16"/>
        <v>L-&gt;M</v>
      </c>
      <c r="L18" s="3" t="str">
        <f t="shared" si="16"/>
        <v/>
      </c>
      <c r="M18" s="3" t="str">
        <f t="shared" si="16"/>
        <v/>
      </c>
      <c r="N18" s="3" t="str">
        <f t="shared" si="16"/>
        <v/>
      </c>
      <c r="O18" s="3" t="str">
        <f t="shared" si="16"/>
        <v/>
      </c>
      <c r="P18" s="4" t="s">
        <v>124</v>
      </c>
      <c r="Q18" s="4" t="s">
        <v>121</v>
      </c>
      <c r="R18" s="3">
        <f>SUMPRODUCT($I$2:$I$21*(($J$2:$J$21=$P18&amp;"-&gt;"&amp;$Q18)+($K$2:$K$21=$P18&amp;"-&gt;"&amp;$Q18)+($L$2:$L$21=$P18&amp;"-&gt;"&amp;$Q18)+($M$2:$M$21=$P18&amp;"-&gt;"&amp;$Q18)+($N$2:$N$21=$P18&amp;"-&gt;"&amp;$Q18)+($O$2:$O$21=$P18&amp;"-&gt;"&amp;$Q18)))</f>
        <v>1316.49473684211</v>
      </c>
      <c r="S18" s="3">
        <f>SUMPRODUCT($D$26:$D$45*(($J$2:$J$21=$P18&amp;"-&gt;"&amp;$Q18)+($K$2:$K$21=$P18&amp;"-&gt;"&amp;$Q18)+($L$2:$L$21=$P18&amp;"-&gt;"&amp;$Q18)+($M$2:$M$21=$P18&amp;"-&gt;"&amp;$Q18)+($N$2:$N$21=$P18&amp;"-&gt;"&amp;$Q18)+($O$2:$O$21=$P18&amp;"-&gt;"&amp;$Q18)))</f>
        <v>16.4561842105263</v>
      </c>
    </row>
    <row r="19" ht="18" spans="1:19">
      <c r="A19" t="s">
        <v>46</v>
      </c>
      <c r="B19" t="s">
        <v>125</v>
      </c>
      <c r="C19" t="s">
        <v>126</v>
      </c>
      <c r="D19" t="s">
        <v>125</v>
      </c>
      <c r="E19" t="s">
        <v>127</v>
      </c>
      <c r="I19">
        <f>_xlfn.XLOOKUP(A19,$A$2:$A$21,$C$26:$C$45)</f>
        <v>1081.84736842105</v>
      </c>
      <c r="J19" t="str">
        <f t="shared" ref="J19:O19" si="17">IF(AND(B19&lt;&gt;"",C19&lt;&gt;"",B19&lt;&gt;C19),B19&amp;"-&gt;"&amp;C19,"")</f>
        <v>K-&gt;L</v>
      </c>
      <c r="K19" s="3" t="str">
        <f t="shared" si="17"/>
        <v>L-&gt;K</v>
      </c>
      <c r="L19" s="3" t="str">
        <f t="shared" si="17"/>
        <v>K-&gt;M</v>
      </c>
      <c r="M19" s="3" t="str">
        <f t="shared" si="17"/>
        <v/>
      </c>
      <c r="N19" s="3" t="str">
        <f t="shared" si="17"/>
        <v/>
      </c>
      <c r="O19" s="3" t="str">
        <f t="shared" si="17"/>
        <v/>
      </c>
      <c r="P19" s="4" t="s">
        <v>124</v>
      </c>
      <c r="Q19" s="4" t="s">
        <v>119</v>
      </c>
      <c r="R19" s="3">
        <f>SUMPRODUCT($I$2:$I$21*(($J$2:$J$21=$P19&amp;"-&gt;"&amp;$Q19)+($K$2:$K$21=$P19&amp;"-&gt;"&amp;$Q19)+($L$2:$L$21=$P19&amp;"-&gt;"&amp;$Q19)+($M$2:$M$21=$P19&amp;"-&gt;"&amp;$Q19)+($N$2:$N$21=$P19&amp;"-&gt;"&amp;$Q19)+($O$2:$O$21=$P19&amp;"-&gt;"&amp;$Q19)))</f>
        <v>1438.96973684211</v>
      </c>
      <c r="S19" s="3">
        <f>SUMPRODUCT($D$26:$D$45*(($J$2:$J$21=$P19&amp;"-&gt;"&amp;$Q19)+($K$2:$K$21=$P19&amp;"-&gt;"&amp;$Q19)+($L$2:$L$21=$P19&amp;"-&gt;"&amp;$Q19)+($M$2:$M$21=$P19&amp;"-&gt;"&amp;$Q19)+($N$2:$N$21=$P19&amp;"-&gt;"&amp;$Q19)+($O$2:$O$21=$P19&amp;"-&gt;"&amp;$Q19)))</f>
        <v>17.9871217105263</v>
      </c>
    </row>
    <row r="20" ht="18" spans="1:19">
      <c r="A20" t="s">
        <v>47</v>
      </c>
      <c r="B20" t="s">
        <v>126</v>
      </c>
      <c r="C20" t="s">
        <v>127</v>
      </c>
      <c r="D20" t="s">
        <v>126</v>
      </c>
      <c r="E20" t="s">
        <v>127</v>
      </c>
      <c r="I20">
        <f>_xlfn.XLOOKUP(A20,$A$2:$A$21,$C$26:$C$45)</f>
        <v>1829.11578947368</v>
      </c>
      <c r="J20" t="str">
        <f t="shared" ref="J20:O20" si="18">IF(AND(B20&lt;&gt;"",C20&lt;&gt;"",B20&lt;&gt;C20),B20&amp;"-&gt;"&amp;C20,"")</f>
        <v>L-&gt;M</v>
      </c>
      <c r="K20" s="3" t="str">
        <f t="shared" si="18"/>
        <v>M-&gt;L</v>
      </c>
      <c r="L20" s="3" t="str">
        <f t="shared" si="18"/>
        <v>L-&gt;M</v>
      </c>
      <c r="M20" s="3" t="str">
        <f t="shared" si="18"/>
        <v/>
      </c>
      <c r="N20" s="3" t="str">
        <f t="shared" si="18"/>
        <v/>
      </c>
      <c r="O20" s="3" t="str">
        <f t="shared" si="18"/>
        <v/>
      </c>
      <c r="P20" s="4" t="s">
        <v>122</v>
      </c>
      <c r="Q20" s="4" t="s">
        <v>123</v>
      </c>
      <c r="R20" s="3">
        <f>SUMPRODUCT($I$2:$I$21*(($J$2:$J$21=$P20&amp;"-&gt;"&amp;$Q20)+($K$2:$K$21=$P20&amp;"-&gt;"&amp;$Q20)+($L$2:$L$21=$P20&amp;"-&gt;"&amp;$Q20)+($M$2:$M$21=$P20&amp;"-&gt;"&amp;$Q20)+($N$2:$N$21=$P20&amp;"-&gt;"&amp;$Q20)+($O$2:$O$21=$P20&amp;"-&gt;"&amp;$Q20)))</f>
        <v>1524.62368421053</v>
      </c>
      <c r="S20" s="3">
        <f>SUMPRODUCT($D$26:$D$45*(($J$2:$J$21=$P20&amp;"-&gt;"&amp;$Q20)+($K$2:$K$21=$P20&amp;"-&gt;"&amp;$Q20)+($L$2:$L$21=$P20&amp;"-&gt;"&amp;$Q20)+($M$2:$M$21=$P20&amp;"-&gt;"&amp;$Q20)+($N$2:$N$21=$P20&amp;"-&gt;"&amp;$Q20)+($O$2:$O$21=$P20&amp;"-&gt;"&amp;$Q20)))</f>
        <v>19.0577960526316</v>
      </c>
    </row>
    <row r="21" ht="18" spans="1:19">
      <c r="A21" t="s">
        <v>48</v>
      </c>
      <c r="B21" t="s">
        <v>126</v>
      </c>
      <c r="C21" t="s">
        <v>125</v>
      </c>
      <c r="D21" t="s">
        <v>127</v>
      </c>
      <c r="I21">
        <f>_xlfn.XLOOKUP(A21,$A$2:$A$21,$C$26:$C$45)</f>
        <v>1273.05789473684</v>
      </c>
      <c r="J21" t="str">
        <f t="shared" ref="J21:O21" si="19">IF(AND(B21&lt;&gt;"",C21&lt;&gt;"",B21&lt;&gt;C21),B21&amp;"-&gt;"&amp;C21,"")</f>
        <v>L-&gt;K</v>
      </c>
      <c r="K21" s="3" t="str">
        <f t="shared" si="19"/>
        <v>K-&gt;M</v>
      </c>
      <c r="L21" s="3" t="str">
        <f t="shared" si="19"/>
        <v/>
      </c>
      <c r="M21" s="3" t="str">
        <f t="shared" si="19"/>
        <v/>
      </c>
      <c r="N21" s="3" t="str">
        <f t="shared" si="19"/>
        <v/>
      </c>
      <c r="O21" s="3" t="str">
        <f t="shared" si="19"/>
        <v/>
      </c>
      <c r="P21" s="4" t="s">
        <v>122</v>
      </c>
      <c r="Q21" s="4" t="s">
        <v>124</v>
      </c>
      <c r="R21" s="3">
        <f>SUMPRODUCT($I$2:$I$21*(($J$2:$J$21=$P21&amp;"-&gt;"&amp;$Q21)+($K$2:$K$21=$P21&amp;"-&gt;"&amp;$Q21)+($L$2:$L$21=$P21&amp;"-&gt;"&amp;$Q21)+($M$2:$M$21=$P21&amp;"-&gt;"&amp;$Q21)+($N$2:$N$21=$P21&amp;"-&gt;"&amp;$Q21)+($O$2:$O$21=$P21&amp;"-&gt;"&amp;$Q21)))</f>
        <v>1751.18684210526</v>
      </c>
      <c r="S21" s="3">
        <f>SUMPRODUCT($D$26:$D$45*(($J$2:$J$21=$P21&amp;"-&gt;"&amp;$Q21)+($K$2:$K$21=$P21&amp;"-&gt;"&amp;$Q21)+($L$2:$L$21=$P21&amp;"-&gt;"&amp;$Q21)+($M$2:$M$21=$P21&amp;"-&gt;"&amp;$Q21)+($N$2:$N$21=$P21&amp;"-&gt;"&amp;$Q21)+($O$2:$O$21=$P21&amp;"-&gt;"&amp;$Q21)))</f>
        <v>21.8898355263158</v>
      </c>
    </row>
    <row r="22" spans="16:19">
      <c r="P22" s="4" t="s">
        <v>122</v>
      </c>
      <c r="Q22" s="4" t="s">
        <v>121</v>
      </c>
      <c r="R22" s="3">
        <f>SUMPRODUCT($I$2:$I$21*(($J$2:$J$21=$P22&amp;"-&gt;"&amp;$Q22)+($K$2:$K$21=$P22&amp;"-&gt;"&amp;$Q22)+($L$2:$L$21=$P22&amp;"-&gt;"&amp;$Q22)+($M$2:$M$21=$P22&amp;"-&gt;"&amp;$Q22)+($N$2:$N$21=$P22&amp;"-&gt;"&amp;$Q22)+($O$2:$O$21=$P22&amp;"-&gt;"&amp;$Q22)))</f>
        <v>2754.24473684211</v>
      </c>
      <c r="S22" s="3">
        <f>SUMPRODUCT($D$26:$D$45*(($J$2:$J$21=$P22&amp;"-&gt;"&amp;$Q22)+($K$2:$K$21=$P22&amp;"-&gt;"&amp;$Q22)+($L$2:$L$21=$P22&amp;"-&gt;"&amp;$Q22)+($M$2:$M$21=$P22&amp;"-&gt;"&amp;$Q22)+($N$2:$N$21=$P22&amp;"-&gt;"&amp;$Q22)+($O$2:$O$21=$P22&amp;"-&gt;"&amp;$Q22)))</f>
        <v>34.4280592105263</v>
      </c>
    </row>
    <row r="23" spans="16:19">
      <c r="P23" s="4" t="s">
        <v>122</v>
      </c>
      <c r="Q23" s="4" t="s">
        <v>119</v>
      </c>
      <c r="R23" s="3">
        <f>SUMPRODUCT($I$2:$I$21*(($J$2:$J$21=$P23&amp;"-&gt;"&amp;$Q23)+($K$2:$K$21=$P23&amp;"-&gt;"&amp;$Q23)+($L$2:$L$21=$P23&amp;"-&gt;"&amp;$Q23)+($M$2:$M$21=$P23&amp;"-&gt;"&amp;$Q23)+($N$2:$N$21=$P23&amp;"-&gt;"&amp;$Q23)+($O$2:$O$21=$P23&amp;"-&gt;"&amp;$Q23)))</f>
        <v>1524.62368421053</v>
      </c>
      <c r="S23" s="3">
        <f>SUMPRODUCT($D$26:$D$45*(($J$2:$J$21=$P23&amp;"-&gt;"&amp;$Q23)+($K$2:$K$21=$P23&amp;"-&gt;"&amp;$Q23)+($L$2:$L$21=$P23&amp;"-&gt;"&amp;$Q23)+($M$2:$M$21=$P23&amp;"-&gt;"&amp;$Q23)+($N$2:$N$21=$P23&amp;"-&gt;"&amp;$Q23)+($O$2:$O$21=$P23&amp;"-&gt;"&amp;$Q23)))</f>
        <v>19.0577960526316</v>
      </c>
    </row>
    <row r="24" spans="16:19">
      <c r="P24" s="4" t="s">
        <v>121</v>
      </c>
      <c r="Q24" s="4" t="s">
        <v>119</v>
      </c>
      <c r="R24" s="3">
        <f>SUMPRODUCT($I$2:$I$21*(($J$2:$J$21=$P24&amp;"-&gt;"&amp;$Q24)+($K$2:$K$21=$P24&amp;"-&gt;"&amp;$Q24)+($L$2:$L$21=$P24&amp;"-&gt;"&amp;$Q24)+($M$2:$M$21=$P24&amp;"-&gt;"&amp;$Q24)+($N$2:$N$21=$P24&amp;"-&gt;"&amp;$Q24)+($O$2:$O$21=$P24&amp;"-&gt;"&amp;$Q24)))</f>
        <v>2004.91973684211</v>
      </c>
      <c r="S24" s="3">
        <f>SUMPRODUCT($D$26:$D$45*(($J$2:$J$21=$P24&amp;"-&gt;"&amp;$Q24)+($K$2:$K$21=$P24&amp;"-&gt;"&amp;$Q24)+($L$2:$L$21=$P24&amp;"-&gt;"&amp;$Q24)+($M$2:$M$21=$P24&amp;"-&gt;"&amp;$Q24)+($N$2:$N$21=$P24&amp;"-&gt;"&amp;$Q24)+($O$2:$O$21=$P24&amp;"-&gt;"&amp;$Q24)))</f>
        <v>25.0614967105263</v>
      </c>
    </row>
    <row r="25" spans="1:19">
      <c r="A25" s="1" t="s">
        <v>4</v>
      </c>
      <c r="B25" s="1" t="s">
        <v>128</v>
      </c>
      <c r="C25" t="s">
        <v>144</v>
      </c>
      <c r="D25" t="s">
        <v>130</v>
      </c>
      <c r="P25" s="4" t="s">
        <v>121</v>
      </c>
      <c r="Q25" s="4" t="s">
        <v>120</v>
      </c>
      <c r="R25" s="3">
        <f>SUMPRODUCT($I$2:$I$21*(($J$2:$J$21=$P25&amp;"-&gt;"&amp;$Q25)+($K$2:$K$21=$P25&amp;"-&gt;"&amp;$Q25)+($L$2:$L$21=$P25&amp;"-&gt;"&amp;$Q25)+($M$2:$M$21=$P25&amp;"-&gt;"&amp;$Q25)+($N$2:$N$21=$P25&amp;"-&gt;"&amp;$Q25)+($O$2:$O$21=$P25&amp;"-&gt;"&amp;$Q25)))</f>
        <v>1749.11052631579</v>
      </c>
      <c r="S25" s="3">
        <f>SUMPRODUCT($D$26:$D$45*(($J$2:$J$21=$P25&amp;"-&gt;"&amp;$Q25)+($K$2:$K$21=$P25&amp;"-&gt;"&amp;$Q25)+($L$2:$L$21=$P25&amp;"-&gt;"&amp;$Q25)+($M$2:$M$21=$P25&amp;"-&gt;"&amp;$Q25)+($N$2:$N$21=$P25&amp;"-&gt;"&amp;$Q25)+($O$2:$O$21=$P25&amp;"-&gt;"&amp;$Q25)))</f>
        <v>21.8638815789474</v>
      </c>
    </row>
    <row r="26" spans="1:19">
      <c r="A26" s="1" t="s">
        <v>24</v>
      </c>
      <c r="B26" s="1">
        <v>36000.825</v>
      </c>
      <c r="C26">
        <f>B26/19</f>
        <v>1894.78026315789</v>
      </c>
      <c r="D26">
        <f t="shared" ref="D26:D45" si="20">C26/16/5</f>
        <v>23.6847532894737</v>
      </c>
      <c r="P26" s="4" t="s">
        <v>119</v>
      </c>
      <c r="Q26" s="4" t="s">
        <v>120</v>
      </c>
      <c r="R26" s="3">
        <f>SUMPRODUCT($I$2:$I$21*(($J$2:$J$21=$P26&amp;"-&gt;"&amp;$Q26)+($K$2:$K$21=$P26&amp;"-&gt;"&amp;$Q26)+($L$2:$L$21=$P26&amp;"-&gt;"&amp;$Q26)+($M$2:$M$21=$P26&amp;"-&gt;"&amp;$Q26)+($N$2:$N$21=$P26&amp;"-&gt;"&amp;$Q26)+($O$2:$O$21=$P26&amp;"-&gt;"&amp;$Q26)))</f>
        <v>7230.76184210526</v>
      </c>
      <c r="S26" s="3">
        <f>SUMPRODUCT($D$26:$D$45*(($J$2:$J$21=$P26&amp;"-&gt;"&amp;$Q26)+($K$2:$K$21=$P26&amp;"-&gt;"&amp;$Q26)+($L$2:$L$21=$P26&amp;"-&gt;"&amp;$Q26)+($M$2:$M$21=$P26&amp;"-&gt;"&amp;$Q26)+($N$2:$N$21=$P26&amp;"-&gt;"&amp;$Q26)+($O$2:$O$21=$P26&amp;"-&gt;"&amp;$Q26)))</f>
        <v>90.3845230263158</v>
      </c>
    </row>
    <row r="27" spans="1:19">
      <c r="A27" s="1" t="s">
        <v>25</v>
      </c>
      <c r="B27" s="1">
        <v>19095.9</v>
      </c>
      <c r="C27">
        <f t="shared" ref="C27:C45" si="21">B27/19</f>
        <v>1005.04736842105</v>
      </c>
      <c r="D27">
        <f t="shared" si="20"/>
        <v>12.5630921052632</v>
      </c>
      <c r="P27" s="4" t="s">
        <v>125</v>
      </c>
      <c r="Q27" s="4" t="s">
        <v>126</v>
      </c>
      <c r="R27" s="3">
        <f>SUMPRODUCT($I$2:$I$21*(($J$2:$J$21=$P27&amp;"-&gt;"&amp;$Q27)+($K$2:$K$21=$P27&amp;"-&gt;"&amp;$Q27)+($L$2:$L$21=$P27&amp;"-&gt;"&amp;$Q27)+($M$2:$M$21=$P27&amp;"-&gt;"&amp;$Q27)+($N$2:$N$21=$P27&amp;"-&gt;"&amp;$Q27)+($O$2:$O$21=$P27&amp;"-&gt;"&amp;$Q27)))</f>
        <v>1582.90263157895</v>
      </c>
      <c r="S27" s="3">
        <f>SUMPRODUCT($D$26:$D$45*(($J$2:$J$21=$P27&amp;"-&gt;"&amp;$Q27)+($K$2:$K$21=$P27&amp;"-&gt;"&amp;$Q27)+($L$2:$L$21=$P27&amp;"-&gt;"&amp;$Q27)+($M$2:$M$21=$P27&amp;"-&gt;"&amp;$Q27)+($N$2:$N$21=$P27&amp;"-&gt;"&amp;$Q27)+($O$2:$O$21=$P27&amp;"-&gt;"&amp;$Q27)))</f>
        <v>19.7862828947368</v>
      </c>
    </row>
    <row r="28" spans="1:19">
      <c r="A28" s="1" t="s">
        <v>26</v>
      </c>
      <c r="B28" s="1">
        <v>12937.2</v>
      </c>
      <c r="C28">
        <f t="shared" si="21"/>
        <v>680.905263157895</v>
      </c>
      <c r="D28">
        <f t="shared" si="20"/>
        <v>8.51131578947368</v>
      </c>
      <c r="P28" s="4" t="s">
        <v>125</v>
      </c>
      <c r="Q28" s="4" t="s">
        <v>127</v>
      </c>
      <c r="R28" s="3">
        <f>SUMPRODUCT($I$2:$I$21*(($J$2:$J$21=$P28&amp;"-&gt;"&amp;$Q28)+($K$2:$K$21=$P28&amp;"-&gt;"&amp;$Q28)+($L$2:$L$21=$P28&amp;"-&gt;"&amp;$Q28)+($M$2:$M$21=$P28&amp;"-&gt;"&amp;$Q28)+($N$2:$N$21=$P28&amp;"-&gt;"&amp;$Q28)+($O$2:$O$21=$P28&amp;"-&gt;"&amp;$Q28)))</f>
        <v>2354.90526315789</v>
      </c>
      <c r="S28" s="3">
        <f>SUMPRODUCT($D$26:$D$45*(($J$2:$J$21=$P28&amp;"-&gt;"&amp;$Q28)+($K$2:$K$21=$P28&amp;"-&gt;"&amp;$Q28)+($L$2:$L$21=$P28&amp;"-&gt;"&amp;$Q28)+($M$2:$M$21=$P28&amp;"-&gt;"&amp;$Q28)+($N$2:$N$21=$P28&amp;"-&gt;"&amp;$Q28)+($O$2:$O$21=$P28&amp;"-&gt;"&amp;$Q28)))</f>
        <v>29.4363157894737</v>
      </c>
    </row>
    <row r="29" spans="1:19">
      <c r="A29" s="1" t="s">
        <v>27</v>
      </c>
      <c r="B29" s="1">
        <v>15620.4</v>
      </c>
      <c r="C29">
        <f t="shared" si="21"/>
        <v>822.126315789474</v>
      </c>
      <c r="D29">
        <f t="shared" si="20"/>
        <v>10.2765789473684</v>
      </c>
      <c r="P29" s="4" t="s">
        <v>126</v>
      </c>
      <c r="Q29" s="4" t="s">
        <v>125</v>
      </c>
      <c r="R29" s="3">
        <f>SUMPRODUCT($I$2:$I$21*(($J$2:$J$21=$P29&amp;"-&gt;"&amp;$Q29)+($K$2:$K$21=$P29&amp;"-&gt;"&amp;$Q29)+($L$2:$L$21=$P29&amp;"-&gt;"&amp;$Q29)+($M$2:$M$21=$P29&amp;"-&gt;"&amp;$Q29)+($N$2:$N$21=$P29&amp;"-&gt;"&amp;$Q29)+($O$2:$O$21=$P29&amp;"-&gt;"&amp;$Q29)))</f>
        <v>2354.90526315789</v>
      </c>
      <c r="S29" s="3">
        <f>SUMPRODUCT($D$26:$D$45*(($J$2:$J$21=$P29&amp;"-&gt;"&amp;$Q29)+($K$2:$K$21=$P29&amp;"-&gt;"&amp;$Q29)+($L$2:$L$21=$P29&amp;"-&gt;"&amp;$Q29)+($M$2:$M$21=$P29&amp;"-&gt;"&amp;$Q29)+($N$2:$N$21=$P29&amp;"-&gt;"&amp;$Q29)+($O$2:$O$21=$P29&amp;"-&gt;"&amp;$Q29)))</f>
        <v>29.4363157894737</v>
      </c>
    </row>
    <row r="30" spans="1:19">
      <c r="A30" s="1" t="s">
        <v>29</v>
      </c>
      <c r="B30" s="1">
        <v>10908</v>
      </c>
      <c r="C30">
        <f t="shared" si="21"/>
        <v>574.105263157895</v>
      </c>
      <c r="D30">
        <f t="shared" si="20"/>
        <v>7.17631578947368</v>
      </c>
      <c r="P30" s="4" t="s">
        <v>126</v>
      </c>
      <c r="Q30" s="4" t="s">
        <v>127</v>
      </c>
      <c r="R30" s="3">
        <f>SUMPRODUCT($I$2:$I$21*(($J$2:$J$21=$P30&amp;"-&gt;"&amp;$Q30)+($K$2:$K$21=$P30&amp;"-&gt;"&amp;$Q30)+($L$2:$L$21=$P30&amp;"-&gt;"&amp;$Q30)+($M$2:$M$21=$P30&amp;"-&gt;"&amp;$Q30)+($N$2:$N$21=$P30&amp;"-&gt;"&amp;$Q30)+($O$2:$O$21=$P30&amp;"-&gt;"&amp;$Q30)))</f>
        <v>4159.28684210526</v>
      </c>
      <c r="S30" s="3">
        <f>SUMPRODUCT($D$26:$D$45*(($J$2:$J$21=$P30&amp;"-&gt;"&amp;$Q30)+($K$2:$K$21=$P30&amp;"-&gt;"&amp;$Q30)+($L$2:$L$21=$P30&amp;"-&gt;"&amp;$Q30)+($M$2:$M$21=$P30&amp;"-&gt;"&amp;$Q30)+($N$2:$N$21=$P30&amp;"-&gt;"&amp;$Q30)+($O$2:$O$21=$P30&amp;"-&gt;"&amp;$Q30)))</f>
        <v>51.9910855263158</v>
      </c>
    </row>
    <row r="31" spans="1:4">
      <c r="A31" s="1" t="s">
        <v>30</v>
      </c>
      <c r="B31" s="1">
        <v>8272.425</v>
      </c>
      <c r="C31">
        <f t="shared" si="21"/>
        <v>435.390789473684</v>
      </c>
      <c r="D31">
        <f t="shared" si="20"/>
        <v>5.44238486842105</v>
      </c>
    </row>
    <row r="32" spans="1:4">
      <c r="A32" s="1" t="s">
        <v>31</v>
      </c>
      <c r="B32" s="1">
        <v>20109.6</v>
      </c>
      <c r="C32">
        <f t="shared" si="21"/>
        <v>1058.4</v>
      </c>
      <c r="D32">
        <f t="shared" si="20"/>
        <v>13.23</v>
      </c>
    </row>
    <row r="33" spans="1:4">
      <c r="A33" s="1" t="s">
        <v>32</v>
      </c>
      <c r="B33" s="1">
        <v>9424.8</v>
      </c>
      <c r="C33">
        <f t="shared" si="21"/>
        <v>496.042105263158</v>
      </c>
      <c r="D33">
        <f t="shared" si="20"/>
        <v>6.20052631578947</v>
      </c>
    </row>
    <row r="34" spans="1:4">
      <c r="A34" s="1" t="s">
        <v>34</v>
      </c>
      <c r="B34" s="1">
        <v>12423</v>
      </c>
      <c r="C34">
        <f t="shared" si="21"/>
        <v>653.842105263158</v>
      </c>
      <c r="D34">
        <f t="shared" si="20"/>
        <v>8.17302631578947</v>
      </c>
    </row>
    <row r="35" spans="1:4">
      <c r="A35" s="1" t="s">
        <v>36</v>
      </c>
      <c r="B35" s="1">
        <v>8300.325</v>
      </c>
      <c r="C35">
        <f t="shared" si="21"/>
        <v>436.859210526316</v>
      </c>
      <c r="D35">
        <f t="shared" si="20"/>
        <v>5.46074013157895</v>
      </c>
    </row>
    <row r="36" spans="1:4">
      <c r="A36" s="1" t="s">
        <v>37</v>
      </c>
      <c r="B36" s="1">
        <v>16544.85</v>
      </c>
      <c r="C36">
        <f t="shared" si="21"/>
        <v>870.781578947368</v>
      </c>
      <c r="D36">
        <f t="shared" si="20"/>
        <v>10.8847697368421</v>
      </c>
    </row>
    <row r="37" spans="1:4">
      <c r="A37" s="1" t="s">
        <v>38</v>
      </c>
      <c r="B37" s="1">
        <v>19040.1</v>
      </c>
      <c r="C37">
        <f t="shared" si="21"/>
        <v>1002.11052631579</v>
      </c>
      <c r="D37">
        <f t="shared" si="20"/>
        <v>12.5263815789474</v>
      </c>
    </row>
    <row r="38" spans="1:4">
      <c r="A38" s="1" t="s">
        <v>39</v>
      </c>
      <c r="B38" s="1">
        <v>9520.05</v>
      </c>
      <c r="C38">
        <f t="shared" si="21"/>
        <v>501.055263157895</v>
      </c>
      <c r="D38">
        <f t="shared" si="20"/>
        <v>6.26319078947368</v>
      </c>
    </row>
    <row r="39" spans="1:4">
      <c r="A39" s="1" t="s">
        <v>42</v>
      </c>
      <c r="B39" s="1">
        <v>27190.2</v>
      </c>
      <c r="C39">
        <f t="shared" si="21"/>
        <v>1431.06315789474</v>
      </c>
      <c r="D39">
        <f t="shared" si="20"/>
        <v>17.8882894736842</v>
      </c>
    </row>
    <row r="40" spans="1:4">
      <c r="A40" s="1" t="s">
        <v>43</v>
      </c>
      <c r="B40" s="1">
        <v>4712.4</v>
      </c>
      <c r="C40">
        <f t="shared" si="21"/>
        <v>248.021052631579</v>
      </c>
      <c r="D40">
        <f t="shared" si="20"/>
        <v>3.10026315789474</v>
      </c>
    </row>
    <row r="41" spans="1:4">
      <c r="A41" s="1" t="s">
        <v>44</v>
      </c>
      <c r="B41" s="1">
        <v>20301</v>
      </c>
      <c r="C41">
        <f t="shared" si="21"/>
        <v>1068.47368421053</v>
      </c>
      <c r="D41">
        <f t="shared" si="20"/>
        <v>13.3559210526316</v>
      </c>
    </row>
    <row r="42" spans="1:4">
      <c r="A42" s="1" t="s">
        <v>45</v>
      </c>
      <c r="B42" s="1">
        <v>9520.05</v>
      </c>
      <c r="C42">
        <f t="shared" si="21"/>
        <v>501.055263157895</v>
      </c>
      <c r="D42">
        <f t="shared" si="20"/>
        <v>6.26319078947368</v>
      </c>
    </row>
    <row r="43" spans="1:4">
      <c r="A43" s="1" t="s">
        <v>46</v>
      </c>
      <c r="B43" s="1">
        <v>20555.1</v>
      </c>
      <c r="C43">
        <f t="shared" si="21"/>
        <v>1081.84736842105</v>
      </c>
      <c r="D43">
        <f t="shared" si="20"/>
        <v>13.5230921052632</v>
      </c>
    </row>
    <row r="44" spans="1:4">
      <c r="A44" s="1" t="s">
        <v>47</v>
      </c>
      <c r="B44" s="1">
        <v>34753.2</v>
      </c>
      <c r="C44">
        <f t="shared" si="21"/>
        <v>1829.11578947368</v>
      </c>
      <c r="D44">
        <f t="shared" si="20"/>
        <v>22.8639473684211</v>
      </c>
    </row>
    <row r="45" spans="1:4">
      <c r="A45" s="1" t="s">
        <v>48</v>
      </c>
      <c r="B45" s="1">
        <v>24188.1</v>
      </c>
      <c r="C45">
        <f t="shared" si="21"/>
        <v>1273.05789473684</v>
      </c>
      <c r="D45">
        <f t="shared" si="20"/>
        <v>15.9132236842105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7"/>
  <sheetViews>
    <sheetView tabSelected="1" zoomScale="60" zoomScaleNormal="60" topLeftCell="B46" workbookViewId="0">
      <selection activeCell="M67" sqref="M67:Y87"/>
    </sheetView>
  </sheetViews>
  <sheetFormatPr defaultColWidth="8.88888888888889" defaultRowHeight="17.6"/>
  <cols>
    <col min="14" max="21" width="12.5555555555556"/>
    <col min="22" max="22" width="20.4444444444444" customWidth="1"/>
    <col min="23" max="23" width="23.9166666666667" customWidth="1"/>
    <col min="24" max="24" width="12.5555555555556"/>
    <col min="25" max="25" width="35.4861111111111" customWidth="1"/>
  </cols>
  <sheetData>
    <row r="1" spans="1: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8"/>
      <c r="B16" s="10" t="s">
        <v>5</v>
      </c>
      <c r="C16" s="11"/>
      <c r="D16" s="11"/>
      <c r="E16" s="11"/>
      <c r="F16" s="11"/>
      <c r="G16" s="11"/>
      <c r="H16" s="34"/>
      <c r="I16" s="35"/>
      <c r="J16" s="35"/>
      <c r="K16" s="35"/>
      <c r="L16" s="8"/>
      <c r="M16" s="45"/>
      <c r="N16" s="46" t="s">
        <v>6</v>
      </c>
      <c r="O16" s="46" t="s">
        <v>7</v>
      </c>
      <c r="P16" s="46" t="s">
        <v>8</v>
      </c>
      <c r="Q16" s="46" t="s">
        <v>9</v>
      </c>
      <c r="R16" s="46" t="s">
        <v>10</v>
      </c>
      <c r="S16" s="46" t="s">
        <v>132</v>
      </c>
      <c r="T16" s="46" t="s">
        <v>133</v>
      </c>
      <c r="U16" s="46" t="s">
        <v>134</v>
      </c>
      <c r="V16" s="45"/>
      <c r="W16" s="45"/>
      <c r="X16" s="45"/>
      <c r="Y16" s="45"/>
    </row>
    <row r="17" spans="1:25">
      <c r="A17" s="8"/>
      <c r="B17" s="12" t="s">
        <v>11</v>
      </c>
      <c r="C17" s="13" t="s">
        <v>6</v>
      </c>
      <c r="D17" s="13" t="s">
        <v>7</v>
      </c>
      <c r="E17" s="13" t="s">
        <v>8</v>
      </c>
      <c r="F17" s="13" t="s">
        <v>9</v>
      </c>
      <c r="G17" s="13" t="s">
        <v>10</v>
      </c>
      <c r="H17" s="13" t="s">
        <v>132</v>
      </c>
      <c r="I17" s="13" t="s">
        <v>133</v>
      </c>
      <c r="J17" s="13" t="s">
        <v>134</v>
      </c>
      <c r="K17" s="36" t="s">
        <v>12</v>
      </c>
      <c r="L17" s="8"/>
      <c r="M17" s="45" t="s">
        <v>13</v>
      </c>
      <c r="N17" s="45">
        <f t="shared" ref="N17:U17" si="0">C28*C32</f>
        <v>75</v>
      </c>
      <c r="O17" s="45">
        <f t="shared" si="0"/>
        <v>100</v>
      </c>
      <c r="P17" s="45">
        <f t="shared" si="0"/>
        <v>660</v>
      </c>
      <c r="Q17" s="45">
        <f t="shared" si="0"/>
        <v>240</v>
      </c>
      <c r="R17" s="45">
        <f t="shared" si="0"/>
        <v>486</v>
      </c>
      <c r="S17" s="45">
        <f t="shared" si="0"/>
        <v>750</v>
      </c>
      <c r="T17" s="45">
        <f t="shared" si="0"/>
        <v>300</v>
      </c>
      <c r="U17" s="45">
        <f t="shared" si="0"/>
        <v>176</v>
      </c>
      <c r="V17" s="45"/>
      <c r="W17" s="45"/>
      <c r="X17" s="45"/>
      <c r="Y17" s="45"/>
    </row>
    <row r="18" spans="1:25">
      <c r="A18" s="8"/>
      <c r="B18" s="73" t="s">
        <v>145</v>
      </c>
      <c r="C18" s="15">
        <v>26000</v>
      </c>
      <c r="D18" s="16">
        <v>26000</v>
      </c>
      <c r="E18" s="16">
        <v>171600</v>
      </c>
      <c r="F18" s="16">
        <v>104000</v>
      </c>
      <c r="G18" s="16">
        <v>140400</v>
      </c>
      <c r="H18" s="16">
        <v>156000</v>
      </c>
      <c r="I18" s="16">
        <v>104000</v>
      </c>
      <c r="J18" s="16">
        <v>114400</v>
      </c>
      <c r="K18" s="37">
        <v>629200</v>
      </c>
      <c r="L18" s="8"/>
      <c r="M18" s="45" t="s">
        <v>15</v>
      </c>
      <c r="N18" s="45">
        <f t="shared" ref="N18:U18" si="1">C28+2.575*N17</f>
        <v>693.125</v>
      </c>
      <c r="O18" s="45">
        <f t="shared" si="1"/>
        <v>757.5</v>
      </c>
      <c r="P18" s="45">
        <f t="shared" si="1"/>
        <v>4999.5</v>
      </c>
      <c r="Q18" s="45">
        <f t="shared" si="1"/>
        <v>2618</v>
      </c>
      <c r="R18" s="45">
        <f t="shared" si="1"/>
        <v>3951.45</v>
      </c>
      <c r="S18" s="45">
        <f t="shared" si="1"/>
        <v>4931.25</v>
      </c>
      <c r="T18" s="45">
        <f t="shared" si="1"/>
        <v>2772.5</v>
      </c>
      <c r="U18" s="45">
        <f t="shared" si="1"/>
        <v>2653.2</v>
      </c>
      <c r="V18" s="45"/>
      <c r="W18" s="45"/>
      <c r="X18" s="45"/>
      <c r="Y18" s="45"/>
    </row>
    <row r="19" spans="1:21">
      <c r="A19" s="8"/>
      <c r="B19" s="17"/>
      <c r="C19" s="17"/>
      <c r="D19" s="17"/>
      <c r="E19" s="17"/>
      <c r="F19" s="17"/>
      <c r="G19" s="17"/>
      <c r="H19" s="8"/>
      <c r="I19" s="8"/>
      <c r="J19" s="8"/>
      <c r="K19" s="8"/>
      <c r="L19" s="8"/>
      <c r="M19" s="45" t="s">
        <v>16</v>
      </c>
      <c r="N19" s="45">
        <f t="shared" ref="N19:U19" si="2">N18/(16*5)</f>
        <v>8.6640625</v>
      </c>
      <c r="O19" s="45">
        <f t="shared" si="2"/>
        <v>9.46875</v>
      </c>
      <c r="P19" s="45">
        <f t="shared" si="2"/>
        <v>62.49375</v>
      </c>
      <c r="Q19" s="45">
        <f t="shared" si="2"/>
        <v>32.725</v>
      </c>
      <c r="R19" s="45">
        <f t="shared" si="2"/>
        <v>49.393125</v>
      </c>
      <c r="S19" s="45">
        <f t="shared" si="2"/>
        <v>61.640625</v>
      </c>
      <c r="T19" s="45">
        <f t="shared" si="2"/>
        <v>34.65625</v>
      </c>
      <c r="U19" s="45">
        <f t="shared" si="2"/>
        <v>33.165</v>
      </c>
    </row>
    <row r="20" spans="1:12">
      <c r="A20" s="8"/>
      <c r="B20" s="17"/>
      <c r="C20" s="17"/>
      <c r="D20" s="17"/>
      <c r="E20" s="17"/>
      <c r="F20" s="17"/>
      <c r="G20" s="17"/>
      <c r="H20" s="8"/>
      <c r="I20" s="8"/>
      <c r="J20" s="8"/>
      <c r="K20" s="8"/>
      <c r="L20" s="8"/>
    </row>
    <row r="21" spans="1:25">
      <c r="A21" s="8"/>
      <c r="B21" s="10" t="s">
        <v>17</v>
      </c>
      <c r="C21" s="11"/>
      <c r="D21" s="11"/>
      <c r="E21" s="11"/>
      <c r="F21" s="11"/>
      <c r="G21" s="11"/>
      <c r="H21" s="34"/>
      <c r="I21" s="35"/>
      <c r="J21" s="35"/>
      <c r="K21" s="35"/>
      <c r="L21" s="8"/>
      <c r="M21" s="47" t="s">
        <v>18</v>
      </c>
      <c r="N21" s="47" t="s">
        <v>6</v>
      </c>
      <c r="O21" s="47" t="s">
        <v>7</v>
      </c>
      <c r="P21" s="47" t="s">
        <v>8</v>
      </c>
      <c r="Q21" s="47" t="s">
        <v>9</v>
      </c>
      <c r="R21" s="47" t="s">
        <v>10</v>
      </c>
      <c r="S21" s="47" t="s">
        <v>132</v>
      </c>
      <c r="T21" s="47" t="s">
        <v>133</v>
      </c>
      <c r="U21" s="47" t="s">
        <v>134</v>
      </c>
      <c r="V21" s="45" t="s">
        <v>19</v>
      </c>
      <c r="W21" s="45" t="s">
        <v>20</v>
      </c>
      <c r="X21" s="45" t="s">
        <v>21</v>
      </c>
      <c r="Y21" s="45" t="s">
        <v>22</v>
      </c>
    </row>
    <row r="22" spans="1:25">
      <c r="A22" s="17"/>
      <c r="B22" s="12" t="s">
        <v>11</v>
      </c>
      <c r="C22" s="18" t="s">
        <v>6</v>
      </c>
      <c r="D22" s="13" t="s">
        <v>7</v>
      </c>
      <c r="E22" s="13" t="s">
        <v>8</v>
      </c>
      <c r="F22" s="13" t="s">
        <v>9</v>
      </c>
      <c r="G22" s="13" t="s">
        <v>10</v>
      </c>
      <c r="H22" s="13" t="s">
        <v>132</v>
      </c>
      <c r="I22" s="13" t="s">
        <v>133</v>
      </c>
      <c r="J22" s="13" t="s">
        <v>134</v>
      </c>
      <c r="K22" s="36" t="s">
        <v>23</v>
      </c>
      <c r="L22" s="17"/>
      <c r="M22" s="45" t="s">
        <v>24</v>
      </c>
      <c r="N22" s="45">
        <f t="shared" ref="N22:N41" si="3">$N$18*C37</f>
        <v>693.125</v>
      </c>
      <c r="O22" s="45">
        <f t="shared" ref="O22:O41" si="4">$O$18*D37</f>
        <v>1515</v>
      </c>
      <c r="P22" s="45">
        <f t="shared" ref="P22:P41" si="5">$P$18*E37</f>
        <v>19998</v>
      </c>
      <c r="Q22" s="45">
        <f t="shared" ref="Q22:Q41" si="6">$Q$18*F37</f>
        <v>10472</v>
      </c>
      <c r="R22" s="45">
        <f t="shared" ref="R22:R41" si="7">$R$18*G37</f>
        <v>3951.45</v>
      </c>
      <c r="S22" s="45">
        <f t="shared" ref="S22:S41" si="8">$S$18*H37</f>
        <v>0</v>
      </c>
      <c r="T22" s="45">
        <f t="shared" ref="T22:T41" si="9">$T$18*I37</f>
        <v>0</v>
      </c>
      <c r="U22" s="45">
        <f t="shared" ref="U22:U41" si="10">$U$18*J37</f>
        <v>5306.4</v>
      </c>
      <c r="V22" s="45">
        <f t="shared" ref="V22:V41" si="11">SUM(N22:R22)</f>
        <v>36629.575</v>
      </c>
      <c r="W22" s="45">
        <v>12.75</v>
      </c>
      <c r="X22" s="45">
        <f t="shared" ref="X22:X41" si="12">0.98*0.9</f>
        <v>0.882</v>
      </c>
      <c r="Y22" s="45">
        <f t="shared" ref="Y22:Y41" si="13">V22*W22/X22</f>
        <v>529509.162414966</v>
      </c>
    </row>
    <row r="23" spans="1:25">
      <c r="A23" s="8"/>
      <c r="B23" s="73" t="s">
        <v>145</v>
      </c>
      <c r="C23" s="19">
        <v>721.110255092798</v>
      </c>
      <c r="D23" s="20">
        <v>721.110255092798</v>
      </c>
      <c r="E23" s="20">
        <v>5047.77178564958</v>
      </c>
      <c r="F23" s="20">
        <v>3605.55127546399</v>
      </c>
      <c r="G23" s="20">
        <v>2163.33076527839</v>
      </c>
      <c r="H23" s="20">
        <v>3605.55127546399</v>
      </c>
      <c r="I23" s="20">
        <v>1586.44256120416</v>
      </c>
      <c r="J23" s="20">
        <v>1081.6653826392</v>
      </c>
      <c r="K23" s="38">
        <v>7802.99942329871</v>
      </c>
      <c r="L23" s="8"/>
      <c r="M23" s="45" t="s">
        <v>25</v>
      </c>
      <c r="N23" s="45">
        <f t="shared" si="3"/>
        <v>2772.5</v>
      </c>
      <c r="O23" s="45">
        <f t="shared" si="4"/>
        <v>0</v>
      </c>
      <c r="P23" s="45">
        <f t="shared" si="5"/>
        <v>9999</v>
      </c>
      <c r="Q23" s="45">
        <f t="shared" si="6"/>
        <v>5236</v>
      </c>
      <c r="R23" s="45">
        <f t="shared" si="7"/>
        <v>0</v>
      </c>
      <c r="S23" s="45">
        <f t="shared" si="8"/>
        <v>0</v>
      </c>
      <c r="T23" s="45">
        <f t="shared" si="9"/>
        <v>0</v>
      </c>
      <c r="U23" s="45">
        <f t="shared" si="10"/>
        <v>2653.2</v>
      </c>
      <c r="V23" s="45">
        <f t="shared" si="11"/>
        <v>18007.5</v>
      </c>
      <c r="W23" s="45">
        <v>7.75</v>
      </c>
      <c r="X23" s="45">
        <f t="shared" si="12"/>
        <v>0.882</v>
      </c>
      <c r="Y23" s="45">
        <f t="shared" si="13"/>
        <v>158229.166666667</v>
      </c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45" t="s">
        <v>26</v>
      </c>
      <c r="N24" s="45">
        <f t="shared" si="3"/>
        <v>0</v>
      </c>
      <c r="O24" s="45">
        <f t="shared" si="4"/>
        <v>0</v>
      </c>
      <c r="P24" s="45">
        <f t="shared" si="5"/>
        <v>0</v>
      </c>
      <c r="Q24" s="45">
        <f t="shared" si="6"/>
        <v>10472</v>
      </c>
      <c r="R24" s="45">
        <f t="shared" si="7"/>
        <v>3951.45</v>
      </c>
      <c r="S24" s="45">
        <f t="shared" si="8"/>
        <v>9862.5</v>
      </c>
      <c r="T24" s="45">
        <f t="shared" si="9"/>
        <v>11090</v>
      </c>
      <c r="U24" s="45">
        <f t="shared" si="10"/>
        <v>2653.2</v>
      </c>
      <c r="V24" s="45">
        <f t="shared" si="11"/>
        <v>14423.45</v>
      </c>
      <c r="W24" s="45">
        <v>9.5</v>
      </c>
      <c r="X24" s="45">
        <f t="shared" si="12"/>
        <v>0.882</v>
      </c>
      <c r="Y24" s="45">
        <f t="shared" si="13"/>
        <v>155354.620181406</v>
      </c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45" t="s">
        <v>27</v>
      </c>
      <c r="N25" s="45">
        <f t="shared" si="3"/>
        <v>0</v>
      </c>
      <c r="O25" s="45">
        <f t="shared" si="4"/>
        <v>757.5</v>
      </c>
      <c r="P25" s="45">
        <f t="shared" si="5"/>
        <v>9999</v>
      </c>
      <c r="Q25" s="45">
        <f t="shared" si="6"/>
        <v>5236</v>
      </c>
      <c r="R25" s="45">
        <f t="shared" si="7"/>
        <v>0</v>
      </c>
      <c r="S25" s="45">
        <f t="shared" si="8"/>
        <v>0</v>
      </c>
      <c r="T25" s="45">
        <f t="shared" si="9"/>
        <v>0</v>
      </c>
      <c r="U25" s="45">
        <f t="shared" si="10"/>
        <v>0</v>
      </c>
      <c r="V25" s="45">
        <f t="shared" si="11"/>
        <v>15992.5</v>
      </c>
      <c r="W25" s="45">
        <v>7.5</v>
      </c>
      <c r="X25" s="45">
        <f t="shared" si="12"/>
        <v>0.882</v>
      </c>
      <c r="Y25" s="45">
        <f t="shared" si="13"/>
        <v>135990.646258503</v>
      </c>
    </row>
    <row r="26" spans="1:25">
      <c r="A26" s="8"/>
      <c r="B26" s="10" t="s">
        <v>28</v>
      </c>
      <c r="C26" s="11"/>
      <c r="D26" s="11"/>
      <c r="E26" s="11"/>
      <c r="F26" s="11"/>
      <c r="G26" s="11"/>
      <c r="H26" s="34"/>
      <c r="I26" s="35"/>
      <c r="J26" s="35"/>
      <c r="K26" s="35"/>
      <c r="L26" s="8"/>
      <c r="M26" s="45" t="s">
        <v>29</v>
      </c>
      <c r="N26" s="45">
        <f t="shared" si="3"/>
        <v>0</v>
      </c>
      <c r="O26" s="45">
        <f t="shared" si="4"/>
        <v>757.5</v>
      </c>
      <c r="P26" s="45">
        <f t="shared" si="5"/>
        <v>9999</v>
      </c>
      <c r="Q26" s="45">
        <f t="shared" si="6"/>
        <v>0</v>
      </c>
      <c r="R26" s="45">
        <f t="shared" si="7"/>
        <v>0</v>
      </c>
      <c r="S26" s="45">
        <f t="shared" si="8"/>
        <v>4931.25</v>
      </c>
      <c r="T26" s="45">
        <f t="shared" si="9"/>
        <v>2772.5</v>
      </c>
      <c r="U26" s="45">
        <f t="shared" si="10"/>
        <v>0</v>
      </c>
      <c r="V26" s="45">
        <f t="shared" si="11"/>
        <v>10756.5</v>
      </c>
      <c r="W26" s="45">
        <v>7.5</v>
      </c>
      <c r="X26" s="45">
        <f t="shared" si="12"/>
        <v>0.882</v>
      </c>
      <c r="Y26" s="45">
        <f t="shared" si="13"/>
        <v>91466.8367346939</v>
      </c>
    </row>
    <row r="27" spans="1:25">
      <c r="A27" s="8"/>
      <c r="B27" s="12" t="s">
        <v>11</v>
      </c>
      <c r="C27" s="18" t="s">
        <v>6</v>
      </c>
      <c r="D27" s="13" t="s">
        <v>7</v>
      </c>
      <c r="E27" s="13" t="s">
        <v>8</v>
      </c>
      <c r="F27" s="13" t="s">
        <v>9</v>
      </c>
      <c r="G27" s="13" t="s">
        <v>10</v>
      </c>
      <c r="H27" s="13" t="s">
        <v>132</v>
      </c>
      <c r="I27" s="13" t="s">
        <v>133</v>
      </c>
      <c r="J27" s="13" t="s">
        <v>134</v>
      </c>
      <c r="K27" s="36" t="s">
        <v>12</v>
      </c>
      <c r="L27" s="8"/>
      <c r="M27" s="45" t="s">
        <v>30</v>
      </c>
      <c r="N27" s="45">
        <f t="shared" si="3"/>
        <v>693.125</v>
      </c>
      <c r="O27" s="45">
        <f t="shared" si="4"/>
        <v>0</v>
      </c>
      <c r="P27" s="45">
        <f t="shared" si="5"/>
        <v>0</v>
      </c>
      <c r="Q27" s="45">
        <f t="shared" si="6"/>
        <v>0</v>
      </c>
      <c r="R27" s="45">
        <f t="shared" si="7"/>
        <v>7902.9</v>
      </c>
      <c r="S27" s="45">
        <f t="shared" si="8"/>
        <v>0</v>
      </c>
      <c r="T27" s="45">
        <f t="shared" si="9"/>
        <v>0</v>
      </c>
      <c r="U27" s="45">
        <f t="shared" si="10"/>
        <v>7959.6</v>
      </c>
      <c r="V27" s="45">
        <f t="shared" si="11"/>
        <v>8596.025</v>
      </c>
      <c r="W27" s="45">
        <v>10.5</v>
      </c>
      <c r="X27" s="45">
        <f t="shared" si="12"/>
        <v>0.882</v>
      </c>
      <c r="Y27" s="45">
        <f t="shared" si="13"/>
        <v>102333.630952381</v>
      </c>
    </row>
    <row r="28" spans="1:25">
      <c r="A28" s="8"/>
      <c r="B28" s="73" t="s">
        <v>145</v>
      </c>
      <c r="C28" s="15">
        <v>500</v>
      </c>
      <c r="D28" s="16">
        <v>500</v>
      </c>
      <c r="E28" s="16">
        <v>3300</v>
      </c>
      <c r="F28" s="16">
        <v>2000</v>
      </c>
      <c r="G28" s="16">
        <v>2700</v>
      </c>
      <c r="H28" s="16">
        <v>3000</v>
      </c>
      <c r="I28" s="16">
        <v>2000</v>
      </c>
      <c r="J28" s="16">
        <v>2200</v>
      </c>
      <c r="K28" s="39">
        <v>12100</v>
      </c>
      <c r="L28" s="8"/>
      <c r="M28" s="45" t="s">
        <v>31</v>
      </c>
      <c r="N28" s="45">
        <f t="shared" si="3"/>
        <v>0</v>
      </c>
      <c r="O28" s="45">
        <f t="shared" si="4"/>
        <v>3030</v>
      </c>
      <c r="P28" s="45">
        <f t="shared" si="5"/>
        <v>0</v>
      </c>
      <c r="Q28" s="45">
        <f t="shared" si="6"/>
        <v>0</v>
      </c>
      <c r="R28" s="45">
        <f t="shared" si="7"/>
        <v>15805.8</v>
      </c>
      <c r="S28" s="45">
        <f t="shared" si="8"/>
        <v>0</v>
      </c>
      <c r="T28" s="45">
        <f t="shared" si="9"/>
        <v>2772.5</v>
      </c>
      <c r="U28" s="45">
        <f t="shared" si="10"/>
        <v>2653.2</v>
      </c>
      <c r="V28" s="45">
        <f t="shared" si="11"/>
        <v>18835.8</v>
      </c>
      <c r="W28" s="45">
        <v>10</v>
      </c>
      <c r="X28" s="45">
        <f t="shared" si="12"/>
        <v>0.882</v>
      </c>
      <c r="Y28" s="45">
        <f t="shared" si="13"/>
        <v>213557.823129252</v>
      </c>
    </row>
    <row r="29" spans="1:25">
      <c r="A29" s="8"/>
      <c r="B29" s="17"/>
      <c r="C29" s="17"/>
      <c r="D29" s="17"/>
      <c r="E29" s="17"/>
      <c r="F29" s="17"/>
      <c r="G29" s="17"/>
      <c r="H29" s="8"/>
      <c r="I29" s="8"/>
      <c r="J29" s="8"/>
      <c r="K29" s="8"/>
      <c r="L29" s="8"/>
      <c r="M29" s="45" t="s">
        <v>32</v>
      </c>
      <c r="N29" s="45">
        <f t="shared" si="3"/>
        <v>0</v>
      </c>
      <c r="O29" s="45">
        <f t="shared" si="4"/>
        <v>0</v>
      </c>
      <c r="P29" s="45">
        <f t="shared" si="5"/>
        <v>0</v>
      </c>
      <c r="Q29" s="45">
        <f t="shared" si="6"/>
        <v>10472</v>
      </c>
      <c r="R29" s="45">
        <f t="shared" si="7"/>
        <v>0</v>
      </c>
      <c r="S29" s="45">
        <f t="shared" si="8"/>
        <v>9862.5</v>
      </c>
      <c r="T29" s="45">
        <f t="shared" si="9"/>
        <v>5545</v>
      </c>
      <c r="U29" s="45">
        <f t="shared" si="10"/>
        <v>7959.6</v>
      </c>
      <c r="V29" s="45">
        <f t="shared" si="11"/>
        <v>10472</v>
      </c>
      <c r="W29" s="45">
        <v>4.75</v>
      </c>
      <c r="X29" s="45">
        <f t="shared" si="12"/>
        <v>0.882</v>
      </c>
      <c r="Y29" s="45">
        <f t="shared" si="13"/>
        <v>56396.8253968254</v>
      </c>
    </row>
    <row r="30" spans="1:25">
      <c r="A30" s="8"/>
      <c r="B30" s="10" t="s">
        <v>33</v>
      </c>
      <c r="C30" s="11"/>
      <c r="D30" s="11"/>
      <c r="E30" s="11"/>
      <c r="F30" s="11"/>
      <c r="G30" s="11"/>
      <c r="H30" s="34"/>
      <c r="I30" s="35"/>
      <c r="J30" s="35"/>
      <c r="K30" s="35"/>
      <c r="L30" s="8"/>
      <c r="M30" s="45" t="s">
        <v>34</v>
      </c>
      <c r="N30" s="45">
        <f t="shared" si="3"/>
        <v>0</v>
      </c>
      <c r="O30" s="45">
        <f t="shared" si="4"/>
        <v>1515</v>
      </c>
      <c r="P30" s="45">
        <f t="shared" si="5"/>
        <v>9999</v>
      </c>
      <c r="Q30" s="45">
        <f t="shared" si="6"/>
        <v>0</v>
      </c>
      <c r="R30" s="45">
        <f t="shared" si="7"/>
        <v>0</v>
      </c>
      <c r="S30" s="45">
        <f t="shared" si="8"/>
        <v>4931.25</v>
      </c>
      <c r="T30" s="45">
        <f t="shared" si="9"/>
        <v>5545</v>
      </c>
      <c r="U30" s="45">
        <f t="shared" si="10"/>
        <v>0</v>
      </c>
      <c r="V30" s="45">
        <f t="shared" si="11"/>
        <v>11514</v>
      </c>
      <c r="W30" s="45">
        <v>8.5</v>
      </c>
      <c r="X30" s="45">
        <f t="shared" si="12"/>
        <v>0.882</v>
      </c>
      <c r="Y30" s="45">
        <f t="shared" si="13"/>
        <v>110962.585034014</v>
      </c>
    </row>
    <row r="31" spans="1:25">
      <c r="A31" s="8"/>
      <c r="B31" s="21" t="s">
        <v>11</v>
      </c>
      <c r="C31" s="22" t="s">
        <v>6</v>
      </c>
      <c r="D31" s="22" t="s">
        <v>7</v>
      </c>
      <c r="E31" s="22" t="s">
        <v>8</v>
      </c>
      <c r="F31" s="22" t="s">
        <v>9</v>
      </c>
      <c r="G31" s="22" t="s">
        <v>10</v>
      </c>
      <c r="H31" s="22" t="s">
        <v>132</v>
      </c>
      <c r="I31" s="22" t="s">
        <v>133</v>
      </c>
      <c r="J31" s="22" t="s">
        <v>134</v>
      </c>
      <c r="K31" s="40" t="s">
        <v>35</v>
      </c>
      <c r="L31" s="8"/>
      <c r="M31" s="45" t="s">
        <v>36</v>
      </c>
      <c r="N31" s="45">
        <f t="shared" si="3"/>
        <v>693.125</v>
      </c>
      <c r="O31" s="45">
        <f t="shared" si="4"/>
        <v>0</v>
      </c>
      <c r="P31" s="45">
        <f t="shared" si="5"/>
        <v>4999.5</v>
      </c>
      <c r="Q31" s="45">
        <f t="shared" si="6"/>
        <v>2618</v>
      </c>
      <c r="R31" s="45">
        <f t="shared" si="7"/>
        <v>0</v>
      </c>
      <c r="S31" s="45">
        <f t="shared" si="8"/>
        <v>0</v>
      </c>
      <c r="T31" s="45">
        <f t="shared" si="9"/>
        <v>0</v>
      </c>
      <c r="U31" s="45">
        <f t="shared" si="10"/>
        <v>2653.2</v>
      </c>
      <c r="V31" s="45">
        <f t="shared" si="11"/>
        <v>8310.625</v>
      </c>
      <c r="W31" s="45">
        <v>6.5</v>
      </c>
      <c r="X31" s="45">
        <f t="shared" si="12"/>
        <v>0.882</v>
      </c>
      <c r="Y31" s="45">
        <f t="shared" si="13"/>
        <v>61246.1026077097</v>
      </c>
    </row>
    <row r="32" spans="1:25">
      <c r="A32" s="8"/>
      <c r="B32" s="73" t="s">
        <v>145</v>
      </c>
      <c r="C32" s="23">
        <v>0.15</v>
      </c>
      <c r="D32" s="24">
        <v>0.2</v>
      </c>
      <c r="E32" s="24">
        <v>0.2</v>
      </c>
      <c r="F32" s="24">
        <v>0.12</v>
      </c>
      <c r="G32" s="24">
        <v>0.18</v>
      </c>
      <c r="H32" s="24">
        <v>0.25</v>
      </c>
      <c r="I32" s="24">
        <v>0.15</v>
      </c>
      <c r="J32" s="24">
        <v>0.08</v>
      </c>
      <c r="K32" s="41">
        <v>0.17</v>
      </c>
      <c r="L32" s="8"/>
      <c r="M32" s="45" t="s">
        <v>37</v>
      </c>
      <c r="N32" s="45">
        <f t="shared" si="3"/>
        <v>1386.25</v>
      </c>
      <c r="O32" s="45">
        <f t="shared" si="4"/>
        <v>0</v>
      </c>
      <c r="P32" s="45">
        <f t="shared" si="5"/>
        <v>0</v>
      </c>
      <c r="Q32" s="45">
        <f t="shared" si="6"/>
        <v>0</v>
      </c>
      <c r="R32" s="45">
        <f t="shared" si="7"/>
        <v>15805.8</v>
      </c>
      <c r="S32" s="45">
        <f t="shared" si="8"/>
        <v>19725</v>
      </c>
      <c r="T32" s="45">
        <f t="shared" si="9"/>
        <v>5545</v>
      </c>
      <c r="U32" s="45">
        <f t="shared" si="10"/>
        <v>0</v>
      </c>
      <c r="V32" s="45">
        <f t="shared" si="11"/>
        <v>17192.05</v>
      </c>
      <c r="W32" s="45">
        <v>4</v>
      </c>
      <c r="X32" s="45">
        <f t="shared" si="12"/>
        <v>0.882</v>
      </c>
      <c r="Y32" s="45">
        <f t="shared" si="13"/>
        <v>77968.4807256236</v>
      </c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45" t="s">
        <v>38</v>
      </c>
      <c r="N33" s="45">
        <f t="shared" si="3"/>
        <v>2772.5</v>
      </c>
      <c r="O33" s="45">
        <f t="shared" si="4"/>
        <v>0</v>
      </c>
      <c r="P33" s="45">
        <f t="shared" si="5"/>
        <v>0</v>
      </c>
      <c r="Q33" s="45">
        <f t="shared" si="6"/>
        <v>0</v>
      </c>
      <c r="R33" s="45">
        <f t="shared" si="7"/>
        <v>15805.8</v>
      </c>
      <c r="S33" s="45">
        <f t="shared" si="8"/>
        <v>14793.75</v>
      </c>
      <c r="T33" s="45">
        <f t="shared" si="9"/>
        <v>11090</v>
      </c>
      <c r="U33" s="45">
        <f t="shared" si="10"/>
        <v>0</v>
      </c>
      <c r="V33" s="45">
        <f t="shared" si="11"/>
        <v>18578.3</v>
      </c>
      <c r="W33" s="45">
        <v>6</v>
      </c>
      <c r="X33" s="45">
        <f t="shared" si="12"/>
        <v>0.882</v>
      </c>
      <c r="Y33" s="45">
        <f t="shared" si="13"/>
        <v>126382.993197279</v>
      </c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45" t="s">
        <v>39</v>
      </c>
      <c r="N34" s="45">
        <f t="shared" si="3"/>
        <v>1386.25</v>
      </c>
      <c r="O34" s="45">
        <f t="shared" si="4"/>
        <v>0</v>
      </c>
      <c r="P34" s="45">
        <f t="shared" si="5"/>
        <v>0</v>
      </c>
      <c r="Q34" s="45">
        <f t="shared" si="6"/>
        <v>0</v>
      </c>
      <c r="R34" s="45">
        <f t="shared" si="7"/>
        <v>7902.9</v>
      </c>
      <c r="S34" s="45">
        <f t="shared" si="8"/>
        <v>9862.5</v>
      </c>
      <c r="T34" s="45">
        <f t="shared" si="9"/>
        <v>2772.5</v>
      </c>
      <c r="U34" s="45">
        <f t="shared" si="10"/>
        <v>0</v>
      </c>
      <c r="V34" s="45">
        <f t="shared" si="11"/>
        <v>9289.15</v>
      </c>
      <c r="W34" s="45">
        <v>7.5</v>
      </c>
      <c r="X34" s="45">
        <f t="shared" si="12"/>
        <v>0.882</v>
      </c>
      <c r="Y34" s="45">
        <f t="shared" si="13"/>
        <v>78989.3707482993</v>
      </c>
    </row>
    <row r="35" spans="1:25">
      <c r="A35" s="8"/>
      <c r="B35" s="25" t="s">
        <v>40</v>
      </c>
      <c r="C35" s="26" t="s">
        <v>136</v>
      </c>
      <c r="D35" s="27"/>
      <c r="E35" s="27"/>
      <c r="F35" s="27"/>
      <c r="G35" s="27"/>
      <c r="H35" s="27"/>
      <c r="I35" s="27"/>
      <c r="J35" s="42"/>
      <c r="K35" s="8"/>
      <c r="L35" s="8"/>
      <c r="M35" s="45" t="s">
        <v>42</v>
      </c>
      <c r="N35" s="45">
        <f t="shared" si="3"/>
        <v>0</v>
      </c>
      <c r="O35" s="45">
        <f t="shared" si="4"/>
        <v>3030</v>
      </c>
      <c r="P35" s="45">
        <f t="shared" si="5"/>
        <v>9999</v>
      </c>
      <c r="Q35" s="45">
        <f t="shared" si="6"/>
        <v>5236</v>
      </c>
      <c r="R35" s="45">
        <f t="shared" si="7"/>
        <v>7902.9</v>
      </c>
      <c r="S35" s="45">
        <f t="shared" si="8"/>
        <v>0</v>
      </c>
      <c r="T35" s="45">
        <f t="shared" si="9"/>
        <v>0</v>
      </c>
      <c r="U35" s="45">
        <f t="shared" si="10"/>
        <v>10612.8</v>
      </c>
      <c r="V35" s="45">
        <f t="shared" si="11"/>
        <v>26167.9</v>
      </c>
      <c r="W35" s="45">
        <v>4.75</v>
      </c>
      <c r="X35" s="45">
        <f t="shared" si="12"/>
        <v>0.882</v>
      </c>
      <c r="Y35" s="45">
        <f t="shared" si="13"/>
        <v>140926.899092971</v>
      </c>
    </row>
    <row r="36" spans="1:25">
      <c r="A36" s="8"/>
      <c r="B36" s="28"/>
      <c r="C36" s="29" t="s">
        <v>6</v>
      </c>
      <c r="D36" s="22" t="s">
        <v>7</v>
      </c>
      <c r="E36" s="22" t="s">
        <v>8</v>
      </c>
      <c r="F36" s="22" t="s">
        <v>9</v>
      </c>
      <c r="G36" s="22" t="s">
        <v>10</v>
      </c>
      <c r="H36" s="22" t="s">
        <v>132</v>
      </c>
      <c r="I36" s="22" t="s">
        <v>133</v>
      </c>
      <c r="J36" s="40" t="s">
        <v>134</v>
      </c>
      <c r="K36" s="8"/>
      <c r="L36" s="8"/>
      <c r="M36" s="45" t="s">
        <v>43</v>
      </c>
      <c r="N36" s="45">
        <f t="shared" si="3"/>
        <v>0</v>
      </c>
      <c r="O36" s="45">
        <f t="shared" si="4"/>
        <v>0</v>
      </c>
      <c r="P36" s="45">
        <f t="shared" si="5"/>
        <v>0</v>
      </c>
      <c r="Q36" s="45">
        <f t="shared" si="6"/>
        <v>5236</v>
      </c>
      <c r="R36" s="45">
        <f t="shared" si="7"/>
        <v>0</v>
      </c>
      <c r="S36" s="45">
        <f t="shared" si="8"/>
        <v>9862.5</v>
      </c>
      <c r="T36" s="45">
        <f t="shared" si="9"/>
        <v>0</v>
      </c>
      <c r="U36" s="45">
        <f t="shared" si="10"/>
        <v>2653.2</v>
      </c>
      <c r="V36" s="45">
        <f t="shared" si="11"/>
        <v>5236</v>
      </c>
      <c r="W36" s="45">
        <v>7.5</v>
      </c>
      <c r="X36" s="45">
        <f t="shared" si="12"/>
        <v>0.882</v>
      </c>
      <c r="Y36" s="45">
        <f t="shared" si="13"/>
        <v>44523.8095238095</v>
      </c>
    </row>
    <row r="37" spans="1:25">
      <c r="A37" s="8"/>
      <c r="B37" s="28" t="s">
        <v>24</v>
      </c>
      <c r="C37" s="30">
        <v>1</v>
      </c>
      <c r="D37" s="31">
        <v>2</v>
      </c>
      <c r="E37" s="31">
        <v>4</v>
      </c>
      <c r="F37" s="31">
        <v>4</v>
      </c>
      <c r="G37" s="31">
        <v>1</v>
      </c>
      <c r="H37" s="31"/>
      <c r="I37" s="31"/>
      <c r="J37" s="43">
        <v>2</v>
      </c>
      <c r="K37" s="8"/>
      <c r="L37" s="8"/>
      <c r="M37" s="45" t="s">
        <v>44</v>
      </c>
      <c r="N37" s="45">
        <f t="shared" si="3"/>
        <v>0</v>
      </c>
      <c r="O37" s="45">
        <f t="shared" si="4"/>
        <v>757.5</v>
      </c>
      <c r="P37" s="45">
        <f t="shared" si="5"/>
        <v>19998</v>
      </c>
      <c r="Q37" s="45">
        <f t="shared" si="6"/>
        <v>0</v>
      </c>
      <c r="R37" s="45">
        <f t="shared" si="7"/>
        <v>0</v>
      </c>
      <c r="S37" s="45">
        <f t="shared" si="8"/>
        <v>0</v>
      </c>
      <c r="T37" s="45">
        <f t="shared" si="9"/>
        <v>0</v>
      </c>
      <c r="U37" s="45">
        <f t="shared" si="10"/>
        <v>0</v>
      </c>
      <c r="V37" s="45">
        <f t="shared" si="11"/>
        <v>20755.5</v>
      </c>
      <c r="W37" s="45">
        <v>10</v>
      </c>
      <c r="X37" s="45">
        <f t="shared" si="12"/>
        <v>0.882</v>
      </c>
      <c r="Y37" s="45">
        <f t="shared" si="13"/>
        <v>235323.129251701</v>
      </c>
    </row>
    <row r="38" spans="1:25">
      <c r="A38" s="8"/>
      <c r="B38" s="28" t="s">
        <v>25</v>
      </c>
      <c r="C38" s="32">
        <v>4</v>
      </c>
      <c r="D38" s="33"/>
      <c r="E38" s="33">
        <v>2</v>
      </c>
      <c r="F38" s="33">
        <v>2</v>
      </c>
      <c r="G38" s="33"/>
      <c r="H38" s="33"/>
      <c r="I38" s="33"/>
      <c r="J38" s="39">
        <v>1</v>
      </c>
      <c r="K38" s="8"/>
      <c r="L38" s="8"/>
      <c r="M38" s="45" t="s">
        <v>45</v>
      </c>
      <c r="N38" s="45">
        <f t="shared" si="3"/>
        <v>1386.25</v>
      </c>
      <c r="O38" s="45">
        <f t="shared" si="4"/>
        <v>0</v>
      </c>
      <c r="P38" s="45">
        <f t="shared" si="5"/>
        <v>0</v>
      </c>
      <c r="Q38" s="45">
        <f t="shared" si="6"/>
        <v>0</v>
      </c>
      <c r="R38" s="45">
        <f t="shared" si="7"/>
        <v>7902.9</v>
      </c>
      <c r="S38" s="45">
        <f t="shared" si="8"/>
        <v>9862.5</v>
      </c>
      <c r="T38" s="45">
        <f t="shared" si="9"/>
        <v>5545</v>
      </c>
      <c r="U38" s="45">
        <f t="shared" si="10"/>
        <v>2653.2</v>
      </c>
      <c r="V38" s="45">
        <f t="shared" si="11"/>
        <v>9289.15</v>
      </c>
      <c r="W38" s="45">
        <v>7.25</v>
      </c>
      <c r="X38" s="45">
        <f t="shared" si="12"/>
        <v>0.882</v>
      </c>
      <c r="Y38" s="45">
        <f t="shared" si="13"/>
        <v>76356.391723356</v>
      </c>
    </row>
    <row r="39" spans="1:25">
      <c r="A39" s="8"/>
      <c r="B39" s="28" t="s">
        <v>26</v>
      </c>
      <c r="C39" s="32"/>
      <c r="D39" s="33"/>
      <c r="E39" s="33"/>
      <c r="F39" s="33">
        <v>4</v>
      </c>
      <c r="G39" s="33">
        <v>1</v>
      </c>
      <c r="H39" s="33">
        <v>2</v>
      </c>
      <c r="I39" s="33">
        <v>4</v>
      </c>
      <c r="J39" s="39">
        <v>1</v>
      </c>
      <c r="K39" s="8"/>
      <c r="L39" s="8"/>
      <c r="M39" s="45" t="s">
        <v>46</v>
      </c>
      <c r="N39" s="45">
        <f t="shared" si="3"/>
        <v>2772.5</v>
      </c>
      <c r="O39" s="45">
        <f t="shared" si="4"/>
        <v>757.5</v>
      </c>
      <c r="P39" s="45">
        <f t="shared" si="5"/>
        <v>0</v>
      </c>
      <c r="Q39" s="45">
        <f t="shared" si="6"/>
        <v>0</v>
      </c>
      <c r="R39" s="45">
        <f t="shared" si="7"/>
        <v>15805.8</v>
      </c>
      <c r="S39" s="45">
        <f t="shared" si="8"/>
        <v>4931.25</v>
      </c>
      <c r="T39" s="45">
        <f t="shared" si="9"/>
        <v>8317.5</v>
      </c>
      <c r="U39" s="45">
        <f t="shared" si="10"/>
        <v>0</v>
      </c>
      <c r="V39" s="45">
        <f t="shared" si="11"/>
        <v>19335.8</v>
      </c>
      <c r="W39" s="45">
        <v>6.25</v>
      </c>
      <c r="X39" s="45">
        <f t="shared" si="12"/>
        <v>0.882</v>
      </c>
      <c r="Y39" s="45">
        <f t="shared" si="13"/>
        <v>137016.723356009</v>
      </c>
    </row>
    <row r="40" spans="1:25">
      <c r="A40" s="8"/>
      <c r="B40" s="28" t="s">
        <v>27</v>
      </c>
      <c r="C40" s="32"/>
      <c r="D40" s="33">
        <v>1</v>
      </c>
      <c r="E40" s="33">
        <v>2</v>
      </c>
      <c r="F40" s="33">
        <v>2</v>
      </c>
      <c r="G40" s="33"/>
      <c r="H40" s="33"/>
      <c r="I40" s="33"/>
      <c r="J40" s="39"/>
      <c r="K40" s="8"/>
      <c r="L40" s="8"/>
      <c r="M40" s="45" t="s">
        <v>47</v>
      </c>
      <c r="N40" s="45">
        <f t="shared" si="3"/>
        <v>0</v>
      </c>
      <c r="O40" s="45">
        <f t="shared" si="4"/>
        <v>1515</v>
      </c>
      <c r="P40" s="45">
        <f t="shared" si="5"/>
        <v>19998</v>
      </c>
      <c r="Q40" s="45">
        <f t="shared" si="6"/>
        <v>10472</v>
      </c>
      <c r="R40" s="45">
        <f t="shared" si="7"/>
        <v>3951.45</v>
      </c>
      <c r="S40" s="45">
        <f t="shared" si="8"/>
        <v>0</v>
      </c>
      <c r="T40" s="45">
        <f t="shared" si="9"/>
        <v>0</v>
      </c>
      <c r="U40" s="45">
        <f t="shared" si="10"/>
        <v>7959.6</v>
      </c>
      <c r="V40" s="45">
        <f t="shared" si="11"/>
        <v>35936.45</v>
      </c>
      <c r="W40" s="45">
        <v>10.5</v>
      </c>
      <c r="X40" s="45">
        <f t="shared" si="12"/>
        <v>0.882</v>
      </c>
      <c r="Y40" s="45">
        <f t="shared" si="13"/>
        <v>427814.880952381</v>
      </c>
    </row>
    <row r="41" spans="1:25">
      <c r="A41" s="8"/>
      <c r="B41" s="28" t="s">
        <v>29</v>
      </c>
      <c r="C41" s="32"/>
      <c r="D41" s="33">
        <v>1</v>
      </c>
      <c r="E41" s="33">
        <v>2</v>
      </c>
      <c r="F41" s="33"/>
      <c r="G41" s="33"/>
      <c r="H41" s="33">
        <v>1</v>
      </c>
      <c r="I41" s="33">
        <v>1</v>
      </c>
      <c r="J41" s="39"/>
      <c r="K41" s="8"/>
      <c r="L41" s="8"/>
      <c r="M41" s="45" t="s">
        <v>48</v>
      </c>
      <c r="N41" s="45">
        <f t="shared" si="3"/>
        <v>0</v>
      </c>
      <c r="O41" s="45">
        <f t="shared" si="4"/>
        <v>1515</v>
      </c>
      <c r="P41" s="45">
        <f t="shared" si="5"/>
        <v>14998.5</v>
      </c>
      <c r="Q41" s="45">
        <f t="shared" si="6"/>
        <v>7854</v>
      </c>
      <c r="R41" s="45">
        <f t="shared" si="7"/>
        <v>0</v>
      </c>
      <c r="S41" s="45">
        <f t="shared" si="8"/>
        <v>0</v>
      </c>
      <c r="T41" s="45">
        <f t="shared" si="9"/>
        <v>0</v>
      </c>
      <c r="U41" s="45">
        <f t="shared" si="10"/>
        <v>10612.8</v>
      </c>
      <c r="V41" s="45">
        <f t="shared" si="11"/>
        <v>24367.5</v>
      </c>
      <c r="W41" s="45">
        <v>5.75</v>
      </c>
      <c r="X41" s="45">
        <f t="shared" si="12"/>
        <v>0.882</v>
      </c>
      <c r="Y41" s="45">
        <f t="shared" si="13"/>
        <v>158858.418367347</v>
      </c>
    </row>
    <row r="42" spans="1:25">
      <c r="A42" s="8"/>
      <c r="B42" s="28" t="s">
        <v>30</v>
      </c>
      <c r="C42" s="32">
        <v>1</v>
      </c>
      <c r="D42" s="33"/>
      <c r="E42" s="33"/>
      <c r="F42" s="33"/>
      <c r="G42" s="33">
        <v>2</v>
      </c>
      <c r="H42" s="33"/>
      <c r="I42" s="33"/>
      <c r="J42" s="39">
        <v>3</v>
      </c>
      <c r="K42" s="8"/>
      <c r="L42" s="8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>
      <c r="A43" s="8"/>
      <c r="B43" s="28" t="s">
        <v>31</v>
      </c>
      <c r="C43" s="32"/>
      <c r="D43" s="33">
        <v>4</v>
      </c>
      <c r="E43" s="33"/>
      <c r="F43" s="33"/>
      <c r="G43" s="33">
        <v>4</v>
      </c>
      <c r="H43" s="33"/>
      <c r="I43" s="33">
        <v>1</v>
      </c>
      <c r="J43" s="39">
        <v>1</v>
      </c>
      <c r="K43" s="8"/>
      <c r="L43" s="8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>
      <c r="A44" s="8"/>
      <c r="B44" s="28" t="s">
        <v>32</v>
      </c>
      <c r="C44" s="32"/>
      <c r="D44" s="33"/>
      <c r="E44" s="33"/>
      <c r="F44" s="33">
        <v>4</v>
      </c>
      <c r="G44" s="33"/>
      <c r="H44" s="33">
        <v>2</v>
      </c>
      <c r="I44" s="33">
        <v>2</v>
      </c>
      <c r="J44" s="39">
        <v>3</v>
      </c>
      <c r="K44" s="8"/>
      <c r="L44" s="8"/>
      <c r="M44" s="45" t="s">
        <v>49</v>
      </c>
      <c r="N44" s="45" t="s">
        <v>6</v>
      </c>
      <c r="O44" s="45" t="s">
        <v>7</v>
      </c>
      <c r="P44" s="45" t="s">
        <v>8</v>
      </c>
      <c r="Q44" s="45" t="s">
        <v>9</v>
      </c>
      <c r="R44" s="45" t="s">
        <v>10</v>
      </c>
      <c r="S44" s="45" t="s">
        <v>132</v>
      </c>
      <c r="T44" s="45" t="s">
        <v>133</v>
      </c>
      <c r="U44" s="45" t="s">
        <v>134</v>
      </c>
      <c r="V44" s="45" t="s">
        <v>50</v>
      </c>
      <c r="W44" s="45" t="s">
        <v>51</v>
      </c>
      <c r="X44" s="45"/>
      <c r="Y44" s="45"/>
    </row>
    <row r="45" spans="1:25">
      <c r="A45" s="8"/>
      <c r="B45" s="28" t="s">
        <v>34</v>
      </c>
      <c r="C45" s="32"/>
      <c r="D45" s="33">
        <v>2</v>
      </c>
      <c r="E45" s="33">
        <v>2</v>
      </c>
      <c r="F45" s="33"/>
      <c r="G45" s="33"/>
      <c r="H45" s="33">
        <v>1</v>
      </c>
      <c r="I45" s="33">
        <v>2</v>
      </c>
      <c r="J45" s="39"/>
      <c r="K45" s="8"/>
      <c r="L45" s="8"/>
      <c r="M45" s="45" t="s">
        <v>24</v>
      </c>
      <c r="N45" s="45">
        <f t="shared" ref="N45:N64" si="14">$N$19*C37</f>
        <v>8.6640625</v>
      </c>
      <c r="O45" s="45">
        <f t="shared" ref="O45:O64" si="15">$O$19*D37</f>
        <v>18.9375</v>
      </c>
      <c r="P45" s="45">
        <f t="shared" ref="P45:P64" si="16">$P$19*E37</f>
        <v>249.975</v>
      </c>
      <c r="Q45" s="45">
        <f t="shared" ref="Q45:Q64" si="17">$Q$19*F37</f>
        <v>130.9</v>
      </c>
      <c r="R45" s="45">
        <f t="shared" ref="R45:R64" si="18">$R$19*G37</f>
        <v>49.393125</v>
      </c>
      <c r="S45" s="45">
        <f t="shared" ref="S45:S64" si="19">$S$19*H37</f>
        <v>0</v>
      </c>
      <c r="T45" s="45">
        <f t="shared" ref="T45:T64" si="20">$T$19*I37</f>
        <v>0</v>
      </c>
      <c r="U45" s="45">
        <f t="shared" ref="U45:U64" si="21">$U$19*J37</f>
        <v>66.33</v>
      </c>
      <c r="V45" s="45">
        <f t="shared" ref="V45:V64" si="22">SUM(N45:R45)</f>
        <v>457.8696875</v>
      </c>
      <c r="W45" s="45">
        <v>444</v>
      </c>
      <c r="X45" s="45">
        <f t="shared" ref="X45:X64" si="23">W45*X22</f>
        <v>391.608</v>
      </c>
      <c r="Y45" s="45">
        <f t="shared" ref="Y45:Y64" si="24">X45-V45</f>
        <v>-66.2616875</v>
      </c>
    </row>
    <row r="46" spans="1:25">
      <c r="A46" s="8"/>
      <c r="B46" s="28" t="s">
        <v>36</v>
      </c>
      <c r="C46" s="32">
        <v>1</v>
      </c>
      <c r="D46" s="33"/>
      <c r="E46" s="33">
        <v>1</v>
      </c>
      <c r="F46" s="33">
        <v>1</v>
      </c>
      <c r="G46" s="33"/>
      <c r="H46" s="33"/>
      <c r="I46" s="33"/>
      <c r="J46" s="39">
        <v>1</v>
      </c>
      <c r="K46" s="8"/>
      <c r="L46" s="8"/>
      <c r="M46" s="45" t="s">
        <v>25</v>
      </c>
      <c r="N46" s="45">
        <f t="shared" si="14"/>
        <v>34.65625</v>
      </c>
      <c r="O46" s="45">
        <f t="shared" si="15"/>
        <v>0</v>
      </c>
      <c r="P46" s="45">
        <f t="shared" si="16"/>
        <v>124.9875</v>
      </c>
      <c r="Q46" s="45">
        <f t="shared" si="17"/>
        <v>65.45</v>
      </c>
      <c r="R46" s="45">
        <f t="shared" si="18"/>
        <v>0</v>
      </c>
      <c r="S46" s="45">
        <f t="shared" si="19"/>
        <v>0</v>
      </c>
      <c r="T46" s="45">
        <f t="shared" si="20"/>
        <v>0</v>
      </c>
      <c r="U46" s="45">
        <f t="shared" si="21"/>
        <v>33.165</v>
      </c>
      <c r="V46" s="45">
        <f t="shared" si="22"/>
        <v>225.09375</v>
      </c>
      <c r="W46" s="45">
        <v>240</v>
      </c>
      <c r="X46" s="45">
        <f t="shared" si="23"/>
        <v>211.68</v>
      </c>
      <c r="Y46" s="45">
        <f t="shared" si="24"/>
        <v>-13.41375</v>
      </c>
    </row>
    <row r="47" spans="1:25">
      <c r="A47" s="8"/>
      <c r="B47" s="28" t="s">
        <v>37</v>
      </c>
      <c r="C47" s="32">
        <v>2</v>
      </c>
      <c r="D47" s="33"/>
      <c r="E47" s="33"/>
      <c r="F47" s="33"/>
      <c r="G47" s="33">
        <v>4</v>
      </c>
      <c r="H47" s="33">
        <v>4</v>
      </c>
      <c r="I47" s="33">
        <v>2</v>
      </c>
      <c r="J47" s="39"/>
      <c r="K47" s="8"/>
      <c r="L47" s="8"/>
      <c r="M47" s="45" t="s">
        <v>26</v>
      </c>
      <c r="N47" s="45">
        <f t="shared" si="14"/>
        <v>0</v>
      </c>
      <c r="O47" s="45">
        <f t="shared" si="15"/>
        <v>0</v>
      </c>
      <c r="P47" s="45">
        <f t="shared" si="16"/>
        <v>0</v>
      </c>
      <c r="Q47" s="45">
        <f t="shared" si="17"/>
        <v>130.9</v>
      </c>
      <c r="R47" s="45">
        <f t="shared" si="18"/>
        <v>49.393125</v>
      </c>
      <c r="S47" s="45">
        <f t="shared" si="19"/>
        <v>123.28125</v>
      </c>
      <c r="T47" s="45">
        <f t="shared" si="20"/>
        <v>138.625</v>
      </c>
      <c r="U47" s="45">
        <f t="shared" si="21"/>
        <v>33.165</v>
      </c>
      <c r="V47" s="45">
        <f t="shared" si="22"/>
        <v>180.293125</v>
      </c>
      <c r="W47" s="45">
        <v>120</v>
      </c>
      <c r="X47" s="45">
        <f t="shared" si="23"/>
        <v>105.84</v>
      </c>
      <c r="Y47" s="45">
        <f t="shared" si="24"/>
        <v>-74.453125</v>
      </c>
    </row>
    <row r="48" spans="1:25">
      <c r="A48" s="8"/>
      <c r="B48" s="28" t="s">
        <v>38</v>
      </c>
      <c r="C48" s="32">
        <v>4</v>
      </c>
      <c r="D48" s="33"/>
      <c r="E48" s="33"/>
      <c r="F48" s="33"/>
      <c r="G48" s="33">
        <v>4</v>
      </c>
      <c r="H48" s="33">
        <v>3</v>
      </c>
      <c r="I48" s="33">
        <v>4</v>
      </c>
      <c r="J48" s="39"/>
      <c r="K48" s="8"/>
      <c r="L48" s="8"/>
      <c r="M48" s="45" t="s">
        <v>27</v>
      </c>
      <c r="N48" s="45">
        <f t="shared" si="14"/>
        <v>0</v>
      </c>
      <c r="O48" s="45">
        <f t="shared" si="15"/>
        <v>9.46875</v>
      </c>
      <c r="P48" s="45">
        <f t="shared" si="16"/>
        <v>124.9875</v>
      </c>
      <c r="Q48" s="45">
        <f t="shared" si="17"/>
        <v>65.45</v>
      </c>
      <c r="R48" s="45">
        <f t="shared" si="18"/>
        <v>0</v>
      </c>
      <c r="S48" s="45">
        <f t="shared" si="19"/>
        <v>0</v>
      </c>
      <c r="T48" s="45">
        <f t="shared" si="20"/>
        <v>0</v>
      </c>
      <c r="U48" s="45">
        <f t="shared" si="21"/>
        <v>0</v>
      </c>
      <c r="V48" s="45">
        <f t="shared" si="22"/>
        <v>199.90625</v>
      </c>
      <c r="W48" s="45">
        <v>192</v>
      </c>
      <c r="X48" s="45">
        <f t="shared" si="23"/>
        <v>169.344</v>
      </c>
      <c r="Y48" s="45">
        <f t="shared" si="24"/>
        <v>-30.56225</v>
      </c>
    </row>
    <row r="49" spans="1:25">
      <c r="A49" s="8"/>
      <c r="B49" s="28" t="s">
        <v>39</v>
      </c>
      <c r="C49" s="32">
        <v>2</v>
      </c>
      <c r="D49" s="33"/>
      <c r="E49" s="33"/>
      <c r="F49" s="33"/>
      <c r="G49" s="33">
        <v>2</v>
      </c>
      <c r="H49" s="33">
        <v>2</v>
      </c>
      <c r="I49" s="33">
        <v>1</v>
      </c>
      <c r="J49" s="39"/>
      <c r="K49" s="8"/>
      <c r="L49" s="8"/>
      <c r="M49" s="45" t="s">
        <v>29</v>
      </c>
      <c r="N49" s="45">
        <f t="shared" si="14"/>
        <v>0</v>
      </c>
      <c r="O49" s="45">
        <f t="shared" si="15"/>
        <v>9.46875</v>
      </c>
      <c r="P49" s="45">
        <f t="shared" si="16"/>
        <v>124.9875</v>
      </c>
      <c r="Q49" s="45">
        <f t="shared" si="17"/>
        <v>0</v>
      </c>
      <c r="R49" s="45">
        <f t="shared" si="18"/>
        <v>0</v>
      </c>
      <c r="S49" s="45">
        <f t="shared" si="19"/>
        <v>61.640625</v>
      </c>
      <c r="T49" s="45">
        <f t="shared" si="20"/>
        <v>34.65625</v>
      </c>
      <c r="U49" s="45">
        <f t="shared" si="21"/>
        <v>0</v>
      </c>
      <c r="V49" s="45">
        <f t="shared" si="22"/>
        <v>134.45625</v>
      </c>
      <c r="W49" s="45">
        <v>154.285714285714</v>
      </c>
      <c r="X49" s="45">
        <f t="shared" si="23"/>
        <v>136.08</v>
      </c>
      <c r="Y49" s="45">
        <f t="shared" si="24"/>
        <v>1.62374999999997</v>
      </c>
    </row>
    <row r="50" spans="1:25">
      <c r="A50" s="8"/>
      <c r="B50" s="28" t="s">
        <v>42</v>
      </c>
      <c r="C50" s="32"/>
      <c r="D50" s="33">
        <v>4</v>
      </c>
      <c r="E50" s="33">
        <v>2</v>
      </c>
      <c r="F50" s="33">
        <v>2</v>
      </c>
      <c r="G50" s="33">
        <v>2</v>
      </c>
      <c r="H50" s="33"/>
      <c r="I50" s="33"/>
      <c r="J50" s="39">
        <v>4</v>
      </c>
      <c r="K50" s="8"/>
      <c r="L50" s="8"/>
      <c r="M50" s="45" t="s">
        <v>30</v>
      </c>
      <c r="N50" s="45">
        <f t="shared" si="14"/>
        <v>8.6640625</v>
      </c>
      <c r="O50" s="45">
        <f t="shared" si="15"/>
        <v>0</v>
      </c>
      <c r="P50" s="45">
        <f t="shared" si="16"/>
        <v>0</v>
      </c>
      <c r="Q50" s="45">
        <f t="shared" si="17"/>
        <v>0</v>
      </c>
      <c r="R50" s="45">
        <f t="shared" si="18"/>
        <v>98.78625</v>
      </c>
      <c r="S50" s="45">
        <f t="shared" si="19"/>
        <v>0</v>
      </c>
      <c r="T50" s="45">
        <f t="shared" si="20"/>
        <v>0</v>
      </c>
      <c r="U50" s="45">
        <f t="shared" si="21"/>
        <v>99.495</v>
      </c>
      <c r="V50" s="45">
        <f t="shared" si="22"/>
        <v>107.4503125</v>
      </c>
      <c r="W50" s="45">
        <v>87.2727272727273</v>
      </c>
      <c r="X50" s="45">
        <f t="shared" si="23"/>
        <v>76.9745454545454</v>
      </c>
      <c r="Y50" s="45">
        <f t="shared" si="24"/>
        <v>-30.4757670454545</v>
      </c>
    </row>
    <row r="51" spans="1:25">
      <c r="A51" s="8"/>
      <c r="B51" s="28" t="s">
        <v>43</v>
      </c>
      <c r="C51" s="32"/>
      <c r="D51" s="33"/>
      <c r="E51" s="33"/>
      <c r="F51" s="33">
        <v>2</v>
      </c>
      <c r="G51" s="33"/>
      <c r="H51" s="33">
        <v>2</v>
      </c>
      <c r="I51" s="33"/>
      <c r="J51" s="39">
        <v>1</v>
      </c>
      <c r="K51" s="8"/>
      <c r="L51" s="8"/>
      <c r="M51" s="45" t="s">
        <v>31</v>
      </c>
      <c r="N51" s="45">
        <f t="shared" si="14"/>
        <v>0</v>
      </c>
      <c r="O51" s="45">
        <f t="shared" si="15"/>
        <v>37.875</v>
      </c>
      <c r="P51" s="45">
        <f t="shared" si="16"/>
        <v>0</v>
      </c>
      <c r="Q51" s="45">
        <f t="shared" si="17"/>
        <v>0</v>
      </c>
      <c r="R51" s="45">
        <f t="shared" si="18"/>
        <v>197.5725</v>
      </c>
      <c r="S51" s="45">
        <f t="shared" si="19"/>
        <v>0</v>
      </c>
      <c r="T51" s="45">
        <f t="shared" si="20"/>
        <v>34.65625</v>
      </c>
      <c r="U51" s="45">
        <f t="shared" si="21"/>
        <v>33.165</v>
      </c>
      <c r="V51" s="45">
        <f t="shared" si="22"/>
        <v>235.4475</v>
      </c>
      <c r="W51" s="45">
        <v>300</v>
      </c>
      <c r="X51" s="45">
        <f t="shared" si="23"/>
        <v>264.6</v>
      </c>
      <c r="Y51" s="45">
        <f t="shared" si="24"/>
        <v>29.1525</v>
      </c>
    </row>
    <row r="52" spans="1:25">
      <c r="A52" s="8"/>
      <c r="B52" s="28" t="s">
        <v>44</v>
      </c>
      <c r="C52" s="32"/>
      <c r="D52" s="33">
        <v>1</v>
      </c>
      <c r="E52" s="33">
        <v>4</v>
      </c>
      <c r="F52" s="33"/>
      <c r="G52" s="33"/>
      <c r="H52" s="33"/>
      <c r="I52" s="33"/>
      <c r="J52" s="39"/>
      <c r="K52" s="8"/>
      <c r="L52" s="8"/>
      <c r="M52" s="45" t="s">
        <v>32</v>
      </c>
      <c r="N52" s="45">
        <f t="shared" si="14"/>
        <v>0</v>
      </c>
      <c r="O52" s="45">
        <f t="shared" si="15"/>
        <v>0</v>
      </c>
      <c r="P52" s="45">
        <f t="shared" si="16"/>
        <v>0</v>
      </c>
      <c r="Q52" s="45">
        <f t="shared" si="17"/>
        <v>130.9</v>
      </c>
      <c r="R52" s="45">
        <f t="shared" si="18"/>
        <v>0</v>
      </c>
      <c r="S52" s="45">
        <f t="shared" si="19"/>
        <v>123.28125</v>
      </c>
      <c r="T52" s="45">
        <f t="shared" si="20"/>
        <v>69.3125</v>
      </c>
      <c r="U52" s="45">
        <f t="shared" si="21"/>
        <v>99.495</v>
      </c>
      <c r="V52" s="45">
        <f t="shared" si="22"/>
        <v>130.9</v>
      </c>
      <c r="W52" s="45">
        <v>90</v>
      </c>
      <c r="X52" s="45">
        <f t="shared" si="23"/>
        <v>79.38</v>
      </c>
      <c r="Y52" s="45">
        <f t="shared" si="24"/>
        <v>-51.52</v>
      </c>
    </row>
    <row r="53" spans="1:25">
      <c r="A53" s="8"/>
      <c r="B53" s="28" t="s">
        <v>45</v>
      </c>
      <c r="C53" s="32">
        <v>2</v>
      </c>
      <c r="D53" s="33"/>
      <c r="E53" s="33"/>
      <c r="F53" s="33"/>
      <c r="G53" s="33">
        <v>2</v>
      </c>
      <c r="H53" s="33">
        <v>2</v>
      </c>
      <c r="I53" s="33">
        <v>2</v>
      </c>
      <c r="J53" s="39">
        <v>1</v>
      </c>
      <c r="K53" s="8"/>
      <c r="L53" s="8"/>
      <c r="M53" s="45" t="s">
        <v>34</v>
      </c>
      <c r="N53" s="45">
        <f t="shared" si="14"/>
        <v>0</v>
      </c>
      <c r="O53" s="45">
        <f t="shared" si="15"/>
        <v>18.9375</v>
      </c>
      <c r="P53" s="45">
        <f t="shared" si="16"/>
        <v>124.9875</v>
      </c>
      <c r="Q53" s="45">
        <f t="shared" si="17"/>
        <v>0</v>
      </c>
      <c r="R53" s="45">
        <f t="shared" si="18"/>
        <v>0</v>
      </c>
      <c r="S53" s="45">
        <f t="shared" si="19"/>
        <v>61.640625</v>
      </c>
      <c r="T53" s="45">
        <f t="shared" si="20"/>
        <v>69.3125</v>
      </c>
      <c r="U53" s="45">
        <f t="shared" si="21"/>
        <v>0</v>
      </c>
      <c r="V53" s="45">
        <f t="shared" si="22"/>
        <v>143.925</v>
      </c>
      <c r="W53" s="45">
        <v>192</v>
      </c>
      <c r="X53" s="45">
        <f t="shared" si="23"/>
        <v>169.344</v>
      </c>
      <c r="Y53" s="45">
        <f t="shared" si="24"/>
        <v>25.419</v>
      </c>
    </row>
    <row r="54" spans="1:25">
      <c r="A54" s="8"/>
      <c r="B54" s="28" t="s">
        <v>46</v>
      </c>
      <c r="C54" s="32">
        <v>4</v>
      </c>
      <c r="D54" s="33">
        <v>1</v>
      </c>
      <c r="E54" s="33"/>
      <c r="F54" s="33"/>
      <c r="G54" s="33">
        <v>4</v>
      </c>
      <c r="H54" s="33">
        <v>1</v>
      </c>
      <c r="I54" s="33">
        <v>3</v>
      </c>
      <c r="J54" s="39"/>
      <c r="K54" s="8"/>
      <c r="L54" s="8"/>
      <c r="M54" s="45" t="s">
        <v>36</v>
      </c>
      <c r="N54" s="45">
        <f t="shared" si="14"/>
        <v>8.6640625</v>
      </c>
      <c r="O54" s="45">
        <f t="shared" si="15"/>
        <v>0</v>
      </c>
      <c r="P54" s="45">
        <f t="shared" si="16"/>
        <v>62.49375</v>
      </c>
      <c r="Q54" s="45">
        <f t="shared" si="17"/>
        <v>32.725</v>
      </c>
      <c r="R54" s="45">
        <f t="shared" si="18"/>
        <v>0</v>
      </c>
      <c r="S54" s="45">
        <f t="shared" si="19"/>
        <v>0</v>
      </c>
      <c r="T54" s="45">
        <f t="shared" si="20"/>
        <v>0</v>
      </c>
      <c r="U54" s="45">
        <f t="shared" si="21"/>
        <v>33.165</v>
      </c>
      <c r="V54" s="45">
        <f t="shared" si="22"/>
        <v>103.8828125</v>
      </c>
      <c r="W54" s="45">
        <v>96</v>
      </c>
      <c r="X54" s="45">
        <f t="shared" si="23"/>
        <v>84.672</v>
      </c>
      <c r="Y54" s="45">
        <f t="shared" si="24"/>
        <v>-19.2108125</v>
      </c>
    </row>
    <row r="55" spans="1:25">
      <c r="A55" s="8"/>
      <c r="B55" s="28" t="s">
        <v>47</v>
      </c>
      <c r="C55" s="32"/>
      <c r="D55" s="33">
        <v>2</v>
      </c>
      <c r="E55" s="33">
        <v>4</v>
      </c>
      <c r="F55" s="33">
        <v>4</v>
      </c>
      <c r="G55" s="33">
        <v>1</v>
      </c>
      <c r="H55" s="33"/>
      <c r="I55" s="33"/>
      <c r="J55" s="39">
        <v>3</v>
      </c>
      <c r="K55" s="8"/>
      <c r="L55" s="8"/>
      <c r="M55" s="45" t="s">
        <v>37</v>
      </c>
      <c r="N55" s="45">
        <f t="shared" si="14"/>
        <v>17.328125</v>
      </c>
      <c r="O55" s="45">
        <f t="shared" si="15"/>
        <v>0</v>
      </c>
      <c r="P55" s="45">
        <f t="shared" si="16"/>
        <v>0</v>
      </c>
      <c r="Q55" s="45">
        <f t="shared" si="17"/>
        <v>0</v>
      </c>
      <c r="R55" s="45">
        <f t="shared" si="18"/>
        <v>197.5725</v>
      </c>
      <c r="S55" s="45">
        <f t="shared" si="19"/>
        <v>246.5625</v>
      </c>
      <c r="T55" s="45">
        <f t="shared" si="20"/>
        <v>69.3125</v>
      </c>
      <c r="U55" s="45">
        <f t="shared" si="21"/>
        <v>0</v>
      </c>
      <c r="V55" s="45">
        <f t="shared" si="22"/>
        <v>214.900625</v>
      </c>
      <c r="W55" s="45">
        <v>168</v>
      </c>
      <c r="X55" s="45">
        <f t="shared" si="23"/>
        <v>148.176</v>
      </c>
      <c r="Y55" s="45">
        <f t="shared" si="24"/>
        <v>-66.724625</v>
      </c>
    </row>
    <row r="56" spans="1:25">
      <c r="A56" s="8"/>
      <c r="B56" s="14" t="s">
        <v>48</v>
      </c>
      <c r="C56" s="15"/>
      <c r="D56" s="16">
        <v>2</v>
      </c>
      <c r="E56" s="16">
        <v>3</v>
      </c>
      <c r="F56" s="16">
        <v>3</v>
      </c>
      <c r="G56" s="16"/>
      <c r="H56" s="16"/>
      <c r="I56" s="16"/>
      <c r="J56" s="44">
        <v>4</v>
      </c>
      <c r="K56" s="8"/>
      <c r="L56" s="8"/>
      <c r="M56" s="45" t="s">
        <v>38</v>
      </c>
      <c r="N56" s="45">
        <f t="shared" si="14"/>
        <v>34.65625</v>
      </c>
      <c r="O56" s="45">
        <f t="shared" si="15"/>
        <v>0</v>
      </c>
      <c r="P56" s="45">
        <f t="shared" si="16"/>
        <v>0</v>
      </c>
      <c r="Q56" s="45">
        <f t="shared" si="17"/>
        <v>0</v>
      </c>
      <c r="R56" s="45">
        <f t="shared" si="18"/>
        <v>197.5725</v>
      </c>
      <c r="S56" s="45">
        <f t="shared" si="19"/>
        <v>184.921875</v>
      </c>
      <c r="T56" s="45">
        <f t="shared" si="20"/>
        <v>138.625</v>
      </c>
      <c r="U56" s="45">
        <f t="shared" si="21"/>
        <v>0</v>
      </c>
      <c r="V56" s="45">
        <f t="shared" si="22"/>
        <v>232.22875</v>
      </c>
      <c r="W56" s="45">
        <v>213.333333333333</v>
      </c>
      <c r="X56" s="45">
        <f t="shared" si="23"/>
        <v>188.16</v>
      </c>
      <c r="Y56" s="45">
        <f t="shared" si="24"/>
        <v>-44.06875</v>
      </c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45" t="s">
        <v>39</v>
      </c>
      <c r="N57" s="45">
        <f t="shared" si="14"/>
        <v>17.328125</v>
      </c>
      <c r="O57" s="45">
        <f t="shared" si="15"/>
        <v>0</v>
      </c>
      <c r="P57" s="45">
        <f t="shared" si="16"/>
        <v>0</v>
      </c>
      <c r="Q57" s="45">
        <f t="shared" si="17"/>
        <v>0</v>
      </c>
      <c r="R57" s="45">
        <f t="shared" si="18"/>
        <v>98.78625</v>
      </c>
      <c r="S57" s="45">
        <f t="shared" si="19"/>
        <v>123.28125</v>
      </c>
      <c r="T57" s="45">
        <f t="shared" si="20"/>
        <v>34.65625</v>
      </c>
      <c r="U57" s="45">
        <f t="shared" si="21"/>
        <v>0</v>
      </c>
      <c r="V57" s="45">
        <f t="shared" si="22"/>
        <v>116.114375</v>
      </c>
      <c r="W57" s="45">
        <v>106.666666666667</v>
      </c>
      <c r="X57" s="45">
        <f t="shared" si="23"/>
        <v>94.08</v>
      </c>
      <c r="Y57" s="45">
        <f t="shared" si="24"/>
        <v>-22.034375</v>
      </c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45" t="s">
        <v>42</v>
      </c>
      <c r="N58" s="45">
        <f t="shared" si="14"/>
        <v>0</v>
      </c>
      <c r="O58" s="45">
        <f t="shared" si="15"/>
        <v>37.875</v>
      </c>
      <c r="P58" s="45">
        <f t="shared" si="16"/>
        <v>124.9875</v>
      </c>
      <c r="Q58" s="45">
        <f t="shared" si="17"/>
        <v>65.45</v>
      </c>
      <c r="R58" s="45">
        <f t="shared" si="18"/>
        <v>98.78625</v>
      </c>
      <c r="S58" s="45">
        <f t="shared" si="19"/>
        <v>0</v>
      </c>
      <c r="T58" s="45">
        <f t="shared" si="20"/>
        <v>0</v>
      </c>
      <c r="U58" s="45">
        <f t="shared" si="21"/>
        <v>132.66</v>
      </c>
      <c r="V58" s="45">
        <f t="shared" si="22"/>
        <v>327.09875</v>
      </c>
      <c r="W58" s="45">
        <v>400</v>
      </c>
      <c r="X58" s="45">
        <f t="shared" si="23"/>
        <v>352.8</v>
      </c>
      <c r="Y58" s="45">
        <f t="shared" si="24"/>
        <v>25.70125</v>
      </c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45" t="s">
        <v>43</v>
      </c>
      <c r="N59" s="45">
        <f t="shared" si="14"/>
        <v>0</v>
      </c>
      <c r="O59" s="45">
        <f t="shared" si="15"/>
        <v>0</v>
      </c>
      <c r="P59" s="45">
        <f t="shared" si="16"/>
        <v>0</v>
      </c>
      <c r="Q59" s="45">
        <f t="shared" si="17"/>
        <v>65.45</v>
      </c>
      <c r="R59" s="45">
        <f t="shared" si="18"/>
        <v>0</v>
      </c>
      <c r="S59" s="45">
        <f t="shared" si="19"/>
        <v>123.28125</v>
      </c>
      <c r="T59" s="45">
        <f t="shared" si="20"/>
        <v>0</v>
      </c>
      <c r="U59" s="45">
        <f t="shared" si="21"/>
        <v>33.165</v>
      </c>
      <c r="V59" s="45">
        <f t="shared" si="22"/>
        <v>65.45</v>
      </c>
      <c r="W59" s="45">
        <v>48</v>
      </c>
      <c r="X59" s="45">
        <f t="shared" si="23"/>
        <v>42.336</v>
      </c>
      <c r="Y59" s="45">
        <f t="shared" si="24"/>
        <v>-23.114</v>
      </c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45" t="s">
        <v>44</v>
      </c>
      <c r="N60" s="45">
        <f t="shared" si="14"/>
        <v>0</v>
      </c>
      <c r="O60" s="45">
        <f t="shared" si="15"/>
        <v>9.46875</v>
      </c>
      <c r="P60" s="45">
        <f t="shared" si="16"/>
        <v>249.975</v>
      </c>
      <c r="Q60" s="45">
        <f t="shared" si="17"/>
        <v>0</v>
      </c>
      <c r="R60" s="45">
        <f t="shared" si="18"/>
        <v>0</v>
      </c>
      <c r="S60" s="45">
        <f t="shared" si="19"/>
        <v>0</v>
      </c>
      <c r="T60" s="45">
        <f t="shared" si="20"/>
        <v>0</v>
      </c>
      <c r="U60" s="45">
        <f t="shared" si="21"/>
        <v>0</v>
      </c>
      <c r="V60" s="45">
        <f t="shared" si="22"/>
        <v>259.44375</v>
      </c>
      <c r="W60" s="45">
        <v>264</v>
      </c>
      <c r="X60" s="45">
        <f t="shared" si="23"/>
        <v>232.848</v>
      </c>
      <c r="Y60" s="45">
        <f t="shared" si="24"/>
        <v>-26.59575</v>
      </c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45" t="s">
        <v>45</v>
      </c>
      <c r="N61" s="45">
        <f t="shared" si="14"/>
        <v>17.328125</v>
      </c>
      <c r="O61" s="45">
        <f t="shared" si="15"/>
        <v>0</v>
      </c>
      <c r="P61" s="45">
        <f t="shared" si="16"/>
        <v>0</v>
      </c>
      <c r="Q61" s="45">
        <f t="shared" si="17"/>
        <v>0</v>
      </c>
      <c r="R61" s="45">
        <f t="shared" si="18"/>
        <v>98.78625</v>
      </c>
      <c r="S61" s="45">
        <f t="shared" si="19"/>
        <v>123.28125</v>
      </c>
      <c r="T61" s="45">
        <f t="shared" si="20"/>
        <v>69.3125</v>
      </c>
      <c r="U61" s="45">
        <f t="shared" si="21"/>
        <v>33.165</v>
      </c>
      <c r="V61" s="45">
        <f t="shared" si="22"/>
        <v>116.114375</v>
      </c>
      <c r="W61" s="45">
        <v>102.857142857143</v>
      </c>
      <c r="X61" s="45">
        <f t="shared" si="23"/>
        <v>90.72</v>
      </c>
      <c r="Y61" s="45">
        <f t="shared" si="24"/>
        <v>-25.394375</v>
      </c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45" t="s">
        <v>46</v>
      </c>
      <c r="N62" s="45">
        <f t="shared" si="14"/>
        <v>34.65625</v>
      </c>
      <c r="O62" s="45">
        <f t="shared" si="15"/>
        <v>9.46875</v>
      </c>
      <c r="P62" s="45">
        <f t="shared" si="16"/>
        <v>0</v>
      </c>
      <c r="Q62" s="45">
        <f t="shared" si="17"/>
        <v>0</v>
      </c>
      <c r="R62" s="45">
        <f t="shared" si="18"/>
        <v>197.5725</v>
      </c>
      <c r="S62" s="45">
        <f t="shared" si="19"/>
        <v>61.640625</v>
      </c>
      <c r="T62" s="45">
        <f t="shared" si="20"/>
        <v>103.96875</v>
      </c>
      <c r="U62" s="45">
        <f t="shared" si="21"/>
        <v>0</v>
      </c>
      <c r="V62" s="45">
        <f t="shared" si="22"/>
        <v>241.6975</v>
      </c>
      <c r="W62" s="45">
        <v>256</v>
      </c>
      <c r="X62" s="45">
        <f t="shared" si="23"/>
        <v>225.792</v>
      </c>
      <c r="Y62" s="45">
        <f t="shared" si="24"/>
        <v>-15.9055</v>
      </c>
    </row>
    <row r="63" spans="13:25">
      <c r="M63" s="45" t="s">
        <v>47</v>
      </c>
      <c r="N63" s="45">
        <f t="shared" si="14"/>
        <v>0</v>
      </c>
      <c r="O63" s="45">
        <f t="shared" si="15"/>
        <v>18.9375</v>
      </c>
      <c r="P63" s="45">
        <f t="shared" si="16"/>
        <v>249.975</v>
      </c>
      <c r="Q63" s="45">
        <f t="shared" si="17"/>
        <v>130.9</v>
      </c>
      <c r="R63" s="45">
        <f t="shared" si="18"/>
        <v>49.393125</v>
      </c>
      <c r="S63" s="45">
        <f t="shared" si="19"/>
        <v>0</v>
      </c>
      <c r="T63" s="45">
        <f t="shared" si="20"/>
        <v>0</v>
      </c>
      <c r="U63" s="45">
        <f t="shared" si="21"/>
        <v>99.495</v>
      </c>
      <c r="V63" s="45">
        <f t="shared" si="22"/>
        <v>449.205625</v>
      </c>
      <c r="W63" s="45">
        <v>422.4</v>
      </c>
      <c r="X63" s="45">
        <f t="shared" si="23"/>
        <v>372.5568</v>
      </c>
      <c r="Y63" s="45">
        <f t="shared" si="24"/>
        <v>-76.648825</v>
      </c>
    </row>
    <row r="64" spans="13:25">
      <c r="M64" s="45" t="s">
        <v>48</v>
      </c>
      <c r="N64" s="45">
        <f t="shared" si="14"/>
        <v>0</v>
      </c>
      <c r="O64" s="45">
        <f t="shared" si="15"/>
        <v>18.9375</v>
      </c>
      <c r="P64" s="45">
        <f t="shared" si="16"/>
        <v>187.48125</v>
      </c>
      <c r="Q64" s="45">
        <f t="shared" si="17"/>
        <v>98.175</v>
      </c>
      <c r="R64" s="45">
        <f t="shared" si="18"/>
        <v>0</v>
      </c>
      <c r="S64" s="45">
        <f t="shared" si="19"/>
        <v>0</v>
      </c>
      <c r="T64" s="45">
        <f t="shared" si="20"/>
        <v>0</v>
      </c>
      <c r="U64" s="45">
        <f t="shared" si="21"/>
        <v>132.66</v>
      </c>
      <c r="V64" s="45">
        <f t="shared" si="22"/>
        <v>304.59375</v>
      </c>
      <c r="W64" s="45">
        <v>320</v>
      </c>
      <c r="X64" s="45">
        <f t="shared" si="23"/>
        <v>282.24</v>
      </c>
      <c r="Y64" s="45">
        <f t="shared" si="24"/>
        <v>-22.35375</v>
      </c>
    </row>
    <row r="67" spans="13:25">
      <c r="M67" s="47" t="s">
        <v>52</v>
      </c>
      <c r="N67" s="47" t="s">
        <v>6</v>
      </c>
      <c r="O67" s="47" t="s">
        <v>7</v>
      </c>
      <c r="P67" s="47" t="s">
        <v>8</v>
      </c>
      <c r="Q67" s="47" t="s">
        <v>9</v>
      </c>
      <c r="R67" s="47" t="s">
        <v>10</v>
      </c>
      <c r="S67" s="47" t="s">
        <v>132</v>
      </c>
      <c r="T67" s="47" t="s">
        <v>133</v>
      </c>
      <c r="U67" s="47" t="s">
        <v>134</v>
      </c>
      <c r="V67" s="47" t="s">
        <v>53</v>
      </c>
      <c r="W67" s="47" t="s">
        <v>20</v>
      </c>
      <c r="X67" s="47" t="s">
        <v>21</v>
      </c>
      <c r="Y67" s="47" t="s">
        <v>54</v>
      </c>
    </row>
    <row r="68" spans="13:25">
      <c r="M68" s="47" t="s">
        <v>24</v>
      </c>
      <c r="N68" s="47">
        <f>($C$18+2.576*$C$23)*C37</f>
        <v>27857.580017119</v>
      </c>
      <c r="O68" s="47">
        <f>($D$18+2.576*$D$23)*D37</f>
        <v>55715.1600342381</v>
      </c>
      <c r="P68" s="47">
        <f>($E$18+2.576*$E$23)*E37</f>
        <v>738412.240479333</v>
      </c>
      <c r="Q68" s="47">
        <f>($F$18+2.576*$F$23)*F37</f>
        <v>453151.600342381</v>
      </c>
      <c r="R68" s="47">
        <f>($G$18+2.576*$G$23)*G37</f>
        <v>145972.740051357</v>
      </c>
      <c r="S68" s="47">
        <f>($H$18+2.576*$H$23)*H37</f>
        <v>0</v>
      </c>
      <c r="T68" s="47">
        <f>($I$18+2.576*$I$23)*I37</f>
        <v>0</v>
      </c>
      <c r="U68" s="47">
        <f>($J$18+2.576*$J$23)*J37</f>
        <v>234372.740051357</v>
      </c>
      <c r="V68" s="47">
        <f>SUM(N68:U68)</f>
        <v>1655482.06097579</v>
      </c>
      <c r="W68" s="47">
        <v>12.75</v>
      </c>
      <c r="X68" s="47">
        <f>0.98*0.9</f>
        <v>0.882</v>
      </c>
      <c r="Y68" s="47">
        <f>V68*W68/X68</f>
        <v>23931288.2964187</v>
      </c>
    </row>
    <row r="69" spans="13:25">
      <c r="M69" s="47" t="s">
        <v>25</v>
      </c>
      <c r="N69" s="47">
        <f t="shared" ref="N69:N87" si="25">($C$18+2.576*$C$23)*C38</f>
        <v>111430.320068476</v>
      </c>
      <c r="O69" s="47">
        <f t="shared" ref="O69:O87" si="26">($D$18+2.576*$D$23)*D38</f>
        <v>0</v>
      </c>
      <c r="P69" s="47">
        <f t="shared" ref="P69:P87" si="27">($E$18+2.576*$E$23)*E38</f>
        <v>369206.120239667</v>
      </c>
      <c r="Q69" s="47">
        <f t="shared" ref="Q69:Q87" si="28">($F$18+2.576*$F$23)*F38</f>
        <v>226575.80017119</v>
      </c>
      <c r="R69" s="47">
        <f t="shared" ref="R69:R87" si="29">($G$18+2.576*$G$23)*G38</f>
        <v>0</v>
      </c>
      <c r="S69" s="47">
        <f t="shared" ref="S69:S87" si="30">($H$18+2.576*$H$23)*H38</f>
        <v>0</v>
      </c>
      <c r="T69" s="47">
        <f t="shared" ref="T69:T87" si="31">($I$18+2.576*$I$23)*I38</f>
        <v>0</v>
      </c>
      <c r="U69" s="47">
        <f t="shared" ref="U69:U87" si="32">($J$18+2.576*$J$23)*J38</f>
        <v>117186.370025679</v>
      </c>
      <c r="V69" s="47">
        <f t="shared" ref="V69:V87" si="33">SUM(N69:U69)</f>
        <v>824398.610505012</v>
      </c>
      <c r="W69" s="47">
        <v>7.75</v>
      </c>
      <c r="X69" s="47">
        <f t="shared" ref="X69:X78" si="34">0.98*0.9</f>
        <v>0.882</v>
      </c>
      <c r="Y69" s="47">
        <f t="shared" ref="Y69:Y87" si="35">V69*W69/X69</f>
        <v>7243865.34173905</v>
      </c>
    </row>
    <row r="70" spans="13:25">
      <c r="M70" s="47" t="s">
        <v>26</v>
      </c>
      <c r="N70" s="47">
        <f t="shared" si="25"/>
        <v>0</v>
      </c>
      <c r="O70" s="47">
        <f t="shared" si="26"/>
        <v>0</v>
      </c>
      <c r="P70" s="47">
        <f t="shared" si="27"/>
        <v>0</v>
      </c>
      <c r="Q70" s="47">
        <f t="shared" si="28"/>
        <v>453151.600342381</v>
      </c>
      <c r="R70" s="47">
        <f t="shared" si="29"/>
        <v>145972.740051357</v>
      </c>
      <c r="S70" s="47">
        <f t="shared" si="30"/>
        <v>330575.80017119</v>
      </c>
      <c r="T70" s="47">
        <f t="shared" si="31"/>
        <v>432346.704150648</v>
      </c>
      <c r="U70" s="47">
        <f t="shared" si="32"/>
        <v>117186.370025679</v>
      </c>
      <c r="V70" s="47">
        <f t="shared" si="33"/>
        <v>1479233.21474125</v>
      </c>
      <c r="W70" s="47">
        <v>9.5</v>
      </c>
      <c r="X70" s="47">
        <f t="shared" si="34"/>
        <v>0.882</v>
      </c>
      <c r="Y70" s="47">
        <f t="shared" si="35"/>
        <v>15932784.0590044</v>
      </c>
    </row>
    <row r="71" spans="13:25">
      <c r="M71" s="47" t="s">
        <v>27</v>
      </c>
      <c r="N71" s="47">
        <f t="shared" si="25"/>
        <v>0</v>
      </c>
      <c r="O71" s="47">
        <f t="shared" si="26"/>
        <v>27857.580017119</v>
      </c>
      <c r="P71" s="47">
        <f t="shared" si="27"/>
        <v>369206.120239667</v>
      </c>
      <c r="Q71" s="47">
        <f t="shared" si="28"/>
        <v>226575.80017119</v>
      </c>
      <c r="R71" s="47">
        <f t="shared" si="29"/>
        <v>0</v>
      </c>
      <c r="S71" s="47">
        <f t="shared" si="30"/>
        <v>0</v>
      </c>
      <c r="T71" s="47">
        <f t="shared" si="31"/>
        <v>0</v>
      </c>
      <c r="U71" s="47">
        <f t="shared" si="32"/>
        <v>0</v>
      </c>
      <c r="V71" s="47">
        <f t="shared" si="33"/>
        <v>623639.500427976</v>
      </c>
      <c r="W71" s="47">
        <v>7.5</v>
      </c>
      <c r="X71" s="47">
        <f t="shared" si="34"/>
        <v>0.882</v>
      </c>
      <c r="Y71" s="47">
        <f t="shared" si="35"/>
        <v>5303056.97642837</v>
      </c>
    </row>
    <row r="72" spans="13:25">
      <c r="M72" s="47" t="s">
        <v>29</v>
      </c>
      <c r="N72" s="47">
        <f t="shared" si="25"/>
        <v>0</v>
      </c>
      <c r="O72" s="47">
        <f t="shared" si="26"/>
        <v>27857.580017119</v>
      </c>
      <c r="P72" s="47">
        <f t="shared" si="27"/>
        <v>369206.120239667</v>
      </c>
      <c r="Q72" s="47">
        <f t="shared" si="28"/>
        <v>0</v>
      </c>
      <c r="R72" s="47">
        <f t="shared" si="29"/>
        <v>0</v>
      </c>
      <c r="S72" s="47">
        <f t="shared" si="30"/>
        <v>165287.900085595</v>
      </c>
      <c r="T72" s="47">
        <f t="shared" si="31"/>
        <v>108086.676037662</v>
      </c>
      <c r="U72" s="47">
        <f t="shared" si="32"/>
        <v>0</v>
      </c>
      <c r="V72" s="47">
        <f t="shared" si="33"/>
        <v>670438.276380043</v>
      </c>
      <c r="W72" s="47">
        <v>7.5</v>
      </c>
      <c r="X72" s="47">
        <f t="shared" si="34"/>
        <v>0.882</v>
      </c>
      <c r="Y72" s="47">
        <f t="shared" si="35"/>
        <v>5701005.75153098</v>
      </c>
    </row>
    <row r="73" spans="13:25">
      <c r="M73" s="47" t="s">
        <v>30</v>
      </c>
      <c r="N73" s="47">
        <f t="shared" si="25"/>
        <v>27857.580017119</v>
      </c>
      <c r="O73" s="47">
        <f t="shared" si="26"/>
        <v>0</v>
      </c>
      <c r="P73" s="47">
        <f t="shared" si="27"/>
        <v>0</v>
      </c>
      <c r="Q73" s="47">
        <f t="shared" si="28"/>
        <v>0</v>
      </c>
      <c r="R73" s="47">
        <f t="shared" si="29"/>
        <v>291945.480102714</v>
      </c>
      <c r="S73" s="47">
        <f t="shared" si="30"/>
        <v>0</v>
      </c>
      <c r="T73" s="47">
        <f t="shared" si="31"/>
        <v>0</v>
      </c>
      <c r="U73" s="47">
        <f t="shared" si="32"/>
        <v>351559.110077036</v>
      </c>
      <c r="V73" s="47">
        <f t="shared" si="33"/>
        <v>671362.170196869</v>
      </c>
      <c r="W73" s="47">
        <v>10.5</v>
      </c>
      <c r="X73" s="47">
        <f t="shared" si="34"/>
        <v>0.882</v>
      </c>
      <c r="Y73" s="47">
        <f t="shared" si="35"/>
        <v>7992406.78805797</v>
      </c>
    </row>
    <row r="74" spans="13:25">
      <c r="M74" s="47" t="s">
        <v>31</v>
      </c>
      <c r="N74" s="47">
        <f t="shared" si="25"/>
        <v>0</v>
      </c>
      <c r="O74" s="47">
        <f t="shared" si="26"/>
        <v>111430.320068476</v>
      </c>
      <c r="P74" s="47">
        <f t="shared" si="27"/>
        <v>0</v>
      </c>
      <c r="Q74" s="47">
        <f t="shared" si="28"/>
        <v>0</v>
      </c>
      <c r="R74" s="47">
        <f t="shared" si="29"/>
        <v>583890.960205429</v>
      </c>
      <c r="S74" s="47">
        <f t="shared" si="30"/>
        <v>0</v>
      </c>
      <c r="T74" s="47">
        <f t="shared" si="31"/>
        <v>108086.676037662</v>
      </c>
      <c r="U74" s="47">
        <f t="shared" si="32"/>
        <v>117186.370025679</v>
      </c>
      <c r="V74" s="47">
        <f t="shared" si="33"/>
        <v>920594.326337245</v>
      </c>
      <c r="W74" s="47">
        <v>10</v>
      </c>
      <c r="X74" s="47">
        <f t="shared" si="34"/>
        <v>0.882</v>
      </c>
      <c r="Y74" s="47">
        <f t="shared" si="35"/>
        <v>10437577.3961139</v>
      </c>
    </row>
    <row r="75" spans="13:25">
      <c r="M75" s="47" t="s">
        <v>32</v>
      </c>
      <c r="N75" s="47">
        <f t="shared" si="25"/>
        <v>0</v>
      </c>
      <c r="O75" s="47">
        <f t="shared" si="26"/>
        <v>0</v>
      </c>
      <c r="P75" s="47">
        <f t="shared" si="27"/>
        <v>0</v>
      </c>
      <c r="Q75" s="47">
        <f t="shared" si="28"/>
        <v>453151.600342381</v>
      </c>
      <c r="R75" s="47">
        <f t="shared" si="29"/>
        <v>0</v>
      </c>
      <c r="S75" s="47">
        <f t="shared" si="30"/>
        <v>330575.80017119</v>
      </c>
      <c r="T75" s="47">
        <f t="shared" si="31"/>
        <v>216173.352075324</v>
      </c>
      <c r="U75" s="47">
        <f t="shared" si="32"/>
        <v>351559.110077036</v>
      </c>
      <c r="V75" s="47">
        <f t="shared" si="33"/>
        <v>1351459.86266593</v>
      </c>
      <c r="W75" s="47">
        <v>4.75</v>
      </c>
      <c r="X75" s="47">
        <f t="shared" si="34"/>
        <v>0.882</v>
      </c>
      <c r="Y75" s="47">
        <f t="shared" si="35"/>
        <v>7278270.23544577</v>
      </c>
    </row>
    <row r="76" spans="13:25">
      <c r="M76" s="47" t="s">
        <v>34</v>
      </c>
      <c r="N76" s="47">
        <f t="shared" si="25"/>
        <v>0</v>
      </c>
      <c r="O76" s="47">
        <f t="shared" si="26"/>
        <v>55715.1600342381</v>
      </c>
      <c r="P76" s="47">
        <f t="shared" si="27"/>
        <v>369206.120239667</v>
      </c>
      <c r="Q76" s="47">
        <f t="shared" si="28"/>
        <v>0</v>
      </c>
      <c r="R76" s="47">
        <f t="shared" si="29"/>
        <v>0</v>
      </c>
      <c r="S76" s="47">
        <f t="shared" si="30"/>
        <v>165287.900085595</v>
      </c>
      <c r="T76" s="47">
        <f t="shared" si="31"/>
        <v>216173.352075324</v>
      </c>
      <c r="U76" s="47">
        <f t="shared" si="32"/>
        <v>0</v>
      </c>
      <c r="V76" s="47">
        <f t="shared" si="33"/>
        <v>806382.532434824</v>
      </c>
      <c r="W76" s="47">
        <v>8.5</v>
      </c>
      <c r="X76" s="47">
        <f t="shared" si="34"/>
        <v>0.882</v>
      </c>
      <c r="Y76" s="47">
        <f t="shared" si="35"/>
        <v>7771260.23321542</v>
      </c>
    </row>
    <row r="77" spans="13:25">
      <c r="M77" s="47" t="s">
        <v>36</v>
      </c>
      <c r="N77" s="47">
        <f t="shared" si="25"/>
        <v>27857.580017119</v>
      </c>
      <c r="O77" s="47">
        <f t="shared" si="26"/>
        <v>0</v>
      </c>
      <c r="P77" s="47">
        <f t="shared" si="27"/>
        <v>184603.060119833</v>
      </c>
      <c r="Q77" s="47">
        <f t="shared" si="28"/>
        <v>113287.900085595</v>
      </c>
      <c r="R77" s="47">
        <f t="shared" si="29"/>
        <v>0</v>
      </c>
      <c r="S77" s="47">
        <f t="shared" si="30"/>
        <v>0</v>
      </c>
      <c r="T77" s="47">
        <f t="shared" si="31"/>
        <v>0</v>
      </c>
      <c r="U77" s="47">
        <f t="shared" si="32"/>
        <v>117186.370025679</v>
      </c>
      <c r="V77" s="47">
        <f t="shared" si="33"/>
        <v>442934.910248226</v>
      </c>
      <c r="W77" s="47">
        <v>6.5</v>
      </c>
      <c r="X77" s="47">
        <f t="shared" si="34"/>
        <v>0.882</v>
      </c>
      <c r="Y77" s="47">
        <f t="shared" si="35"/>
        <v>3264259.54264566</v>
      </c>
    </row>
    <row r="78" spans="13:25">
      <c r="M78" s="47" t="s">
        <v>37</v>
      </c>
      <c r="N78" s="47">
        <f t="shared" si="25"/>
        <v>55715.1600342381</v>
      </c>
      <c r="O78" s="47">
        <f t="shared" si="26"/>
        <v>0</v>
      </c>
      <c r="P78" s="47">
        <f t="shared" si="27"/>
        <v>0</v>
      </c>
      <c r="Q78" s="47">
        <f t="shared" si="28"/>
        <v>0</v>
      </c>
      <c r="R78" s="47">
        <f t="shared" si="29"/>
        <v>583890.960205429</v>
      </c>
      <c r="S78" s="47">
        <f t="shared" si="30"/>
        <v>661151.600342381</v>
      </c>
      <c r="T78" s="47">
        <f t="shared" si="31"/>
        <v>216173.352075324</v>
      </c>
      <c r="U78" s="47">
        <f t="shared" si="32"/>
        <v>0</v>
      </c>
      <c r="V78" s="47">
        <f t="shared" si="33"/>
        <v>1516931.07265737</v>
      </c>
      <c r="W78" s="47">
        <v>4</v>
      </c>
      <c r="X78" s="47">
        <f t="shared" si="34"/>
        <v>0.882</v>
      </c>
      <c r="Y78" s="47">
        <f t="shared" si="35"/>
        <v>6879505.99844613</v>
      </c>
    </row>
    <row r="79" spans="13:25">
      <c r="M79" s="47" t="s">
        <v>38</v>
      </c>
      <c r="N79" s="47">
        <f t="shared" si="25"/>
        <v>111430.320068476</v>
      </c>
      <c r="O79" s="47">
        <f t="shared" si="26"/>
        <v>0</v>
      </c>
      <c r="P79" s="47">
        <f t="shared" si="27"/>
        <v>0</v>
      </c>
      <c r="Q79" s="47">
        <f t="shared" si="28"/>
        <v>0</v>
      </c>
      <c r="R79" s="47">
        <f t="shared" si="29"/>
        <v>583890.960205429</v>
      </c>
      <c r="S79" s="47">
        <f t="shared" si="30"/>
        <v>495863.700256786</v>
      </c>
      <c r="T79" s="47">
        <f t="shared" si="31"/>
        <v>432346.704150648</v>
      </c>
      <c r="U79" s="47">
        <f t="shared" si="32"/>
        <v>0</v>
      </c>
      <c r="V79" s="47">
        <f t="shared" si="33"/>
        <v>1623531.68468134</v>
      </c>
      <c r="W79" s="47">
        <v>6</v>
      </c>
      <c r="X79" s="47">
        <f t="shared" ref="X79:X87" si="36">0.98*0.9</f>
        <v>0.882</v>
      </c>
      <c r="Y79" s="47">
        <f t="shared" si="35"/>
        <v>11044433.2291247</v>
      </c>
    </row>
    <row r="80" spans="13:25">
      <c r="M80" s="47" t="s">
        <v>39</v>
      </c>
      <c r="N80" s="47">
        <f t="shared" si="25"/>
        <v>55715.1600342381</v>
      </c>
      <c r="O80" s="47">
        <f t="shared" si="26"/>
        <v>0</v>
      </c>
      <c r="P80" s="47">
        <f t="shared" si="27"/>
        <v>0</v>
      </c>
      <c r="Q80" s="47">
        <f t="shared" si="28"/>
        <v>0</v>
      </c>
      <c r="R80" s="47">
        <f t="shared" si="29"/>
        <v>291945.480102714</v>
      </c>
      <c r="S80" s="47">
        <f t="shared" si="30"/>
        <v>330575.80017119</v>
      </c>
      <c r="T80" s="47">
        <f t="shared" si="31"/>
        <v>108086.676037662</v>
      </c>
      <c r="U80" s="47">
        <f t="shared" si="32"/>
        <v>0</v>
      </c>
      <c r="V80" s="47">
        <f t="shared" si="33"/>
        <v>786323.116345805</v>
      </c>
      <c r="W80" s="47">
        <v>7.5</v>
      </c>
      <c r="X80" s="47">
        <f t="shared" si="36"/>
        <v>0.882</v>
      </c>
      <c r="Y80" s="47">
        <f t="shared" si="35"/>
        <v>6686421.05736228</v>
      </c>
    </row>
    <row r="81" spans="13:25">
      <c r="M81" s="47" t="s">
        <v>42</v>
      </c>
      <c r="N81" s="47">
        <f t="shared" si="25"/>
        <v>0</v>
      </c>
      <c r="O81" s="47">
        <f t="shared" si="26"/>
        <v>111430.320068476</v>
      </c>
      <c r="P81" s="47">
        <f t="shared" si="27"/>
        <v>369206.120239667</v>
      </c>
      <c r="Q81" s="47">
        <f t="shared" si="28"/>
        <v>226575.80017119</v>
      </c>
      <c r="R81" s="47">
        <f t="shared" si="29"/>
        <v>291945.480102714</v>
      </c>
      <c r="S81" s="47">
        <f t="shared" si="30"/>
        <v>0</v>
      </c>
      <c r="T81" s="47">
        <f t="shared" si="31"/>
        <v>0</v>
      </c>
      <c r="U81" s="47">
        <f t="shared" si="32"/>
        <v>468745.480102714</v>
      </c>
      <c r="V81" s="47">
        <f t="shared" si="33"/>
        <v>1467903.20068476</v>
      </c>
      <c r="W81" s="47">
        <v>4.75</v>
      </c>
      <c r="X81" s="47">
        <f t="shared" si="36"/>
        <v>0.882</v>
      </c>
      <c r="Y81" s="47">
        <f t="shared" si="35"/>
        <v>7905374.38010501</v>
      </c>
    </row>
    <row r="82" spans="13:25">
      <c r="M82" s="47" t="s">
        <v>43</v>
      </c>
      <c r="N82" s="47">
        <f t="shared" si="25"/>
        <v>0</v>
      </c>
      <c r="O82" s="47">
        <f t="shared" si="26"/>
        <v>0</v>
      </c>
      <c r="P82" s="47">
        <f t="shared" si="27"/>
        <v>0</v>
      </c>
      <c r="Q82" s="47">
        <f t="shared" si="28"/>
        <v>226575.80017119</v>
      </c>
      <c r="R82" s="47">
        <f t="shared" si="29"/>
        <v>0</v>
      </c>
      <c r="S82" s="47">
        <f t="shared" si="30"/>
        <v>330575.80017119</v>
      </c>
      <c r="T82" s="47">
        <f t="shared" si="31"/>
        <v>0</v>
      </c>
      <c r="U82" s="47">
        <f t="shared" si="32"/>
        <v>117186.370025679</v>
      </c>
      <c r="V82" s="47">
        <f t="shared" si="33"/>
        <v>674337.970368059</v>
      </c>
      <c r="W82" s="47">
        <v>7.5</v>
      </c>
      <c r="X82" s="47">
        <f t="shared" si="36"/>
        <v>0.882</v>
      </c>
      <c r="Y82" s="47">
        <f t="shared" si="35"/>
        <v>5734166.41469438</v>
      </c>
    </row>
    <row r="83" spans="13:25">
      <c r="M83" s="47" t="s">
        <v>44</v>
      </c>
      <c r="N83" s="47">
        <f t="shared" si="25"/>
        <v>0</v>
      </c>
      <c r="O83" s="47">
        <f t="shared" si="26"/>
        <v>27857.580017119</v>
      </c>
      <c r="P83" s="47">
        <f t="shared" si="27"/>
        <v>738412.240479333</v>
      </c>
      <c r="Q83" s="47">
        <f t="shared" si="28"/>
        <v>0</v>
      </c>
      <c r="R83" s="47">
        <f t="shared" si="29"/>
        <v>0</v>
      </c>
      <c r="S83" s="47">
        <f t="shared" si="30"/>
        <v>0</v>
      </c>
      <c r="T83" s="47">
        <f t="shared" si="31"/>
        <v>0</v>
      </c>
      <c r="U83" s="47">
        <f t="shared" si="32"/>
        <v>0</v>
      </c>
      <c r="V83" s="47">
        <f t="shared" si="33"/>
        <v>766269.820496452</v>
      </c>
      <c r="W83" s="47">
        <v>10</v>
      </c>
      <c r="X83" s="47">
        <f t="shared" si="36"/>
        <v>0.882</v>
      </c>
      <c r="Y83" s="47">
        <f t="shared" si="35"/>
        <v>8687866.44553801</v>
      </c>
    </row>
    <row r="84" spans="13:25">
      <c r="M84" s="47" t="s">
        <v>45</v>
      </c>
      <c r="N84" s="47">
        <f t="shared" si="25"/>
        <v>55715.1600342381</v>
      </c>
      <c r="O84" s="47">
        <f t="shared" si="26"/>
        <v>0</v>
      </c>
      <c r="P84" s="47">
        <f t="shared" si="27"/>
        <v>0</v>
      </c>
      <c r="Q84" s="47">
        <f t="shared" si="28"/>
        <v>0</v>
      </c>
      <c r="R84" s="47">
        <f t="shared" si="29"/>
        <v>291945.480102714</v>
      </c>
      <c r="S84" s="47">
        <f t="shared" si="30"/>
        <v>330575.80017119</v>
      </c>
      <c r="T84" s="47">
        <f t="shared" si="31"/>
        <v>216173.352075324</v>
      </c>
      <c r="U84" s="47">
        <f t="shared" si="32"/>
        <v>117186.370025679</v>
      </c>
      <c r="V84" s="47">
        <f t="shared" si="33"/>
        <v>1011596.16240915</v>
      </c>
      <c r="W84" s="47">
        <v>7.25</v>
      </c>
      <c r="X84" s="47">
        <f t="shared" si="36"/>
        <v>0.882</v>
      </c>
      <c r="Y84" s="47">
        <f t="shared" si="35"/>
        <v>8315274.57762619</v>
      </c>
    </row>
    <row r="85" spans="13:25">
      <c r="M85" s="47" t="s">
        <v>46</v>
      </c>
      <c r="N85" s="47">
        <f t="shared" si="25"/>
        <v>111430.320068476</v>
      </c>
      <c r="O85" s="47">
        <f t="shared" si="26"/>
        <v>27857.580017119</v>
      </c>
      <c r="P85" s="47">
        <f t="shared" si="27"/>
        <v>0</v>
      </c>
      <c r="Q85" s="47">
        <f t="shared" si="28"/>
        <v>0</v>
      </c>
      <c r="R85" s="47">
        <f t="shared" si="29"/>
        <v>583890.960205429</v>
      </c>
      <c r="S85" s="47">
        <f t="shared" si="30"/>
        <v>165287.900085595</v>
      </c>
      <c r="T85" s="47">
        <f t="shared" si="31"/>
        <v>324260.028112986</v>
      </c>
      <c r="U85" s="47">
        <f t="shared" si="32"/>
        <v>0</v>
      </c>
      <c r="V85" s="47">
        <f t="shared" si="33"/>
        <v>1212726.7884896</v>
      </c>
      <c r="W85" s="47">
        <v>6.25</v>
      </c>
      <c r="X85" s="47">
        <f t="shared" si="36"/>
        <v>0.882</v>
      </c>
      <c r="Y85" s="47">
        <f t="shared" si="35"/>
        <v>8593585.51934244</v>
      </c>
    </row>
    <row r="86" spans="13:25">
      <c r="M86" s="47" t="s">
        <v>47</v>
      </c>
      <c r="N86" s="47">
        <f t="shared" si="25"/>
        <v>0</v>
      </c>
      <c r="O86" s="47">
        <f t="shared" si="26"/>
        <v>55715.1600342381</v>
      </c>
      <c r="P86" s="47">
        <f t="shared" si="27"/>
        <v>738412.240479333</v>
      </c>
      <c r="Q86" s="47">
        <f t="shared" si="28"/>
        <v>453151.600342381</v>
      </c>
      <c r="R86" s="47">
        <f t="shared" si="29"/>
        <v>145972.740051357</v>
      </c>
      <c r="S86" s="47">
        <f t="shared" si="30"/>
        <v>0</v>
      </c>
      <c r="T86" s="47">
        <f t="shared" si="31"/>
        <v>0</v>
      </c>
      <c r="U86" s="47">
        <f t="shared" si="32"/>
        <v>351559.110077036</v>
      </c>
      <c r="V86" s="47">
        <f t="shared" si="33"/>
        <v>1744810.85098435</v>
      </c>
      <c r="W86" s="47">
        <v>10.5</v>
      </c>
      <c r="X86" s="47">
        <f t="shared" si="36"/>
        <v>0.882</v>
      </c>
      <c r="Y86" s="47">
        <f t="shared" si="35"/>
        <v>20771557.7498136</v>
      </c>
    </row>
    <row r="87" spans="13:25">
      <c r="M87" s="47" t="s">
        <v>48</v>
      </c>
      <c r="N87" s="47">
        <f t="shared" si="25"/>
        <v>0</v>
      </c>
      <c r="O87" s="47">
        <f t="shared" si="26"/>
        <v>55715.1600342381</v>
      </c>
      <c r="P87" s="47">
        <f t="shared" si="27"/>
        <v>553809.1803595</v>
      </c>
      <c r="Q87" s="47">
        <f t="shared" si="28"/>
        <v>339863.700256786</v>
      </c>
      <c r="R87" s="47">
        <f t="shared" si="29"/>
        <v>0</v>
      </c>
      <c r="S87" s="47">
        <f t="shared" si="30"/>
        <v>0</v>
      </c>
      <c r="T87" s="47">
        <f t="shared" si="31"/>
        <v>0</v>
      </c>
      <c r="U87" s="47">
        <f t="shared" si="32"/>
        <v>468745.480102714</v>
      </c>
      <c r="V87" s="47">
        <f t="shared" si="33"/>
        <v>1418133.52075324</v>
      </c>
      <c r="W87" s="47">
        <v>5.75</v>
      </c>
      <c r="X87" s="47">
        <f t="shared" si="36"/>
        <v>0.882</v>
      </c>
      <c r="Y87" s="47">
        <f t="shared" si="35"/>
        <v>9245201.52418494</v>
      </c>
    </row>
  </sheetData>
  <mergeCells count="5">
    <mergeCell ref="B16:H16"/>
    <mergeCell ref="B21:H21"/>
    <mergeCell ref="B26:H26"/>
    <mergeCell ref="B30:H30"/>
    <mergeCell ref="C35:J3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zoomScale="50" zoomScaleNormal="50" workbookViewId="0">
      <selection activeCell="U80" sqref="U80"/>
    </sheetView>
  </sheetViews>
  <sheetFormatPr defaultColWidth="8.88888888888889" defaultRowHeight="17.6"/>
  <cols>
    <col min="1" max="1" width="22.4513888888889" customWidth="1"/>
    <col min="2" max="2" width="21.4097222222222" customWidth="1"/>
    <col min="3" max="3" width="14" customWidth="1"/>
    <col min="5" max="5" width="13.1944444444444" customWidth="1"/>
    <col min="6" max="6" width="18.4027777777778" customWidth="1"/>
    <col min="7" max="7" width="14.8125" customWidth="1"/>
    <col min="8" max="8" width="15.2777777777778" customWidth="1"/>
    <col min="9" max="9" width="10.2986111111111" customWidth="1"/>
    <col min="10" max="10" width="15.9652777777778" customWidth="1"/>
    <col min="11" max="11" width="11.5694444444444" customWidth="1"/>
    <col min="12" max="12" width="16.8958333333333" customWidth="1"/>
    <col min="13" max="13" width="10.2986111111111" customWidth="1"/>
    <col min="14" max="14" width="15.9375" customWidth="1"/>
    <col min="15" max="15" width="11.8263888888889" customWidth="1"/>
    <col min="16" max="16" width="17.4861111111111" customWidth="1"/>
    <col min="17" max="17" width="12.7222222222222" customWidth="1"/>
    <col min="18" max="18" width="12.9583333333333" customWidth="1"/>
    <col min="19" max="19" width="14.1180555555556" customWidth="1"/>
    <col min="20" max="20" width="14.3472222222222" customWidth="1"/>
    <col min="21" max="21" width="13.1875" customWidth="1"/>
    <col min="22" max="22" width="12.2638888888889" customWidth="1"/>
    <col min="23" max="23" width="14.8125" customWidth="1"/>
    <col min="24" max="24" width="15.0416666666667" customWidth="1"/>
  </cols>
  <sheetData>
    <row r="1" spans="1:2">
      <c r="A1" t="s">
        <v>55</v>
      </c>
      <c r="B1" t="s">
        <v>56</v>
      </c>
    </row>
    <row r="2" spans="1:2">
      <c r="A2" t="s">
        <v>57</v>
      </c>
      <c r="B2">
        <v>2</v>
      </c>
    </row>
    <row r="3" spans="1:2">
      <c r="A3" t="s">
        <v>58</v>
      </c>
      <c r="B3">
        <v>0.1</v>
      </c>
    </row>
    <row r="4" spans="1:2">
      <c r="A4" t="s">
        <v>59</v>
      </c>
      <c r="B4">
        <v>20</v>
      </c>
    </row>
    <row r="5" spans="1:2">
      <c r="A5" t="s">
        <v>60</v>
      </c>
      <c r="B5">
        <v>0.35</v>
      </c>
    </row>
    <row r="6" spans="1:2">
      <c r="A6" t="s">
        <v>61</v>
      </c>
      <c r="B6">
        <v>250</v>
      </c>
    </row>
    <row r="7" spans="1:2">
      <c r="A7" t="s">
        <v>62</v>
      </c>
      <c r="B7">
        <v>200</v>
      </c>
    </row>
    <row r="8" spans="1:2">
      <c r="A8" t="s">
        <v>63</v>
      </c>
      <c r="B8">
        <v>0.4</v>
      </c>
    </row>
    <row r="9" spans="1:2">
      <c r="A9" t="s">
        <v>64</v>
      </c>
      <c r="B9">
        <v>80</v>
      </c>
    </row>
    <row r="10" spans="1:2">
      <c r="A10" t="s">
        <v>65</v>
      </c>
      <c r="B10">
        <v>0.6</v>
      </c>
    </row>
    <row r="11" spans="1:24">
      <c r="A11" t="s">
        <v>40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s="5" t="s">
        <v>76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s="5" t="s">
        <v>85</v>
      </c>
      <c r="V11" s="5" t="s">
        <v>86</v>
      </c>
      <c r="W11" t="s">
        <v>87</v>
      </c>
      <c r="X11" t="s">
        <v>88</v>
      </c>
    </row>
    <row r="12" spans="1:24">
      <c r="A12" t="s">
        <v>24</v>
      </c>
      <c r="B12">
        <v>457.8696875</v>
      </c>
      <c r="C12">
        <f t="shared" ref="C12:C31" si="0">INDEX($G$43:$G$62,MATCH($A12,$A$43:$A$62,0))</f>
        <v>0.0416666666666667</v>
      </c>
      <c r="D12">
        <f t="shared" ref="D12:D31" si="1">INDEX($F$43:$F$62,MATCH($A12,$A$43:$A$62,0))</f>
        <v>12</v>
      </c>
      <c r="E12">
        <f>B12*$B$2*$B$9</f>
        <v>73259.15</v>
      </c>
      <c r="F12">
        <f t="shared" ref="F12:F31" si="2">E12*C12</f>
        <v>3052.46458333333</v>
      </c>
      <c r="G12">
        <f t="shared" ref="G12:G31" si="3">E12*D12</f>
        <v>879109.8</v>
      </c>
      <c r="H12">
        <f t="shared" ref="H12:H31" si="4">E12*$B$8</f>
        <v>29303.66</v>
      </c>
      <c r="I12">
        <f t="shared" ref="I12:I31" si="5">E12-H12</f>
        <v>43955.49</v>
      </c>
      <c r="J12">
        <f t="shared" ref="J12:J31" si="6">H12*C12</f>
        <v>1220.98583333333</v>
      </c>
      <c r="K12">
        <f t="shared" ref="K12:K31" si="7">I12*C12</f>
        <v>1831.47875</v>
      </c>
      <c r="L12" s="5">
        <f>J12/($B$4*$B$5)</f>
        <v>174.426547619048</v>
      </c>
      <c r="M12">
        <f>K12/($B$4*$B$5)</f>
        <v>261.639821428571</v>
      </c>
      <c r="N12">
        <f t="shared" ref="N12:N31" si="8">L12*$B$6</f>
        <v>43606.6369047619</v>
      </c>
      <c r="O12">
        <f t="shared" ref="O12:O31" si="9">M12*$B$7</f>
        <v>52327.9642857143</v>
      </c>
      <c r="P12">
        <f>E12*D12*$B$3</f>
        <v>87910.98</v>
      </c>
      <c r="Q12" s="3">
        <f t="shared" ref="Q12:Q31" si="10">I12*IF(INDEX($S$43:$S$62,MATCH($A12,$A$43:$A$62,0))=0,1,IF(INDEX($R$43:$R$62,MATCH($A12,$A$43:$A$62,0))=0,0,$B$10))</f>
        <v>26373.294</v>
      </c>
      <c r="R12" s="3">
        <f t="shared" ref="R12:R31" si="11">I12-Q12</f>
        <v>17582.196</v>
      </c>
      <c r="S12" s="3">
        <f t="shared" ref="S12:S31" si="12">Q12*C12</f>
        <v>1098.88725</v>
      </c>
      <c r="T12" s="3">
        <f t="shared" ref="T12:T31" si="13">R12*C12</f>
        <v>732.5915</v>
      </c>
      <c r="U12" s="6">
        <f>S12/($B$4*$B$5)</f>
        <v>156.983892857143</v>
      </c>
      <c r="V12" s="6">
        <f>T12/($B$4*$B$5)</f>
        <v>104.655928571429</v>
      </c>
      <c r="W12" s="3">
        <f t="shared" ref="W12:W31" si="14">U12*$B$7</f>
        <v>31396.7785714286</v>
      </c>
      <c r="X12" s="3">
        <f t="shared" ref="X12:X31" si="15">V12*$B$7</f>
        <v>20931.1857142857</v>
      </c>
    </row>
    <row r="13" spans="1:24">
      <c r="A13" t="s">
        <v>25</v>
      </c>
      <c r="B13">
        <v>225.09375</v>
      </c>
      <c r="C13">
        <f t="shared" si="0"/>
        <v>0.148148148148148</v>
      </c>
      <c r="D13">
        <f t="shared" si="1"/>
        <v>100</v>
      </c>
      <c r="E13">
        <f>B13*$B$2*$B$9</f>
        <v>36015</v>
      </c>
      <c r="F13">
        <f t="shared" si="2"/>
        <v>5335.55555555556</v>
      </c>
      <c r="G13">
        <f t="shared" si="3"/>
        <v>3601500</v>
      </c>
      <c r="H13">
        <f t="shared" si="4"/>
        <v>14406</v>
      </c>
      <c r="I13">
        <f t="shared" si="5"/>
        <v>21609</v>
      </c>
      <c r="J13">
        <f t="shared" si="6"/>
        <v>2134.22222222222</v>
      </c>
      <c r="K13">
        <f t="shared" si="7"/>
        <v>3201.33333333333</v>
      </c>
      <c r="L13" s="5">
        <f>J13/($B$4*$B$5)</f>
        <v>304.888888888889</v>
      </c>
      <c r="M13">
        <f>K13/($B$4*$B$5)</f>
        <v>457.333333333333</v>
      </c>
      <c r="N13">
        <f t="shared" si="8"/>
        <v>76222.2222222222</v>
      </c>
      <c r="O13">
        <f t="shared" si="9"/>
        <v>91466.6666666667</v>
      </c>
      <c r="P13">
        <f>E13*D13*$B$3</f>
        <v>360150</v>
      </c>
      <c r="Q13" s="3">
        <f t="shared" si="10"/>
        <v>12965.4</v>
      </c>
      <c r="R13" s="3">
        <f t="shared" si="11"/>
        <v>8643.6</v>
      </c>
      <c r="S13" s="3">
        <f t="shared" si="12"/>
        <v>1920.8</v>
      </c>
      <c r="T13" s="3">
        <f t="shared" si="13"/>
        <v>1280.53333333333</v>
      </c>
      <c r="U13" s="6">
        <f>S13/($B$4*$B$5)</f>
        <v>274.4</v>
      </c>
      <c r="V13" s="6">
        <f>T13/($B$4*$B$5)</f>
        <v>182.933333333333</v>
      </c>
      <c r="W13" s="3">
        <f t="shared" si="14"/>
        <v>54880</v>
      </c>
      <c r="X13" s="3">
        <f t="shared" si="15"/>
        <v>36586.6666666667</v>
      </c>
    </row>
    <row r="14" spans="1:24">
      <c r="A14" t="s">
        <v>26</v>
      </c>
      <c r="B14">
        <v>180.293125</v>
      </c>
      <c r="C14">
        <f t="shared" si="0"/>
        <v>0.125</v>
      </c>
      <c r="D14">
        <f t="shared" si="1"/>
        <v>50</v>
      </c>
      <c r="E14">
        <f>B14*$B$2*$B$9</f>
        <v>28846.9</v>
      </c>
      <c r="F14">
        <f t="shared" si="2"/>
        <v>3605.8625</v>
      </c>
      <c r="G14">
        <f t="shared" si="3"/>
        <v>1442345</v>
      </c>
      <c r="H14">
        <f t="shared" si="4"/>
        <v>11538.76</v>
      </c>
      <c r="I14">
        <f t="shared" si="5"/>
        <v>17308.14</v>
      </c>
      <c r="J14">
        <f t="shared" si="6"/>
        <v>1442.345</v>
      </c>
      <c r="K14">
        <f t="shared" si="7"/>
        <v>2163.5175</v>
      </c>
      <c r="L14" s="5">
        <f>J14/($B$4*$B$5)</f>
        <v>206.049285714286</v>
      </c>
      <c r="M14">
        <f>K14/($B$4*$B$5)</f>
        <v>309.073928571429</v>
      </c>
      <c r="N14">
        <f t="shared" si="8"/>
        <v>51512.3214285714</v>
      </c>
      <c r="O14">
        <f t="shared" si="9"/>
        <v>61814.7857142857</v>
      </c>
      <c r="P14">
        <f>E14*D14*$B$3</f>
        <v>144234.5</v>
      </c>
      <c r="Q14" s="3">
        <f t="shared" si="10"/>
        <v>10384.884</v>
      </c>
      <c r="R14" s="3">
        <f t="shared" si="11"/>
        <v>6923.256</v>
      </c>
      <c r="S14" s="3">
        <f t="shared" si="12"/>
        <v>1298.1105</v>
      </c>
      <c r="T14" s="3">
        <f t="shared" si="13"/>
        <v>865.407</v>
      </c>
      <c r="U14" s="6">
        <f>S14/($B$4*$B$5)</f>
        <v>185.444357142857</v>
      </c>
      <c r="V14" s="6">
        <f>T14/($B$4*$B$5)</f>
        <v>123.629571428571</v>
      </c>
      <c r="W14" s="3">
        <f t="shared" si="14"/>
        <v>37088.8714285714</v>
      </c>
      <c r="X14" s="3">
        <f t="shared" si="15"/>
        <v>24725.9142857143</v>
      </c>
    </row>
    <row r="15" spans="1:24">
      <c r="A15" t="s">
        <v>27</v>
      </c>
      <c r="B15">
        <v>199.90625</v>
      </c>
      <c r="C15">
        <f t="shared" si="0"/>
        <v>0.166666666666667</v>
      </c>
      <c r="D15">
        <f t="shared" si="1"/>
        <v>120</v>
      </c>
      <c r="E15">
        <f>B15*$B$2*$B$9</f>
        <v>31985</v>
      </c>
      <c r="F15">
        <f t="shared" si="2"/>
        <v>5330.83333333333</v>
      </c>
      <c r="G15">
        <f t="shared" si="3"/>
        <v>3838200</v>
      </c>
      <c r="H15">
        <f t="shared" si="4"/>
        <v>12794</v>
      </c>
      <c r="I15">
        <f t="shared" si="5"/>
        <v>19191</v>
      </c>
      <c r="J15">
        <f t="shared" si="6"/>
        <v>2132.33333333333</v>
      </c>
      <c r="K15">
        <f t="shared" si="7"/>
        <v>3198.5</v>
      </c>
      <c r="L15" s="5">
        <f>J15/($B$4*$B$5)</f>
        <v>304.619047619048</v>
      </c>
      <c r="M15">
        <f>K15/($B$4*$B$5)</f>
        <v>456.928571428571</v>
      </c>
      <c r="N15">
        <f t="shared" si="8"/>
        <v>76154.7619047619</v>
      </c>
      <c r="O15">
        <f t="shared" si="9"/>
        <v>91385.7142857143</v>
      </c>
      <c r="P15">
        <f>E15*D15*$B$3</f>
        <v>383820</v>
      </c>
      <c r="Q15" s="3">
        <f t="shared" si="10"/>
        <v>11514.6</v>
      </c>
      <c r="R15" s="3">
        <f t="shared" si="11"/>
        <v>7676.4</v>
      </c>
      <c r="S15" s="3">
        <f t="shared" si="12"/>
        <v>1919.1</v>
      </c>
      <c r="T15" s="3">
        <f t="shared" si="13"/>
        <v>1279.4</v>
      </c>
      <c r="U15" s="6">
        <f>S15/($B$4*$B$5)</f>
        <v>274.157142857143</v>
      </c>
      <c r="V15" s="6">
        <f>T15/($B$4*$B$5)</f>
        <v>182.771428571429</v>
      </c>
      <c r="W15" s="3">
        <f t="shared" si="14"/>
        <v>54831.4285714286</v>
      </c>
      <c r="X15" s="3">
        <f t="shared" si="15"/>
        <v>36554.2857142857</v>
      </c>
    </row>
    <row r="16" spans="1:24">
      <c r="A16" t="s">
        <v>29</v>
      </c>
      <c r="B16">
        <v>134.45625</v>
      </c>
      <c r="C16">
        <f t="shared" si="0"/>
        <v>0.111111111111111</v>
      </c>
      <c r="D16">
        <f t="shared" si="1"/>
        <v>50</v>
      </c>
      <c r="E16">
        <f>B16*$B$2*$B$9</f>
        <v>21513</v>
      </c>
      <c r="F16">
        <f t="shared" si="2"/>
        <v>2390.33333333333</v>
      </c>
      <c r="G16">
        <f t="shared" si="3"/>
        <v>1075650</v>
      </c>
      <c r="H16">
        <f t="shared" si="4"/>
        <v>8605.2</v>
      </c>
      <c r="I16">
        <f t="shared" si="5"/>
        <v>12907.8</v>
      </c>
      <c r="J16">
        <f t="shared" si="6"/>
        <v>956.133333333333</v>
      </c>
      <c r="K16">
        <f t="shared" si="7"/>
        <v>1434.2</v>
      </c>
      <c r="L16" s="5">
        <f>J16/($B$4*$B$5)</f>
        <v>136.590476190476</v>
      </c>
      <c r="M16">
        <f>K16/($B$4*$B$5)</f>
        <v>204.885714285714</v>
      </c>
      <c r="N16">
        <f t="shared" si="8"/>
        <v>34147.619047619</v>
      </c>
      <c r="O16">
        <f t="shared" si="9"/>
        <v>40977.1428571429</v>
      </c>
      <c r="P16">
        <f>E16*D16*$B$3</f>
        <v>107565</v>
      </c>
      <c r="Q16" s="3">
        <f t="shared" si="10"/>
        <v>7744.68</v>
      </c>
      <c r="R16" s="3">
        <f t="shared" si="11"/>
        <v>5163.12</v>
      </c>
      <c r="S16" s="3">
        <f t="shared" si="12"/>
        <v>860.52</v>
      </c>
      <c r="T16" s="3">
        <f t="shared" si="13"/>
        <v>573.68</v>
      </c>
      <c r="U16" s="6">
        <f>S16/($B$4*$B$5)</f>
        <v>122.931428571429</v>
      </c>
      <c r="V16" s="6">
        <f>T16/($B$4*$B$5)</f>
        <v>81.9542857142857</v>
      </c>
      <c r="W16" s="3">
        <f t="shared" si="14"/>
        <v>24586.2857142857</v>
      </c>
      <c r="X16" s="3">
        <f t="shared" si="15"/>
        <v>16390.8571428571</v>
      </c>
    </row>
    <row r="17" spans="1:24">
      <c r="A17" t="s">
        <v>30</v>
      </c>
      <c r="B17">
        <v>107.4503125</v>
      </c>
      <c r="C17">
        <f t="shared" si="0"/>
        <v>0.0555555555555556</v>
      </c>
      <c r="D17">
        <f t="shared" si="1"/>
        <v>15</v>
      </c>
      <c r="E17">
        <f>B17*$B$2*$B$9</f>
        <v>17192.05</v>
      </c>
      <c r="F17">
        <f t="shared" si="2"/>
        <v>955.113888888889</v>
      </c>
      <c r="G17">
        <f t="shared" si="3"/>
        <v>257880.75</v>
      </c>
      <c r="H17">
        <f t="shared" si="4"/>
        <v>6876.82</v>
      </c>
      <c r="I17">
        <f t="shared" si="5"/>
        <v>10315.23</v>
      </c>
      <c r="J17">
        <f t="shared" si="6"/>
        <v>382.045555555555</v>
      </c>
      <c r="K17">
        <f t="shared" si="7"/>
        <v>573.068333333333</v>
      </c>
      <c r="L17" s="5">
        <f>J17/($B$4*$B$5)</f>
        <v>54.5779365079365</v>
      </c>
      <c r="M17">
        <f>K17/($B$4*$B$5)</f>
        <v>81.8669047619047</v>
      </c>
      <c r="N17">
        <f t="shared" si="8"/>
        <v>13644.4841269841</v>
      </c>
      <c r="O17">
        <f t="shared" si="9"/>
        <v>16373.380952381</v>
      </c>
      <c r="P17">
        <f>E17*D17*$B$3</f>
        <v>25788.075</v>
      </c>
      <c r="Q17" s="3">
        <f t="shared" si="10"/>
        <v>6189.138</v>
      </c>
      <c r="R17" s="3">
        <f t="shared" si="11"/>
        <v>4126.092</v>
      </c>
      <c r="S17" s="3">
        <f t="shared" si="12"/>
        <v>343.841</v>
      </c>
      <c r="T17" s="3">
        <f t="shared" si="13"/>
        <v>229.227333333333</v>
      </c>
      <c r="U17" s="6">
        <f>S17/($B$4*$B$5)</f>
        <v>49.1201428571429</v>
      </c>
      <c r="V17" s="6">
        <f>T17/($B$4*$B$5)</f>
        <v>32.7467619047619</v>
      </c>
      <c r="W17" s="3">
        <f t="shared" si="14"/>
        <v>9824.02857142857</v>
      </c>
      <c r="X17" s="3">
        <f t="shared" si="15"/>
        <v>6549.35238095238</v>
      </c>
    </row>
    <row r="18" spans="1:24">
      <c r="A18" t="s">
        <v>31</v>
      </c>
      <c r="B18">
        <v>235.4475</v>
      </c>
      <c r="C18">
        <f t="shared" si="0"/>
        <v>0.0277777777777778</v>
      </c>
      <c r="D18">
        <f t="shared" si="1"/>
        <v>25</v>
      </c>
      <c r="E18">
        <f>B18*$B$2*$B$9</f>
        <v>37671.6</v>
      </c>
      <c r="F18">
        <f t="shared" si="2"/>
        <v>1046.43333333333</v>
      </c>
      <c r="G18">
        <f t="shared" si="3"/>
        <v>941790</v>
      </c>
      <c r="H18">
        <f t="shared" si="4"/>
        <v>15068.64</v>
      </c>
      <c r="I18">
        <f t="shared" si="5"/>
        <v>22602.96</v>
      </c>
      <c r="J18">
        <f t="shared" si="6"/>
        <v>418.573333333333</v>
      </c>
      <c r="K18">
        <f t="shared" si="7"/>
        <v>627.86</v>
      </c>
      <c r="L18" s="5">
        <f>J18/($B$4*$B$5)</f>
        <v>59.7961904761905</v>
      </c>
      <c r="M18">
        <f>K18/($B$4*$B$5)</f>
        <v>89.6942857142857</v>
      </c>
      <c r="N18">
        <f t="shared" si="8"/>
        <v>14949.0476190476</v>
      </c>
      <c r="O18">
        <f t="shared" si="9"/>
        <v>17938.8571428571</v>
      </c>
      <c r="P18">
        <f>E18*D18*$B$3</f>
        <v>94179</v>
      </c>
      <c r="Q18" s="3">
        <f t="shared" si="10"/>
        <v>13561.776</v>
      </c>
      <c r="R18" s="3">
        <f t="shared" si="11"/>
        <v>9041.184</v>
      </c>
      <c r="S18" s="3">
        <f t="shared" si="12"/>
        <v>376.716</v>
      </c>
      <c r="T18" s="3">
        <f t="shared" si="13"/>
        <v>251.144</v>
      </c>
      <c r="U18" s="6">
        <f>S18/($B$4*$B$5)</f>
        <v>53.8165714285714</v>
      </c>
      <c r="V18" s="6">
        <f>T18/($B$4*$B$5)</f>
        <v>35.8777142857143</v>
      </c>
      <c r="W18" s="3">
        <f t="shared" si="14"/>
        <v>10763.3142857143</v>
      </c>
      <c r="X18" s="3">
        <f t="shared" si="15"/>
        <v>7175.54285714286</v>
      </c>
    </row>
    <row r="19" spans="1:24">
      <c r="A19" t="s">
        <v>32</v>
      </c>
      <c r="B19">
        <v>130.9</v>
      </c>
      <c r="C19">
        <f t="shared" si="0"/>
        <v>0.037037037037037</v>
      </c>
      <c r="D19">
        <f t="shared" si="1"/>
        <v>20</v>
      </c>
      <c r="E19">
        <f>B19*$B$2*$B$9</f>
        <v>20944</v>
      </c>
      <c r="F19">
        <f t="shared" si="2"/>
        <v>775.703703703704</v>
      </c>
      <c r="G19">
        <f t="shared" si="3"/>
        <v>418880</v>
      </c>
      <c r="H19">
        <f t="shared" si="4"/>
        <v>8377.6</v>
      </c>
      <c r="I19">
        <f t="shared" si="5"/>
        <v>12566.4</v>
      </c>
      <c r="J19">
        <f t="shared" si="6"/>
        <v>310.281481481481</v>
      </c>
      <c r="K19">
        <f t="shared" si="7"/>
        <v>465.422222222222</v>
      </c>
      <c r="L19" s="5">
        <f>J19/($B$4*$B$5)</f>
        <v>44.3259259259259</v>
      </c>
      <c r="M19">
        <f>K19/($B$4*$B$5)</f>
        <v>66.4888888888889</v>
      </c>
      <c r="N19">
        <f t="shared" si="8"/>
        <v>11081.4814814815</v>
      </c>
      <c r="O19">
        <f t="shared" si="9"/>
        <v>13297.7777777778</v>
      </c>
      <c r="P19">
        <f>E19*D19*$B$3</f>
        <v>41888</v>
      </c>
      <c r="Q19" s="3">
        <f t="shared" si="10"/>
        <v>7539.84</v>
      </c>
      <c r="R19" s="3">
        <f t="shared" si="11"/>
        <v>5026.56</v>
      </c>
      <c r="S19" s="3">
        <f t="shared" si="12"/>
        <v>279.253333333333</v>
      </c>
      <c r="T19" s="3">
        <f t="shared" si="13"/>
        <v>186.168888888889</v>
      </c>
      <c r="U19" s="6">
        <f>S19/($B$4*$B$5)</f>
        <v>39.8933333333333</v>
      </c>
      <c r="V19" s="6">
        <f>T19/($B$4*$B$5)</f>
        <v>26.5955555555556</v>
      </c>
      <c r="W19" s="3">
        <f t="shared" si="14"/>
        <v>7978.66666666667</v>
      </c>
      <c r="X19" s="3">
        <f t="shared" si="15"/>
        <v>5319.11111111111</v>
      </c>
    </row>
    <row r="20" spans="1:24">
      <c r="A20" t="s">
        <v>34</v>
      </c>
      <c r="B20">
        <v>143.925</v>
      </c>
      <c r="C20">
        <f t="shared" si="0"/>
        <v>0.0555555555555556</v>
      </c>
      <c r="D20">
        <f t="shared" si="1"/>
        <v>40</v>
      </c>
      <c r="E20">
        <f>B20*$B$2*$B$9</f>
        <v>23028</v>
      </c>
      <c r="F20">
        <f t="shared" si="2"/>
        <v>1279.33333333333</v>
      </c>
      <c r="G20">
        <f t="shared" si="3"/>
        <v>921120</v>
      </c>
      <c r="H20">
        <f t="shared" si="4"/>
        <v>9211.2</v>
      </c>
      <c r="I20">
        <f t="shared" si="5"/>
        <v>13816.8</v>
      </c>
      <c r="J20">
        <f t="shared" si="6"/>
        <v>511.733333333333</v>
      </c>
      <c r="K20">
        <f t="shared" si="7"/>
        <v>767.6</v>
      </c>
      <c r="L20" s="5">
        <f>J20/($B$4*$B$5)</f>
        <v>73.1047619047619</v>
      </c>
      <c r="M20">
        <f>K20/($B$4*$B$5)</f>
        <v>109.657142857143</v>
      </c>
      <c r="N20">
        <f t="shared" si="8"/>
        <v>18276.1904761905</v>
      </c>
      <c r="O20">
        <f t="shared" si="9"/>
        <v>21931.4285714286</v>
      </c>
      <c r="P20">
        <f>E20*D20*$B$3</f>
        <v>92112</v>
      </c>
      <c r="Q20" s="3">
        <f t="shared" si="10"/>
        <v>8290.08</v>
      </c>
      <c r="R20" s="3">
        <f t="shared" si="11"/>
        <v>5526.72</v>
      </c>
      <c r="S20" s="3">
        <f t="shared" si="12"/>
        <v>460.56</v>
      </c>
      <c r="T20" s="3">
        <f t="shared" si="13"/>
        <v>307.04</v>
      </c>
      <c r="U20" s="6">
        <f>S20/($B$4*$B$5)</f>
        <v>65.7942857142857</v>
      </c>
      <c r="V20" s="6">
        <f>T20/($B$4*$B$5)</f>
        <v>43.8628571428571</v>
      </c>
      <c r="W20" s="3">
        <f t="shared" si="14"/>
        <v>13158.8571428571</v>
      </c>
      <c r="X20" s="3">
        <f t="shared" si="15"/>
        <v>8772.57142857143</v>
      </c>
    </row>
    <row r="21" spans="1:24">
      <c r="A21" t="s">
        <v>36</v>
      </c>
      <c r="B21">
        <v>103.8828125</v>
      </c>
      <c r="C21">
        <f t="shared" si="0"/>
        <v>0.037037037037037</v>
      </c>
      <c r="D21">
        <f t="shared" si="1"/>
        <v>20</v>
      </c>
      <c r="E21">
        <f>B21*$B$2*$B$9</f>
        <v>16621.25</v>
      </c>
      <c r="F21">
        <f t="shared" si="2"/>
        <v>615.601851851852</v>
      </c>
      <c r="G21">
        <f t="shared" si="3"/>
        <v>332425</v>
      </c>
      <c r="H21">
        <f t="shared" si="4"/>
        <v>6648.5</v>
      </c>
      <c r="I21">
        <f t="shared" si="5"/>
        <v>9972.75</v>
      </c>
      <c r="J21">
        <f t="shared" si="6"/>
        <v>246.240740740741</v>
      </c>
      <c r="K21">
        <f t="shared" si="7"/>
        <v>369.361111111111</v>
      </c>
      <c r="L21" s="5">
        <f>J21/($B$4*$B$5)</f>
        <v>35.1772486772487</v>
      </c>
      <c r="M21">
        <f>K21/($B$4*$B$5)</f>
        <v>52.765873015873</v>
      </c>
      <c r="N21">
        <f t="shared" si="8"/>
        <v>8794.31216931217</v>
      </c>
      <c r="O21">
        <f t="shared" si="9"/>
        <v>10553.1746031746</v>
      </c>
      <c r="P21">
        <f>E21*D21*$B$3</f>
        <v>33242.5</v>
      </c>
      <c r="Q21" s="3">
        <f t="shared" si="10"/>
        <v>5983.65</v>
      </c>
      <c r="R21" s="3">
        <f t="shared" si="11"/>
        <v>3989.1</v>
      </c>
      <c r="S21" s="3">
        <f t="shared" si="12"/>
        <v>221.616666666667</v>
      </c>
      <c r="T21" s="3">
        <f t="shared" si="13"/>
        <v>147.744444444444</v>
      </c>
      <c r="U21" s="6">
        <f>S21/($B$4*$B$5)</f>
        <v>31.6595238095238</v>
      </c>
      <c r="V21" s="6">
        <f>T21/($B$4*$B$5)</f>
        <v>21.1063492063492</v>
      </c>
      <c r="W21" s="3">
        <f t="shared" si="14"/>
        <v>6331.90476190476</v>
      </c>
      <c r="X21" s="3">
        <f t="shared" si="15"/>
        <v>4221.26984126984</v>
      </c>
    </row>
    <row r="22" spans="1:24">
      <c r="A22" t="s">
        <v>37</v>
      </c>
      <c r="B22">
        <v>214.900625</v>
      </c>
      <c r="C22">
        <f t="shared" si="0"/>
        <v>0.0555555555555556</v>
      </c>
      <c r="D22">
        <f t="shared" si="1"/>
        <v>30</v>
      </c>
      <c r="E22">
        <f>B22*$B$2*$B$9</f>
        <v>34384.1</v>
      </c>
      <c r="F22">
        <f t="shared" si="2"/>
        <v>1910.22777777778</v>
      </c>
      <c r="G22">
        <f t="shared" si="3"/>
        <v>1031523</v>
      </c>
      <c r="H22">
        <f t="shared" si="4"/>
        <v>13753.64</v>
      </c>
      <c r="I22">
        <f t="shared" si="5"/>
        <v>20630.46</v>
      </c>
      <c r="J22">
        <f t="shared" si="6"/>
        <v>764.091111111111</v>
      </c>
      <c r="K22">
        <f t="shared" si="7"/>
        <v>1146.13666666667</v>
      </c>
      <c r="L22" s="5">
        <f>J22/($B$4*$B$5)</f>
        <v>109.155873015873</v>
      </c>
      <c r="M22">
        <f>K22/($B$4*$B$5)</f>
        <v>163.733809523809</v>
      </c>
      <c r="N22">
        <f t="shared" si="8"/>
        <v>27288.9682539683</v>
      </c>
      <c r="O22">
        <f t="shared" si="9"/>
        <v>32746.7619047619</v>
      </c>
      <c r="P22">
        <f>E22*D22*$B$3</f>
        <v>103152.3</v>
      </c>
      <c r="Q22" s="3">
        <f t="shared" si="10"/>
        <v>12378.276</v>
      </c>
      <c r="R22" s="3">
        <f t="shared" si="11"/>
        <v>8252.184</v>
      </c>
      <c r="S22" s="3">
        <f t="shared" si="12"/>
        <v>687.682</v>
      </c>
      <c r="T22" s="3">
        <f t="shared" si="13"/>
        <v>458.454666666667</v>
      </c>
      <c r="U22" s="6">
        <f>S22/($B$4*$B$5)</f>
        <v>98.2402857142857</v>
      </c>
      <c r="V22" s="6">
        <f>T22/($B$4*$B$5)</f>
        <v>65.4935238095238</v>
      </c>
      <c r="W22" s="3">
        <f t="shared" si="14"/>
        <v>19648.0571428571</v>
      </c>
      <c r="X22" s="3">
        <f t="shared" si="15"/>
        <v>13098.7047619048</v>
      </c>
    </row>
    <row r="23" spans="1:24">
      <c r="A23" t="s">
        <v>38</v>
      </c>
      <c r="B23">
        <v>232.22875</v>
      </c>
      <c r="C23">
        <f t="shared" si="0"/>
        <v>0.0833333333333333</v>
      </c>
      <c r="D23">
        <f t="shared" si="1"/>
        <v>30</v>
      </c>
      <c r="E23">
        <f>B23*$B$2*$B$9</f>
        <v>37156.6</v>
      </c>
      <c r="F23">
        <f t="shared" si="2"/>
        <v>3096.38333333333</v>
      </c>
      <c r="G23">
        <f t="shared" si="3"/>
        <v>1114698</v>
      </c>
      <c r="H23">
        <f t="shared" si="4"/>
        <v>14862.64</v>
      </c>
      <c r="I23">
        <f t="shared" si="5"/>
        <v>22293.96</v>
      </c>
      <c r="J23">
        <f t="shared" si="6"/>
        <v>1238.55333333333</v>
      </c>
      <c r="K23">
        <f t="shared" si="7"/>
        <v>1857.83</v>
      </c>
      <c r="L23" s="5">
        <f>J23/($B$4*$B$5)</f>
        <v>176.93619047619</v>
      </c>
      <c r="M23">
        <f>K23/($B$4*$B$5)</f>
        <v>265.404285714286</v>
      </c>
      <c r="N23">
        <f t="shared" si="8"/>
        <v>44234.0476190476</v>
      </c>
      <c r="O23">
        <f t="shared" si="9"/>
        <v>53080.8571428571</v>
      </c>
      <c r="P23">
        <f>E23*D23*$B$3</f>
        <v>111469.8</v>
      </c>
      <c r="Q23" s="3">
        <f t="shared" si="10"/>
        <v>13376.376</v>
      </c>
      <c r="R23" s="3">
        <f t="shared" si="11"/>
        <v>8917.584</v>
      </c>
      <c r="S23" s="3">
        <f t="shared" si="12"/>
        <v>1114.698</v>
      </c>
      <c r="T23" s="3">
        <f t="shared" si="13"/>
        <v>743.132</v>
      </c>
      <c r="U23" s="6">
        <f>S23/($B$4*$B$5)</f>
        <v>159.242571428571</v>
      </c>
      <c r="V23" s="6">
        <f>T23/($B$4*$B$5)</f>
        <v>106.161714285714</v>
      </c>
      <c r="W23" s="3">
        <f t="shared" si="14"/>
        <v>31848.5142857143</v>
      </c>
      <c r="X23" s="3">
        <f t="shared" si="15"/>
        <v>21232.3428571429</v>
      </c>
    </row>
    <row r="24" spans="1:24">
      <c r="A24" t="s">
        <v>39</v>
      </c>
      <c r="B24">
        <v>116.114375</v>
      </c>
      <c r="C24">
        <f t="shared" si="0"/>
        <v>0.0277777777777778</v>
      </c>
      <c r="D24">
        <f t="shared" si="1"/>
        <v>25</v>
      </c>
      <c r="E24">
        <f>B24*$B$2*$B$9</f>
        <v>18578.3</v>
      </c>
      <c r="F24">
        <f t="shared" si="2"/>
        <v>516.063888888889</v>
      </c>
      <c r="G24">
        <f t="shared" si="3"/>
        <v>464457.5</v>
      </c>
      <c r="H24">
        <f t="shared" si="4"/>
        <v>7431.32</v>
      </c>
      <c r="I24">
        <f t="shared" si="5"/>
        <v>11146.98</v>
      </c>
      <c r="J24">
        <f t="shared" si="6"/>
        <v>206.425555555556</v>
      </c>
      <c r="K24">
        <f t="shared" si="7"/>
        <v>309.638333333333</v>
      </c>
      <c r="L24" s="5">
        <f>J24/($B$4*$B$5)</f>
        <v>29.4893650793651</v>
      </c>
      <c r="M24">
        <f>K24/($B$4*$B$5)</f>
        <v>44.2340476190476</v>
      </c>
      <c r="N24">
        <f t="shared" si="8"/>
        <v>7372.34126984127</v>
      </c>
      <c r="O24">
        <f t="shared" si="9"/>
        <v>8846.80952380952</v>
      </c>
      <c r="P24">
        <f>E24*D24*$B$3</f>
        <v>46445.75</v>
      </c>
      <c r="Q24" s="3">
        <f t="shared" si="10"/>
        <v>6688.188</v>
      </c>
      <c r="R24" s="3">
        <f t="shared" si="11"/>
        <v>4458.792</v>
      </c>
      <c r="S24" s="3">
        <f t="shared" si="12"/>
        <v>185.783</v>
      </c>
      <c r="T24" s="3">
        <f t="shared" si="13"/>
        <v>123.855333333333</v>
      </c>
      <c r="U24" s="6">
        <f>S24/($B$4*$B$5)</f>
        <v>26.5404285714286</v>
      </c>
      <c r="V24" s="6">
        <f>T24/($B$4*$B$5)</f>
        <v>17.693619047619</v>
      </c>
      <c r="W24" s="3">
        <f t="shared" si="14"/>
        <v>5308.08571428571</v>
      </c>
      <c r="X24" s="3">
        <f t="shared" si="15"/>
        <v>3538.72380952381</v>
      </c>
    </row>
    <row r="25" spans="1:24">
      <c r="A25" t="s">
        <v>42</v>
      </c>
      <c r="B25">
        <v>327.09875</v>
      </c>
      <c r="C25">
        <f t="shared" si="0"/>
        <v>0.0277777777777778</v>
      </c>
      <c r="D25">
        <f t="shared" si="1"/>
        <v>20</v>
      </c>
      <c r="E25">
        <f>B25*$B$2*$B$9</f>
        <v>52335.8</v>
      </c>
      <c r="F25">
        <f t="shared" si="2"/>
        <v>1453.77222222222</v>
      </c>
      <c r="G25">
        <f t="shared" si="3"/>
        <v>1046716</v>
      </c>
      <c r="H25">
        <f t="shared" si="4"/>
        <v>20934.32</v>
      </c>
      <c r="I25">
        <f t="shared" si="5"/>
        <v>31401.48</v>
      </c>
      <c r="J25">
        <f t="shared" si="6"/>
        <v>581.508888888889</v>
      </c>
      <c r="K25">
        <f t="shared" si="7"/>
        <v>872.263333333333</v>
      </c>
      <c r="L25" s="5">
        <f>J25/($B$4*$B$5)</f>
        <v>83.0726984126984</v>
      </c>
      <c r="M25">
        <f>K25/($B$4*$B$5)</f>
        <v>124.609047619048</v>
      </c>
      <c r="N25">
        <f t="shared" si="8"/>
        <v>20768.1746031746</v>
      </c>
      <c r="O25">
        <f t="shared" si="9"/>
        <v>24921.8095238095</v>
      </c>
      <c r="P25">
        <f>E25*D25*$B$3</f>
        <v>104671.6</v>
      </c>
      <c r="Q25" s="3">
        <f t="shared" si="10"/>
        <v>18840.888</v>
      </c>
      <c r="R25" s="3">
        <f t="shared" si="11"/>
        <v>12560.592</v>
      </c>
      <c r="S25" s="3">
        <f t="shared" si="12"/>
        <v>523.358</v>
      </c>
      <c r="T25" s="3">
        <f t="shared" si="13"/>
        <v>348.905333333333</v>
      </c>
      <c r="U25" s="6">
        <f>S25/($B$4*$B$5)</f>
        <v>74.7654285714286</v>
      </c>
      <c r="V25" s="6">
        <f>T25/($B$4*$B$5)</f>
        <v>49.843619047619</v>
      </c>
      <c r="W25" s="3">
        <f t="shared" si="14"/>
        <v>14953.0857142857</v>
      </c>
      <c r="X25" s="3">
        <f t="shared" si="15"/>
        <v>9968.72380952381</v>
      </c>
    </row>
    <row r="26" spans="1:24">
      <c r="A26" t="s">
        <v>43</v>
      </c>
      <c r="B26">
        <v>65.45</v>
      </c>
      <c r="C26">
        <f t="shared" si="0"/>
        <v>0.0555555555555556</v>
      </c>
      <c r="D26">
        <f t="shared" si="1"/>
        <v>25</v>
      </c>
      <c r="E26">
        <f>B26*$B$2*$B$9</f>
        <v>10472</v>
      </c>
      <c r="F26">
        <f t="shared" si="2"/>
        <v>581.777777777778</v>
      </c>
      <c r="G26">
        <f t="shared" si="3"/>
        <v>261800</v>
      </c>
      <c r="H26">
        <f t="shared" si="4"/>
        <v>4188.8</v>
      </c>
      <c r="I26">
        <f t="shared" si="5"/>
        <v>6283.2</v>
      </c>
      <c r="J26">
        <f t="shared" si="6"/>
        <v>232.711111111111</v>
      </c>
      <c r="K26">
        <f t="shared" si="7"/>
        <v>349.066666666667</v>
      </c>
      <c r="L26" s="5">
        <f>J26/($B$4*$B$5)</f>
        <v>33.2444444444444</v>
      </c>
      <c r="M26">
        <f>K26/($B$4*$B$5)</f>
        <v>49.8666666666667</v>
      </c>
      <c r="N26">
        <f t="shared" si="8"/>
        <v>8311.11111111111</v>
      </c>
      <c r="O26">
        <f t="shared" si="9"/>
        <v>9973.33333333333</v>
      </c>
      <c r="P26">
        <f>E26*D26*$B$3</f>
        <v>26180</v>
      </c>
      <c r="Q26" s="3">
        <f t="shared" si="10"/>
        <v>3769.92</v>
      </c>
      <c r="R26" s="3">
        <f t="shared" si="11"/>
        <v>2513.28</v>
      </c>
      <c r="S26" s="3">
        <f t="shared" si="12"/>
        <v>209.44</v>
      </c>
      <c r="T26" s="3">
        <f t="shared" si="13"/>
        <v>139.626666666667</v>
      </c>
      <c r="U26" s="6">
        <f>S26/($B$4*$B$5)</f>
        <v>29.92</v>
      </c>
      <c r="V26" s="6">
        <f>T26/($B$4*$B$5)</f>
        <v>19.9466666666667</v>
      </c>
      <c r="W26" s="3">
        <f t="shared" si="14"/>
        <v>5984</v>
      </c>
      <c r="X26" s="3">
        <f t="shared" si="15"/>
        <v>3989.33333333333</v>
      </c>
    </row>
    <row r="27" spans="1:24">
      <c r="A27" t="s">
        <v>44</v>
      </c>
      <c r="B27">
        <v>259.44375</v>
      </c>
      <c r="C27">
        <f t="shared" si="0"/>
        <v>0.037037037037037</v>
      </c>
      <c r="D27">
        <f t="shared" si="1"/>
        <v>20</v>
      </c>
      <c r="E27">
        <f>B27*$B$2*$B$9</f>
        <v>41511</v>
      </c>
      <c r="F27">
        <f t="shared" si="2"/>
        <v>1537.44444444444</v>
      </c>
      <c r="G27">
        <f t="shared" si="3"/>
        <v>830220</v>
      </c>
      <c r="H27">
        <f t="shared" si="4"/>
        <v>16604.4</v>
      </c>
      <c r="I27">
        <f t="shared" si="5"/>
        <v>24906.6</v>
      </c>
      <c r="J27">
        <f t="shared" si="6"/>
        <v>614.977777777778</v>
      </c>
      <c r="K27">
        <f t="shared" si="7"/>
        <v>922.466666666667</v>
      </c>
      <c r="L27" s="5">
        <f>J27/($B$4*$B$5)</f>
        <v>87.8539682539682</v>
      </c>
      <c r="M27">
        <f>K27/($B$4*$B$5)</f>
        <v>131.780952380952</v>
      </c>
      <c r="N27">
        <f t="shared" si="8"/>
        <v>21963.4920634921</v>
      </c>
      <c r="O27">
        <f t="shared" si="9"/>
        <v>26356.1904761905</v>
      </c>
      <c r="P27">
        <f>E27*D27*$B$3</f>
        <v>83022</v>
      </c>
      <c r="Q27" s="3">
        <f t="shared" si="10"/>
        <v>24906.6</v>
      </c>
      <c r="R27" s="3">
        <f t="shared" si="11"/>
        <v>0</v>
      </c>
      <c r="S27" s="3">
        <f t="shared" si="12"/>
        <v>922.466666666667</v>
      </c>
      <c r="T27" s="3">
        <f t="shared" si="13"/>
        <v>0</v>
      </c>
      <c r="U27" s="6">
        <f>S27/($B$4*$B$5)</f>
        <v>131.780952380952</v>
      </c>
      <c r="V27" s="6">
        <f>T27/($B$4*$B$5)</f>
        <v>0</v>
      </c>
      <c r="W27" s="3">
        <f t="shared" si="14"/>
        <v>26356.1904761905</v>
      </c>
      <c r="X27" s="3">
        <f t="shared" si="15"/>
        <v>0</v>
      </c>
    </row>
    <row r="28" spans="1:24">
      <c r="A28" t="s">
        <v>45</v>
      </c>
      <c r="B28">
        <v>116.114375</v>
      </c>
      <c r="C28">
        <f t="shared" si="0"/>
        <v>0.0277777777777778</v>
      </c>
      <c r="D28">
        <f t="shared" si="1"/>
        <v>80</v>
      </c>
      <c r="E28">
        <f>B28*$B$2*$B$9</f>
        <v>18578.3</v>
      </c>
      <c r="F28">
        <f t="shared" si="2"/>
        <v>516.063888888889</v>
      </c>
      <c r="G28">
        <f t="shared" si="3"/>
        <v>1486264</v>
      </c>
      <c r="H28">
        <f t="shared" si="4"/>
        <v>7431.32</v>
      </c>
      <c r="I28">
        <f t="shared" si="5"/>
        <v>11146.98</v>
      </c>
      <c r="J28">
        <f t="shared" si="6"/>
        <v>206.425555555556</v>
      </c>
      <c r="K28">
        <f t="shared" si="7"/>
        <v>309.638333333333</v>
      </c>
      <c r="L28" s="5">
        <f>J28/($B$4*$B$5)</f>
        <v>29.4893650793651</v>
      </c>
      <c r="M28">
        <f>K28/($B$4*$B$5)</f>
        <v>44.2340476190476</v>
      </c>
      <c r="N28">
        <f t="shared" si="8"/>
        <v>7372.34126984127</v>
      </c>
      <c r="O28">
        <f t="shared" si="9"/>
        <v>8846.80952380952</v>
      </c>
      <c r="P28">
        <f>E28*D28*$B$3</f>
        <v>148626.4</v>
      </c>
      <c r="Q28" s="3">
        <f t="shared" si="10"/>
        <v>6688.188</v>
      </c>
      <c r="R28" s="3">
        <f t="shared" si="11"/>
        <v>4458.792</v>
      </c>
      <c r="S28" s="3">
        <f t="shared" si="12"/>
        <v>185.783</v>
      </c>
      <c r="T28" s="3">
        <f t="shared" si="13"/>
        <v>123.855333333333</v>
      </c>
      <c r="U28" s="6">
        <f>S28/($B$4*$B$5)</f>
        <v>26.5404285714286</v>
      </c>
      <c r="V28" s="6">
        <f>T28/($B$4*$B$5)</f>
        <v>17.693619047619</v>
      </c>
      <c r="W28" s="3">
        <f t="shared" si="14"/>
        <v>5308.08571428571</v>
      </c>
      <c r="X28" s="3">
        <f t="shared" si="15"/>
        <v>3538.72380952381</v>
      </c>
    </row>
    <row r="29" spans="1:24">
      <c r="A29" t="s">
        <v>46</v>
      </c>
      <c r="B29">
        <v>241.6975</v>
      </c>
      <c r="C29">
        <f t="shared" si="0"/>
        <v>0.0277777777777778</v>
      </c>
      <c r="D29">
        <f t="shared" si="1"/>
        <v>80</v>
      </c>
      <c r="E29">
        <f>B29*$B$2*$B$9</f>
        <v>38671.6</v>
      </c>
      <c r="F29">
        <f t="shared" si="2"/>
        <v>1074.21111111111</v>
      </c>
      <c r="G29">
        <f t="shared" si="3"/>
        <v>3093728</v>
      </c>
      <c r="H29">
        <f t="shared" si="4"/>
        <v>15468.64</v>
      </c>
      <c r="I29">
        <f t="shared" si="5"/>
        <v>23202.96</v>
      </c>
      <c r="J29">
        <f t="shared" si="6"/>
        <v>429.684444444444</v>
      </c>
      <c r="K29">
        <f t="shared" si="7"/>
        <v>644.526666666667</v>
      </c>
      <c r="L29" s="5">
        <f>J29/($B$4*$B$5)</f>
        <v>61.3834920634921</v>
      </c>
      <c r="M29">
        <f>K29/($B$4*$B$5)</f>
        <v>92.0752380952381</v>
      </c>
      <c r="N29">
        <f t="shared" si="8"/>
        <v>15345.873015873</v>
      </c>
      <c r="O29">
        <f t="shared" si="9"/>
        <v>18415.0476190476</v>
      </c>
      <c r="P29">
        <f>E29*D29*$B$3</f>
        <v>309372.8</v>
      </c>
      <c r="Q29" s="3">
        <f t="shared" si="10"/>
        <v>13921.776</v>
      </c>
      <c r="R29" s="3">
        <f t="shared" si="11"/>
        <v>9281.184</v>
      </c>
      <c r="S29" s="3">
        <f t="shared" si="12"/>
        <v>386.716</v>
      </c>
      <c r="T29" s="3">
        <f t="shared" si="13"/>
        <v>257.810666666667</v>
      </c>
      <c r="U29" s="6">
        <f>S29/($B$4*$B$5)</f>
        <v>55.2451428571429</v>
      </c>
      <c r="V29" s="6">
        <f>T29/($B$4*$B$5)</f>
        <v>36.8300952380952</v>
      </c>
      <c r="W29" s="3">
        <f t="shared" si="14"/>
        <v>11049.0285714286</v>
      </c>
      <c r="X29" s="3">
        <f t="shared" si="15"/>
        <v>7366.01904761905</v>
      </c>
    </row>
    <row r="30" spans="1:24">
      <c r="A30" t="s">
        <v>47</v>
      </c>
      <c r="B30">
        <v>449.205625</v>
      </c>
      <c r="C30">
        <f t="shared" si="0"/>
        <v>0.0277777777777778</v>
      </c>
      <c r="D30">
        <f t="shared" si="1"/>
        <v>80</v>
      </c>
      <c r="E30">
        <f>B30*$B$2*$B$9</f>
        <v>71872.9</v>
      </c>
      <c r="F30">
        <f t="shared" si="2"/>
        <v>1996.46944444444</v>
      </c>
      <c r="G30">
        <f t="shared" si="3"/>
        <v>5749832</v>
      </c>
      <c r="H30">
        <f t="shared" si="4"/>
        <v>28749.16</v>
      </c>
      <c r="I30">
        <f t="shared" si="5"/>
        <v>43123.74</v>
      </c>
      <c r="J30">
        <f t="shared" si="6"/>
        <v>798.587777777778</v>
      </c>
      <c r="K30">
        <f t="shared" si="7"/>
        <v>1197.88166666667</v>
      </c>
      <c r="L30" s="5">
        <f>J30/($B$4*$B$5)</f>
        <v>114.083968253968</v>
      </c>
      <c r="M30">
        <f>K30/($B$4*$B$5)</f>
        <v>171.125952380952</v>
      </c>
      <c r="N30">
        <f t="shared" si="8"/>
        <v>28520.9920634921</v>
      </c>
      <c r="O30">
        <f t="shared" si="9"/>
        <v>34225.1904761905</v>
      </c>
      <c r="P30">
        <f>E30*D30*$B$3</f>
        <v>574983.2</v>
      </c>
      <c r="Q30" s="3">
        <f t="shared" si="10"/>
        <v>25874.244</v>
      </c>
      <c r="R30" s="3">
        <f t="shared" si="11"/>
        <v>17249.496</v>
      </c>
      <c r="S30" s="3">
        <f t="shared" si="12"/>
        <v>718.729</v>
      </c>
      <c r="T30" s="3">
        <f t="shared" si="13"/>
        <v>479.152666666667</v>
      </c>
      <c r="U30" s="6">
        <f>S30/($B$4*$B$5)</f>
        <v>102.675571428571</v>
      </c>
      <c r="V30" s="6">
        <f>T30/($B$4*$B$5)</f>
        <v>68.4503809523809</v>
      </c>
      <c r="W30" s="3">
        <f t="shared" si="14"/>
        <v>20535.1142857143</v>
      </c>
      <c r="X30" s="3">
        <f t="shared" si="15"/>
        <v>13690.0761904762</v>
      </c>
    </row>
    <row r="31" spans="1:24">
      <c r="A31" t="s">
        <v>48</v>
      </c>
      <c r="B31">
        <v>304.59375</v>
      </c>
      <c r="C31">
        <f t="shared" si="0"/>
        <v>0.0277777777777778</v>
      </c>
      <c r="D31">
        <f t="shared" si="1"/>
        <v>80</v>
      </c>
      <c r="E31">
        <f>B31*$B$2*$B$9</f>
        <v>48735</v>
      </c>
      <c r="F31">
        <f t="shared" si="2"/>
        <v>1353.75</v>
      </c>
      <c r="G31">
        <f t="shared" si="3"/>
        <v>3898800</v>
      </c>
      <c r="H31">
        <f t="shared" si="4"/>
        <v>19494</v>
      </c>
      <c r="I31">
        <f t="shared" si="5"/>
        <v>29241</v>
      </c>
      <c r="J31">
        <f t="shared" si="6"/>
        <v>541.5</v>
      </c>
      <c r="K31">
        <f t="shared" si="7"/>
        <v>812.25</v>
      </c>
      <c r="L31" s="5">
        <f>J31/($B$4*$B$5)</f>
        <v>77.3571428571429</v>
      </c>
      <c r="M31">
        <f>K31/($B$4*$B$5)</f>
        <v>116.035714285714</v>
      </c>
      <c r="N31">
        <f t="shared" si="8"/>
        <v>19339.2857142857</v>
      </c>
      <c r="O31">
        <f t="shared" si="9"/>
        <v>23207.1428571429</v>
      </c>
      <c r="P31">
        <f>E31*D31*$B$3</f>
        <v>389880</v>
      </c>
      <c r="Q31" s="3">
        <f t="shared" si="10"/>
        <v>17544.6</v>
      </c>
      <c r="R31" s="3">
        <f t="shared" si="11"/>
        <v>11696.4</v>
      </c>
      <c r="S31" s="3">
        <f t="shared" si="12"/>
        <v>487.35</v>
      </c>
      <c r="T31" s="3">
        <f t="shared" si="13"/>
        <v>324.9</v>
      </c>
      <c r="U31" s="6">
        <f>S31/($B$4*$B$5)</f>
        <v>69.6214285714286</v>
      </c>
      <c r="V31" s="6">
        <f>T31/($B$4*$B$5)</f>
        <v>46.4142857142857</v>
      </c>
      <c r="W31" s="3">
        <f t="shared" si="14"/>
        <v>13924.2857142857</v>
      </c>
      <c r="X31" s="3">
        <f t="shared" si="15"/>
        <v>9282.85714285714</v>
      </c>
    </row>
    <row r="32" spans="1:24">
      <c r="A32" t="s">
        <v>89</v>
      </c>
      <c r="B32">
        <f t="shared" ref="B32:X32" si="16">SUM(B12:B31)</f>
        <v>4246.0721875</v>
      </c>
      <c r="C32">
        <f t="shared" si="16"/>
        <v>1.2037037037037</v>
      </c>
      <c r="D32">
        <f t="shared" si="16"/>
        <v>922</v>
      </c>
      <c r="E32">
        <f t="shared" si="16"/>
        <v>679371.55</v>
      </c>
      <c r="F32">
        <f t="shared" si="16"/>
        <v>38423.3993055555</v>
      </c>
      <c r="G32">
        <f t="shared" si="16"/>
        <v>32686939.05</v>
      </c>
      <c r="H32">
        <f t="shared" si="16"/>
        <v>271748.62</v>
      </c>
      <c r="I32">
        <f t="shared" si="16"/>
        <v>407622.93</v>
      </c>
      <c r="J32">
        <f t="shared" si="16"/>
        <v>15369.3597222222</v>
      </c>
      <c r="K32">
        <f t="shared" si="16"/>
        <v>23054.0395833333</v>
      </c>
      <c r="L32" s="5">
        <f t="shared" si="16"/>
        <v>2195.62281746032</v>
      </c>
      <c r="M32">
        <f t="shared" si="16"/>
        <v>3293.43422619048</v>
      </c>
      <c r="N32">
        <f t="shared" si="16"/>
        <v>548905.704365079</v>
      </c>
      <c r="O32">
        <f t="shared" si="16"/>
        <v>658686.845238095</v>
      </c>
      <c r="P32">
        <f t="shared" si="16"/>
        <v>3268693.905</v>
      </c>
      <c r="Q32">
        <f t="shared" si="16"/>
        <v>254536.398</v>
      </c>
      <c r="R32">
        <f t="shared" si="16"/>
        <v>153086.532</v>
      </c>
      <c r="S32">
        <f t="shared" si="16"/>
        <v>14201.4104166667</v>
      </c>
      <c r="T32">
        <f t="shared" si="16"/>
        <v>8852.62916666667</v>
      </c>
      <c r="U32" s="5">
        <f t="shared" si="16"/>
        <v>2028.77291666667</v>
      </c>
      <c r="V32" s="5">
        <f t="shared" si="16"/>
        <v>1264.66130952381</v>
      </c>
      <c r="W32">
        <f t="shared" si="16"/>
        <v>405754.583333333</v>
      </c>
      <c r="X32">
        <f t="shared" si="16"/>
        <v>252932.261904762</v>
      </c>
    </row>
    <row r="41" spans="1:10">
      <c r="A41" t="s">
        <v>40</v>
      </c>
      <c r="B41" t="s">
        <v>90</v>
      </c>
      <c r="F41" t="s">
        <v>91</v>
      </c>
      <c r="I41" t="s">
        <v>40</v>
      </c>
      <c r="J41" t="s">
        <v>136</v>
      </c>
    </row>
    <row r="42" spans="1:17">
      <c r="A42" t="s">
        <v>92</v>
      </c>
      <c r="B42" t="s">
        <v>93</v>
      </c>
      <c r="C42" t="s">
        <v>94</v>
      </c>
      <c r="D42" t="s">
        <v>95</v>
      </c>
      <c r="E42" t="s">
        <v>96</v>
      </c>
      <c r="F42" t="s">
        <v>97</v>
      </c>
      <c r="G42" t="s">
        <v>67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 t="s">
        <v>132</v>
      </c>
      <c r="P42" t="s">
        <v>133</v>
      </c>
      <c r="Q42" t="s">
        <v>134</v>
      </c>
    </row>
    <row r="43" spans="1:19">
      <c r="A43" t="s">
        <v>24</v>
      </c>
      <c r="B43">
        <v>2</v>
      </c>
      <c r="C43">
        <v>6</v>
      </c>
      <c r="D43">
        <v>6</v>
      </c>
      <c r="E43">
        <v>2</v>
      </c>
      <c r="F43">
        <v>12</v>
      </c>
      <c r="G43" s="3">
        <f t="shared" ref="G43:G62" si="17">B43*C43*D43/1728</f>
        <v>0.0416666666666667</v>
      </c>
      <c r="I43" t="s">
        <v>24</v>
      </c>
      <c r="J43">
        <v>1</v>
      </c>
      <c r="K43">
        <v>2</v>
      </c>
      <c r="L43">
        <v>4</v>
      </c>
      <c r="M43">
        <v>4</v>
      </c>
      <c r="N43">
        <v>1</v>
      </c>
      <c r="Q43">
        <v>2</v>
      </c>
      <c r="R43">
        <f t="shared" ref="R43:R62" si="18">J43+K43+L43+O43</f>
        <v>7</v>
      </c>
      <c r="S43">
        <f t="shared" ref="S43:S62" si="19">M43+N43+P43+Q43</f>
        <v>7</v>
      </c>
    </row>
    <row r="44" spans="1:19">
      <c r="A44" t="s">
        <v>25</v>
      </c>
      <c r="B44">
        <v>8</v>
      </c>
      <c r="C44">
        <v>8</v>
      </c>
      <c r="D44">
        <v>4</v>
      </c>
      <c r="E44">
        <v>14</v>
      </c>
      <c r="F44">
        <v>100</v>
      </c>
      <c r="G44" s="3">
        <f t="shared" si="17"/>
        <v>0.148148148148148</v>
      </c>
      <c r="I44" t="s">
        <v>25</v>
      </c>
      <c r="J44">
        <v>4</v>
      </c>
      <c r="L44">
        <v>2</v>
      </c>
      <c r="M44">
        <v>2</v>
      </c>
      <c r="Q44">
        <v>1</v>
      </c>
      <c r="R44">
        <f t="shared" si="18"/>
        <v>6</v>
      </c>
      <c r="S44">
        <f t="shared" si="19"/>
        <v>3</v>
      </c>
    </row>
    <row r="45" spans="1:19">
      <c r="A45" t="s">
        <v>26</v>
      </c>
      <c r="B45">
        <v>6</v>
      </c>
      <c r="C45">
        <v>6</v>
      </c>
      <c r="D45">
        <v>6</v>
      </c>
      <c r="E45">
        <v>6</v>
      </c>
      <c r="F45">
        <v>50</v>
      </c>
      <c r="G45" s="3">
        <f t="shared" si="17"/>
        <v>0.125</v>
      </c>
      <c r="I45" t="s">
        <v>26</v>
      </c>
      <c r="M45">
        <v>4</v>
      </c>
      <c r="N45">
        <v>1</v>
      </c>
      <c r="O45">
        <v>2</v>
      </c>
      <c r="P45">
        <v>4</v>
      </c>
      <c r="Q45">
        <v>1</v>
      </c>
      <c r="R45">
        <f t="shared" si="18"/>
        <v>2</v>
      </c>
      <c r="S45">
        <f t="shared" si="19"/>
        <v>10</v>
      </c>
    </row>
    <row r="46" spans="1:19">
      <c r="A46" t="s">
        <v>27</v>
      </c>
      <c r="B46">
        <v>12</v>
      </c>
      <c r="C46">
        <v>6</v>
      </c>
      <c r="D46">
        <v>4</v>
      </c>
      <c r="E46">
        <v>16</v>
      </c>
      <c r="F46">
        <v>120</v>
      </c>
      <c r="G46" s="3">
        <f t="shared" si="17"/>
        <v>0.166666666666667</v>
      </c>
      <c r="I46" t="s">
        <v>27</v>
      </c>
      <c r="K46">
        <v>1</v>
      </c>
      <c r="L46">
        <v>2</v>
      </c>
      <c r="M46">
        <v>2</v>
      </c>
      <c r="R46">
        <f t="shared" si="18"/>
        <v>3</v>
      </c>
      <c r="S46">
        <f t="shared" si="19"/>
        <v>2</v>
      </c>
    </row>
    <row r="47" spans="1:19">
      <c r="A47" t="s">
        <v>29</v>
      </c>
      <c r="B47">
        <v>8</v>
      </c>
      <c r="C47">
        <v>4</v>
      </c>
      <c r="D47">
        <v>6</v>
      </c>
      <c r="E47">
        <v>5</v>
      </c>
      <c r="F47">
        <v>50</v>
      </c>
      <c r="G47" s="3">
        <f t="shared" si="17"/>
        <v>0.111111111111111</v>
      </c>
      <c r="I47" t="s">
        <v>29</v>
      </c>
      <c r="K47">
        <v>1</v>
      </c>
      <c r="L47">
        <v>2</v>
      </c>
      <c r="O47">
        <v>1</v>
      </c>
      <c r="P47">
        <v>1</v>
      </c>
      <c r="R47">
        <f t="shared" si="18"/>
        <v>4</v>
      </c>
      <c r="S47">
        <f t="shared" si="19"/>
        <v>1</v>
      </c>
    </row>
    <row r="48" spans="1:19">
      <c r="A48" t="s">
        <v>30</v>
      </c>
      <c r="B48">
        <v>2</v>
      </c>
      <c r="C48">
        <v>8</v>
      </c>
      <c r="D48">
        <v>6</v>
      </c>
      <c r="E48">
        <v>3</v>
      </c>
      <c r="F48">
        <v>15</v>
      </c>
      <c r="G48" s="3">
        <f t="shared" si="17"/>
        <v>0.0555555555555556</v>
      </c>
      <c r="I48" t="s">
        <v>30</v>
      </c>
      <c r="J48">
        <v>1</v>
      </c>
      <c r="N48">
        <v>2</v>
      </c>
      <c r="Q48">
        <v>3</v>
      </c>
      <c r="R48">
        <f t="shared" si="18"/>
        <v>1</v>
      </c>
      <c r="S48">
        <f t="shared" si="19"/>
        <v>5</v>
      </c>
    </row>
    <row r="49" spans="1:19">
      <c r="A49" t="s">
        <v>31</v>
      </c>
      <c r="B49">
        <v>2</v>
      </c>
      <c r="C49">
        <v>2</v>
      </c>
      <c r="D49">
        <v>12</v>
      </c>
      <c r="E49">
        <v>1</v>
      </c>
      <c r="F49">
        <v>25</v>
      </c>
      <c r="G49" s="3">
        <f t="shared" si="17"/>
        <v>0.0277777777777778</v>
      </c>
      <c r="I49" t="s">
        <v>31</v>
      </c>
      <c r="K49">
        <v>4</v>
      </c>
      <c r="N49">
        <v>4</v>
      </c>
      <c r="P49">
        <v>1</v>
      </c>
      <c r="Q49">
        <v>1</v>
      </c>
      <c r="R49">
        <f t="shared" si="18"/>
        <v>4</v>
      </c>
      <c r="S49">
        <f t="shared" si="19"/>
        <v>6</v>
      </c>
    </row>
    <row r="50" spans="1:19">
      <c r="A50" t="s">
        <v>32</v>
      </c>
      <c r="B50">
        <v>4</v>
      </c>
      <c r="C50">
        <v>4</v>
      </c>
      <c r="D50">
        <v>4</v>
      </c>
      <c r="E50">
        <v>1</v>
      </c>
      <c r="F50">
        <v>20</v>
      </c>
      <c r="G50" s="3">
        <f t="shared" si="17"/>
        <v>0.037037037037037</v>
      </c>
      <c r="I50" t="s">
        <v>32</v>
      </c>
      <c r="M50">
        <v>4</v>
      </c>
      <c r="O50">
        <v>2</v>
      </c>
      <c r="P50">
        <v>2</v>
      </c>
      <c r="Q50">
        <v>3</v>
      </c>
      <c r="R50">
        <f t="shared" si="18"/>
        <v>2</v>
      </c>
      <c r="S50">
        <f t="shared" si="19"/>
        <v>9</v>
      </c>
    </row>
    <row r="51" spans="1:19">
      <c r="A51" t="s">
        <v>34</v>
      </c>
      <c r="B51">
        <v>2</v>
      </c>
      <c r="C51">
        <v>4</v>
      </c>
      <c r="D51">
        <v>12</v>
      </c>
      <c r="E51">
        <v>2</v>
      </c>
      <c r="F51">
        <v>40</v>
      </c>
      <c r="G51" s="3">
        <f t="shared" si="17"/>
        <v>0.0555555555555556</v>
      </c>
      <c r="I51" t="s">
        <v>34</v>
      </c>
      <c r="K51">
        <v>2</v>
      </c>
      <c r="L51">
        <v>2</v>
      </c>
      <c r="O51">
        <v>1</v>
      </c>
      <c r="P51">
        <v>2</v>
      </c>
      <c r="R51">
        <f t="shared" si="18"/>
        <v>5</v>
      </c>
      <c r="S51">
        <f t="shared" si="19"/>
        <v>2</v>
      </c>
    </row>
    <row r="52" spans="1:19">
      <c r="A52" t="s">
        <v>36</v>
      </c>
      <c r="B52">
        <v>4</v>
      </c>
      <c r="C52">
        <v>4</v>
      </c>
      <c r="D52">
        <v>4</v>
      </c>
      <c r="E52">
        <v>1</v>
      </c>
      <c r="F52">
        <v>20</v>
      </c>
      <c r="G52" s="3">
        <f t="shared" si="17"/>
        <v>0.037037037037037</v>
      </c>
      <c r="I52" t="s">
        <v>36</v>
      </c>
      <c r="J52">
        <v>1</v>
      </c>
      <c r="L52">
        <v>1</v>
      </c>
      <c r="M52">
        <v>1</v>
      </c>
      <c r="Q52">
        <v>1</v>
      </c>
      <c r="R52">
        <f t="shared" si="18"/>
        <v>2</v>
      </c>
      <c r="S52">
        <f t="shared" si="19"/>
        <v>2</v>
      </c>
    </row>
    <row r="53" spans="1:19">
      <c r="A53" t="s">
        <v>37</v>
      </c>
      <c r="B53">
        <v>4</v>
      </c>
      <c r="C53">
        <v>6</v>
      </c>
      <c r="D53">
        <v>4</v>
      </c>
      <c r="E53">
        <v>2</v>
      </c>
      <c r="F53">
        <v>30</v>
      </c>
      <c r="G53" s="3">
        <f t="shared" si="17"/>
        <v>0.0555555555555556</v>
      </c>
      <c r="I53" t="s">
        <v>37</v>
      </c>
      <c r="J53">
        <v>2</v>
      </c>
      <c r="N53">
        <v>4</v>
      </c>
      <c r="O53">
        <v>4</v>
      </c>
      <c r="P53">
        <v>2</v>
      </c>
      <c r="R53">
        <f t="shared" si="18"/>
        <v>6</v>
      </c>
      <c r="S53">
        <f t="shared" si="19"/>
        <v>6</v>
      </c>
    </row>
    <row r="54" spans="1:19">
      <c r="A54" t="s">
        <v>38</v>
      </c>
      <c r="B54">
        <v>6</v>
      </c>
      <c r="C54">
        <v>6</v>
      </c>
      <c r="D54">
        <v>4</v>
      </c>
      <c r="E54">
        <v>2</v>
      </c>
      <c r="F54">
        <v>30</v>
      </c>
      <c r="G54" s="3">
        <f t="shared" si="17"/>
        <v>0.0833333333333333</v>
      </c>
      <c r="I54" t="s">
        <v>38</v>
      </c>
      <c r="J54">
        <v>4</v>
      </c>
      <c r="N54">
        <v>4</v>
      </c>
      <c r="O54">
        <v>3</v>
      </c>
      <c r="P54">
        <v>4</v>
      </c>
      <c r="R54">
        <f t="shared" si="18"/>
        <v>7</v>
      </c>
      <c r="S54">
        <f t="shared" si="19"/>
        <v>8</v>
      </c>
    </row>
    <row r="55" spans="1:19">
      <c r="A55" t="s">
        <v>39</v>
      </c>
      <c r="B55">
        <v>2</v>
      </c>
      <c r="C55">
        <v>2</v>
      </c>
      <c r="D55">
        <v>12</v>
      </c>
      <c r="E55">
        <v>1</v>
      </c>
      <c r="F55">
        <v>25</v>
      </c>
      <c r="G55" s="3">
        <f t="shared" si="17"/>
        <v>0.0277777777777778</v>
      </c>
      <c r="I55" t="s">
        <v>39</v>
      </c>
      <c r="J55">
        <v>2</v>
      </c>
      <c r="N55">
        <v>2</v>
      </c>
      <c r="O55">
        <v>2</v>
      </c>
      <c r="P55">
        <v>1</v>
      </c>
      <c r="R55">
        <f t="shared" si="18"/>
        <v>4</v>
      </c>
      <c r="S55">
        <f t="shared" si="19"/>
        <v>3</v>
      </c>
    </row>
    <row r="56" spans="1:19">
      <c r="A56" t="s">
        <v>42</v>
      </c>
      <c r="B56">
        <v>2</v>
      </c>
      <c r="C56">
        <v>4</v>
      </c>
      <c r="D56">
        <v>6</v>
      </c>
      <c r="E56">
        <v>1</v>
      </c>
      <c r="F56">
        <v>20</v>
      </c>
      <c r="G56" s="3">
        <f t="shared" si="17"/>
        <v>0.0277777777777778</v>
      </c>
      <c r="I56" t="s">
        <v>42</v>
      </c>
      <c r="K56">
        <v>4</v>
      </c>
      <c r="L56">
        <v>2</v>
      </c>
      <c r="M56">
        <v>2</v>
      </c>
      <c r="N56">
        <v>2</v>
      </c>
      <c r="Q56">
        <v>4</v>
      </c>
      <c r="R56">
        <f t="shared" si="18"/>
        <v>6</v>
      </c>
      <c r="S56">
        <f t="shared" si="19"/>
        <v>8</v>
      </c>
    </row>
    <row r="57" spans="1:19">
      <c r="A57" t="s">
        <v>43</v>
      </c>
      <c r="B57">
        <v>4</v>
      </c>
      <c r="C57">
        <v>6</v>
      </c>
      <c r="D57">
        <v>4</v>
      </c>
      <c r="E57">
        <v>2</v>
      </c>
      <c r="F57">
        <v>25</v>
      </c>
      <c r="G57" s="3">
        <f t="shared" si="17"/>
        <v>0.0555555555555556</v>
      </c>
      <c r="I57" t="s">
        <v>43</v>
      </c>
      <c r="M57">
        <v>2</v>
      </c>
      <c r="O57">
        <v>2</v>
      </c>
      <c r="Q57">
        <v>1</v>
      </c>
      <c r="R57">
        <f t="shared" si="18"/>
        <v>2</v>
      </c>
      <c r="S57">
        <f t="shared" si="19"/>
        <v>3</v>
      </c>
    </row>
    <row r="58" spans="1:19">
      <c r="A58" t="s">
        <v>44</v>
      </c>
      <c r="B58">
        <v>4</v>
      </c>
      <c r="C58">
        <v>4</v>
      </c>
      <c r="D58">
        <v>4</v>
      </c>
      <c r="E58">
        <v>1</v>
      </c>
      <c r="F58">
        <v>20</v>
      </c>
      <c r="G58" s="3">
        <f t="shared" si="17"/>
        <v>0.037037037037037</v>
      </c>
      <c r="I58" t="s">
        <v>44</v>
      </c>
      <c r="K58">
        <v>1</v>
      </c>
      <c r="L58">
        <v>4</v>
      </c>
      <c r="R58">
        <f t="shared" si="18"/>
        <v>5</v>
      </c>
      <c r="S58">
        <f t="shared" si="19"/>
        <v>0</v>
      </c>
    </row>
    <row r="59" spans="1:19">
      <c r="A59" t="s">
        <v>45</v>
      </c>
      <c r="B59">
        <v>12</v>
      </c>
      <c r="C59">
        <v>2</v>
      </c>
      <c r="D59">
        <v>2</v>
      </c>
      <c r="E59">
        <v>4</v>
      </c>
      <c r="F59">
        <v>80</v>
      </c>
      <c r="G59" s="3">
        <f t="shared" si="17"/>
        <v>0.0277777777777778</v>
      </c>
      <c r="I59" t="s">
        <v>45</v>
      </c>
      <c r="J59">
        <v>2</v>
      </c>
      <c r="N59">
        <v>2</v>
      </c>
      <c r="O59">
        <v>2</v>
      </c>
      <c r="P59">
        <v>2</v>
      </c>
      <c r="Q59">
        <v>1</v>
      </c>
      <c r="R59">
        <f t="shared" si="18"/>
        <v>4</v>
      </c>
      <c r="S59">
        <f t="shared" si="19"/>
        <v>5</v>
      </c>
    </row>
    <row r="60" spans="1:19">
      <c r="A60" t="s">
        <v>46</v>
      </c>
      <c r="B60">
        <v>12</v>
      </c>
      <c r="C60">
        <v>2</v>
      </c>
      <c r="D60">
        <v>2</v>
      </c>
      <c r="E60">
        <v>4</v>
      </c>
      <c r="F60">
        <v>80</v>
      </c>
      <c r="G60" s="3">
        <f t="shared" si="17"/>
        <v>0.0277777777777778</v>
      </c>
      <c r="I60" t="s">
        <v>46</v>
      </c>
      <c r="J60">
        <v>4</v>
      </c>
      <c r="K60">
        <v>1</v>
      </c>
      <c r="N60">
        <v>4</v>
      </c>
      <c r="O60">
        <v>1</v>
      </c>
      <c r="P60">
        <v>3</v>
      </c>
      <c r="R60">
        <f t="shared" si="18"/>
        <v>6</v>
      </c>
      <c r="S60">
        <f t="shared" si="19"/>
        <v>7</v>
      </c>
    </row>
    <row r="61" spans="1:19">
      <c r="A61" t="s">
        <v>47</v>
      </c>
      <c r="B61">
        <v>12</v>
      </c>
      <c r="C61">
        <v>2</v>
      </c>
      <c r="D61">
        <v>2</v>
      </c>
      <c r="E61">
        <v>4</v>
      </c>
      <c r="F61">
        <v>80</v>
      </c>
      <c r="G61" s="3">
        <f t="shared" si="17"/>
        <v>0.0277777777777778</v>
      </c>
      <c r="I61" t="s">
        <v>47</v>
      </c>
      <c r="K61">
        <v>2</v>
      </c>
      <c r="L61">
        <v>4</v>
      </c>
      <c r="M61">
        <v>4</v>
      </c>
      <c r="N61">
        <v>1</v>
      </c>
      <c r="Q61">
        <v>3</v>
      </c>
      <c r="R61">
        <f t="shared" si="18"/>
        <v>6</v>
      </c>
      <c r="S61">
        <f t="shared" si="19"/>
        <v>8</v>
      </c>
    </row>
    <row r="62" spans="1:19">
      <c r="A62" t="s">
        <v>48</v>
      </c>
      <c r="B62">
        <v>12</v>
      </c>
      <c r="C62">
        <v>2</v>
      </c>
      <c r="D62">
        <v>2</v>
      </c>
      <c r="E62">
        <v>4</v>
      </c>
      <c r="F62">
        <v>80</v>
      </c>
      <c r="G62" s="3">
        <f t="shared" si="17"/>
        <v>0.0277777777777778</v>
      </c>
      <c r="I62" t="s">
        <v>48</v>
      </c>
      <c r="K62">
        <v>2</v>
      </c>
      <c r="L62">
        <v>3</v>
      </c>
      <c r="M62">
        <v>3</v>
      </c>
      <c r="Q62">
        <v>4</v>
      </c>
      <c r="R62">
        <f t="shared" si="18"/>
        <v>5</v>
      </c>
      <c r="S62">
        <f t="shared" si="19"/>
        <v>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zoomScale="80" zoomScaleNormal="80" topLeftCell="A7" workbookViewId="0">
      <selection activeCell="B26" sqref="B26:B45"/>
    </sheetView>
  </sheetViews>
  <sheetFormatPr defaultColWidth="8.88888888888889" defaultRowHeight="17.6"/>
  <cols>
    <col min="2" max="2" width="31.1319444444444" customWidth="1"/>
    <col min="3" max="3" width="12.5555555555556"/>
    <col min="4" max="4" width="10.8402777777778" customWidth="1"/>
    <col min="7" max="7" width="12.5555555555556"/>
    <col min="9" max="10" width="12.5555555555556"/>
    <col min="12" max="12" width="12.5555555555556"/>
    <col min="18" max="18" width="15.1875" customWidth="1"/>
    <col min="19" max="19" width="15.7638888888889" customWidth="1"/>
    <col min="20" max="20" width="9.82638888888889" customWidth="1"/>
    <col min="21" max="21" width="10.9930555555556" customWidth="1"/>
  </cols>
  <sheetData>
    <row r="1" spans="2:19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</row>
    <row r="2" ht="18" spans="1:19">
      <c r="A2" t="s">
        <v>24</v>
      </c>
      <c r="B2" t="s">
        <v>115</v>
      </c>
      <c r="C2" t="s">
        <v>116</v>
      </c>
      <c r="D2" t="s">
        <v>115</v>
      </c>
      <c r="E2" t="s">
        <v>117</v>
      </c>
      <c r="F2" t="s">
        <v>118</v>
      </c>
      <c r="G2" t="s">
        <v>119</v>
      </c>
      <c r="H2" t="s">
        <v>120</v>
      </c>
      <c r="I2">
        <f>_xlfn.XLOOKUP(A2,$A$2:$A$21,$C$26:$C$45)</f>
        <v>1664.98068181818</v>
      </c>
      <c r="J2" t="str">
        <f t="shared" ref="J2:O2" si="0">IF(AND(B2&lt;&gt;"",C2&lt;&gt;"",B2&lt;&gt;C2),B2&amp;"-&gt;"&amp;C2,"")</f>
        <v>B-&gt;A</v>
      </c>
      <c r="K2" s="3" t="str">
        <f t="shared" si="0"/>
        <v>A-&gt;B</v>
      </c>
      <c r="L2" s="3" t="str">
        <f t="shared" si="0"/>
        <v>B-&gt;C</v>
      </c>
      <c r="M2" s="3" t="str">
        <f t="shared" si="0"/>
        <v>C-&gt;D</v>
      </c>
      <c r="N2" s="3" t="str">
        <f t="shared" si="0"/>
        <v>D-&gt;I</v>
      </c>
      <c r="O2" s="3" t="str">
        <f t="shared" si="0"/>
        <v>I-&gt;J</v>
      </c>
      <c r="P2" s="4" t="s">
        <v>116</v>
      </c>
      <c r="Q2" s="4" t="s">
        <v>115</v>
      </c>
      <c r="R2" s="3">
        <f>SUMPRODUCT($I$2:$I$21*(($J$2:$J$21=$P2&amp;"-&gt;"&amp;$Q2)+($K$2:$K$21=$P2&amp;"-&gt;"&amp;$Q2)+($L$2:$L$21=$P2&amp;"-&gt;"&amp;$Q2)+($M$2:$M$21=$P2&amp;"-&gt;"&amp;$Q2)+($N$2:$N$21=$P2&amp;"-&gt;"&amp;$Q2)+($O$2:$O$21=$P2&amp;"-&gt;"&amp;$Q2)))</f>
        <v>2782.64090909091</v>
      </c>
      <c r="S2" s="3">
        <f>SUMPRODUCT($D$26:$D$45*(($J$2:$J$21=$P2&amp;"-&gt;"&amp;$Q2)+($K$2:$K$21=$P2&amp;"-&gt;"&amp;$Q2)+($L$2:$L$21=$P2&amp;"-&gt;"&amp;$Q2)+($M$2:$M$21=$P2&amp;"-&gt;"&amp;$Q2)+($N$2:$N$21=$P2&amp;"-&gt;"&amp;$Q2)+($O$2:$O$21=$P2&amp;"-&gt;"&amp;$Q2)))</f>
        <v>34.7830113636364</v>
      </c>
    </row>
    <row r="3" ht="18" spans="1:19">
      <c r="A3" t="s">
        <v>25</v>
      </c>
      <c r="B3" t="s">
        <v>116</v>
      </c>
      <c r="C3" t="s">
        <v>117</v>
      </c>
      <c r="D3" t="s">
        <v>118</v>
      </c>
      <c r="E3" t="s">
        <v>121</v>
      </c>
      <c r="F3" t="s">
        <v>120</v>
      </c>
      <c r="I3">
        <f>_xlfn.XLOOKUP(A3,$A$2:$A$21,$C$26:$C$45)</f>
        <v>818.522727272727</v>
      </c>
      <c r="J3" t="str">
        <f t="shared" ref="J3:O3" si="1">IF(AND(B3&lt;&gt;"",C3&lt;&gt;"",B3&lt;&gt;C3),B3&amp;"-&gt;"&amp;C3,"")</f>
        <v>A-&gt;C</v>
      </c>
      <c r="K3" s="3" t="str">
        <f t="shared" si="1"/>
        <v>C-&gt;D</v>
      </c>
      <c r="L3" s="3" t="str">
        <f t="shared" si="1"/>
        <v>D-&gt;H</v>
      </c>
      <c r="M3" s="3" t="str">
        <f t="shared" si="1"/>
        <v>H-&gt;J</v>
      </c>
      <c r="N3" s="3" t="str">
        <f t="shared" si="1"/>
        <v/>
      </c>
      <c r="O3" s="3" t="str">
        <f t="shared" si="1"/>
        <v/>
      </c>
      <c r="P3" s="4" t="s">
        <v>116</v>
      </c>
      <c r="Q3" s="4" t="s">
        <v>117</v>
      </c>
      <c r="R3" s="3">
        <f>SUMPRODUCT($I$2:$I$21*(($J$2:$J$21=$P3&amp;"-&gt;"&amp;$Q3)+($K$2:$K$21=$P3&amp;"-&gt;"&amp;$Q3)+($L$2:$L$21=$P3&amp;"-&gt;"&amp;$Q3)+($M$2:$M$21=$P3&amp;"-&gt;"&amp;$Q3)+($N$2:$N$21=$P3&amp;"-&gt;"&amp;$Q3)+($O$2:$O$21=$P3&amp;"-&gt;"&amp;$Q3)))</f>
        <v>818.522727272727</v>
      </c>
      <c r="S3" s="3">
        <f>SUMPRODUCT($D$26:$D$45*(($J$2:$J$21=$P3&amp;"-&gt;"&amp;$Q3)+($K$2:$K$21=$P3&amp;"-&gt;"&amp;$Q3)+($L$2:$L$21=$P3&amp;"-&gt;"&amp;$Q3)+($M$2:$M$21=$P3&amp;"-&gt;"&amp;$Q3)+($N$2:$N$21=$P3&amp;"-&gt;"&amp;$Q3)+($O$2:$O$21=$P3&amp;"-&gt;"&amp;$Q3)))</f>
        <v>10.2315340909091</v>
      </c>
    </row>
    <row r="4" ht="18" spans="1:19">
      <c r="A4" t="s">
        <v>26</v>
      </c>
      <c r="B4" t="s">
        <v>115</v>
      </c>
      <c r="C4" t="s">
        <v>118</v>
      </c>
      <c r="D4" t="s">
        <v>117</v>
      </c>
      <c r="E4" t="s">
        <v>119</v>
      </c>
      <c r="F4" t="s">
        <v>120</v>
      </c>
      <c r="I4">
        <f>_xlfn.XLOOKUP(A4,$A$2:$A$21,$C$26:$C$45)</f>
        <v>655.611363636364</v>
      </c>
      <c r="J4" t="str">
        <f t="shared" ref="J4:O4" si="2">IF(AND(B4&lt;&gt;"",C4&lt;&gt;"",B4&lt;&gt;C4),B4&amp;"-&gt;"&amp;C4,"")</f>
        <v>B-&gt;D</v>
      </c>
      <c r="K4" s="3" t="str">
        <f t="shared" si="2"/>
        <v>D-&gt;C</v>
      </c>
      <c r="L4" s="3" t="str">
        <f t="shared" si="2"/>
        <v>C-&gt;I</v>
      </c>
      <c r="M4" s="3" t="str">
        <f t="shared" si="2"/>
        <v>I-&gt;J</v>
      </c>
      <c r="N4" s="3" t="str">
        <f t="shared" si="2"/>
        <v/>
      </c>
      <c r="O4" s="3" t="str">
        <f t="shared" si="2"/>
        <v/>
      </c>
      <c r="P4" s="4" t="s">
        <v>115</v>
      </c>
      <c r="Q4" s="4" t="s">
        <v>116</v>
      </c>
      <c r="R4" s="3">
        <f>SUMPRODUCT($I$2:$I$21*(($J$2:$J$21=$P4&amp;"-&gt;"&amp;$Q4)+($K$2:$K$21=$P4&amp;"-&gt;"&amp;$Q4)+($L$2:$L$21=$P4&amp;"-&gt;"&amp;$Q4)+($M$2:$M$21=$P4&amp;"-&gt;"&amp;$Q4)+($N$2:$N$21=$P4&amp;"-&gt;"&amp;$Q4)+($O$2:$O$21=$P4&amp;"-&gt;"&amp;$Q4)))</f>
        <v>1664.98068181818</v>
      </c>
      <c r="S4" s="3">
        <f>SUMPRODUCT($D$26:$D$45*(($J$2:$J$21=$P4&amp;"-&gt;"&amp;$Q4)+($K$2:$K$21=$P4&amp;"-&gt;"&amp;$Q4)+($L$2:$L$21=$P4&amp;"-&gt;"&amp;$Q4)+($M$2:$M$21=$P4&amp;"-&gt;"&amp;$Q4)+($N$2:$N$21=$P4&amp;"-&gt;"&amp;$Q4)+($O$2:$O$21=$P4&amp;"-&gt;"&amp;$Q4)))</f>
        <v>20.8122585227273</v>
      </c>
    </row>
    <row r="5" ht="18" spans="1:19">
      <c r="A5" t="s">
        <v>27</v>
      </c>
      <c r="B5" t="s">
        <v>116</v>
      </c>
      <c r="C5" t="s">
        <v>115</v>
      </c>
      <c r="D5" t="s">
        <v>118</v>
      </c>
      <c r="E5" t="s">
        <v>122</v>
      </c>
      <c r="F5" t="s">
        <v>121</v>
      </c>
      <c r="I5">
        <f>_xlfn.XLOOKUP(A5,$A$2:$A$21,$C$26:$C$45)</f>
        <v>726.931818181818</v>
      </c>
      <c r="J5" t="str">
        <f t="shared" ref="J5:O5" si="3">IF(AND(B5&lt;&gt;"",C5&lt;&gt;"",B5&lt;&gt;C5),B5&amp;"-&gt;"&amp;C5,"")</f>
        <v>A-&gt;B</v>
      </c>
      <c r="K5" s="3" t="str">
        <f t="shared" si="3"/>
        <v>B-&gt;D</v>
      </c>
      <c r="L5" s="3" t="str">
        <f t="shared" si="3"/>
        <v>D-&gt;G</v>
      </c>
      <c r="M5" s="3" t="str">
        <f t="shared" si="3"/>
        <v>G-&gt;H</v>
      </c>
      <c r="N5" s="3" t="str">
        <f t="shared" si="3"/>
        <v/>
      </c>
      <c r="O5" s="3" t="str">
        <f t="shared" si="3"/>
        <v/>
      </c>
      <c r="P5" s="4" t="s">
        <v>115</v>
      </c>
      <c r="Q5" s="4" t="s">
        <v>117</v>
      </c>
      <c r="R5" s="3">
        <f>SUMPRODUCT($I$2:$I$21*(($J$2:$J$21=$P5&amp;"-&gt;"&amp;$Q5)+($K$2:$K$21=$P5&amp;"-&gt;"&amp;$Q5)+($L$2:$L$21=$P5&amp;"-&gt;"&amp;$Q5)+($M$2:$M$21=$P5&amp;"-&gt;"&amp;$Q5)+($N$2:$N$21=$P5&amp;"-&gt;"&amp;$Q5)+($O$2:$O$21=$P5&amp;"-&gt;"&amp;$Q5)))</f>
        <v>2544.64090909091</v>
      </c>
      <c r="S5" s="3">
        <f>SUMPRODUCT($D$26:$D$45*(($J$2:$J$21=$P5&amp;"-&gt;"&amp;$Q5)+($K$2:$K$21=$P5&amp;"-&gt;"&amp;$Q5)+($L$2:$L$21=$P5&amp;"-&gt;"&amp;$Q5)+($M$2:$M$21=$P5&amp;"-&gt;"&amp;$Q5)+($N$2:$N$21=$P5&amp;"-&gt;"&amp;$Q5)+($O$2:$O$21=$P5&amp;"-&gt;"&amp;$Q5)))</f>
        <v>31.8080113636364</v>
      </c>
    </row>
    <row r="6" ht="18" spans="1:19">
      <c r="A6" t="s">
        <v>29</v>
      </c>
      <c r="B6" t="s">
        <v>115</v>
      </c>
      <c r="C6" t="s">
        <v>117</v>
      </c>
      <c r="D6" t="s">
        <v>118</v>
      </c>
      <c r="E6" t="s">
        <v>119</v>
      </c>
      <c r="I6">
        <f>_xlfn.XLOOKUP(A6,$A$2:$A$21,$C$26:$C$45)</f>
        <v>488.931818181818</v>
      </c>
      <c r="J6" t="str">
        <f t="shared" ref="J6:O6" si="4">IF(AND(B6&lt;&gt;"",C6&lt;&gt;"",B6&lt;&gt;C6),B6&amp;"-&gt;"&amp;C6,"")</f>
        <v>B-&gt;C</v>
      </c>
      <c r="K6" s="3" t="str">
        <f t="shared" si="4"/>
        <v>C-&gt;D</v>
      </c>
      <c r="L6" s="3" t="str">
        <f t="shared" si="4"/>
        <v>D-&gt;I</v>
      </c>
      <c r="M6" s="3" t="str">
        <f t="shared" si="4"/>
        <v/>
      </c>
      <c r="N6" s="3" t="str">
        <f t="shared" si="4"/>
        <v/>
      </c>
      <c r="O6" s="3" t="str">
        <f t="shared" si="4"/>
        <v/>
      </c>
      <c r="P6" s="4" t="s">
        <v>115</v>
      </c>
      <c r="Q6" s="4" t="s">
        <v>118</v>
      </c>
      <c r="R6" s="3">
        <f>SUMPRODUCT($I$2:$I$21*(($J$2:$J$21=$P6&amp;"-&gt;"&amp;$Q6)+($K$2:$K$21=$P6&amp;"-&gt;"&amp;$Q6)+($L$2:$L$21=$P6&amp;"-&gt;"&amp;$Q6)+($M$2:$M$21=$P6&amp;"-&gt;"&amp;$Q6)+($N$2:$N$21=$P6&amp;"-&gt;"&amp;$Q6)+($O$2:$O$21=$P6&amp;"-&gt;"&amp;$Q6)))</f>
        <v>1382.54318181818</v>
      </c>
      <c r="S6" s="3">
        <f>SUMPRODUCT($D$26:$D$45*(($J$2:$J$21=$P6&amp;"-&gt;"&amp;$Q6)+($K$2:$K$21=$P6&amp;"-&gt;"&amp;$Q6)+($L$2:$L$21=$P6&amp;"-&gt;"&amp;$Q6)+($M$2:$M$21=$P6&amp;"-&gt;"&amp;$Q6)+($N$2:$N$21=$P6&amp;"-&gt;"&amp;$Q6)+($O$2:$O$21=$P6&amp;"-&gt;"&amp;$Q6)))</f>
        <v>17.2817897727273</v>
      </c>
    </row>
    <row r="7" ht="18" spans="1:19">
      <c r="A7" t="s">
        <v>30</v>
      </c>
      <c r="B7" t="s">
        <v>116</v>
      </c>
      <c r="C7" t="s">
        <v>115</v>
      </c>
      <c r="D7" t="s">
        <v>117</v>
      </c>
      <c r="E7" t="s">
        <v>118</v>
      </c>
      <c r="F7" t="s">
        <v>121</v>
      </c>
      <c r="G7" t="s">
        <v>119</v>
      </c>
      <c r="H7" t="s">
        <v>120</v>
      </c>
      <c r="I7">
        <f>_xlfn.XLOOKUP(A7,$A$2:$A$21,$C$26:$C$45)</f>
        <v>390.728409090909</v>
      </c>
      <c r="J7" t="str">
        <f t="shared" ref="J7:O7" si="5">IF(AND(B7&lt;&gt;"",C7&lt;&gt;"",B7&lt;&gt;C7),B7&amp;"-&gt;"&amp;C7,"")</f>
        <v>A-&gt;B</v>
      </c>
      <c r="K7" s="3" t="str">
        <f t="shared" si="5"/>
        <v>B-&gt;C</v>
      </c>
      <c r="L7" s="3" t="str">
        <f t="shared" si="5"/>
        <v>C-&gt;D</v>
      </c>
      <c r="M7" s="3" t="str">
        <f t="shared" si="5"/>
        <v>D-&gt;H</v>
      </c>
      <c r="N7" s="3" t="str">
        <f t="shared" si="5"/>
        <v>H-&gt;I</v>
      </c>
      <c r="O7" s="3" t="str">
        <f t="shared" si="5"/>
        <v>I-&gt;J</v>
      </c>
      <c r="P7" s="4" t="s">
        <v>117</v>
      </c>
      <c r="Q7" s="4" t="s">
        <v>118</v>
      </c>
      <c r="R7" s="3">
        <f>SUMPRODUCT($I$2:$I$21*(($J$2:$J$21=$P7&amp;"-&gt;"&amp;$Q7)+($K$2:$K$21=$P7&amp;"-&gt;"&amp;$Q7)+($L$2:$L$21=$P7&amp;"-&gt;"&amp;$Q7)+($M$2:$M$21=$P7&amp;"-&gt;"&amp;$Q7)+($N$2:$N$21=$P7&amp;"-&gt;"&amp;$Q7)+($O$2:$O$21=$P7&amp;"-&gt;"&amp;$Q7)))</f>
        <v>4219.33636363636</v>
      </c>
      <c r="S7" s="3">
        <f>SUMPRODUCT($D$26:$D$45*(($J$2:$J$21=$P7&amp;"-&gt;"&amp;$Q7)+($K$2:$K$21=$P7&amp;"-&gt;"&amp;$Q7)+($L$2:$L$21=$P7&amp;"-&gt;"&amp;$Q7)+($M$2:$M$21=$P7&amp;"-&gt;"&amp;$Q7)+($N$2:$N$21=$P7&amp;"-&gt;"&amp;$Q7)+($O$2:$O$21=$P7&amp;"-&gt;"&amp;$Q7)))</f>
        <v>52.7417045454545</v>
      </c>
    </row>
    <row r="8" ht="18" spans="1:19">
      <c r="A8" t="s">
        <v>31</v>
      </c>
      <c r="B8" t="s">
        <v>123</v>
      </c>
      <c r="C8" t="s">
        <v>124</v>
      </c>
      <c r="D8" t="s">
        <v>117</v>
      </c>
      <c r="E8" t="s">
        <v>118</v>
      </c>
      <c r="F8" t="s">
        <v>119</v>
      </c>
      <c r="G8" t="s">
        <v>120</v>
      </c>
      <c r="I8">
        <f>_xlfn.XLOOKUP(A8,$A$2:$A$21,$C$26:$C$45)</f>
        <v>856.172727272727</v>
      </c>
      <c r="J8" t="str">
        <f t="shared" ref="J8:O8" si="6">IF(AND(B8&lt;&gt;"",C8&lt;&gt;"",B8&lt;&gt;C8),B8&amp;"-&gt;"&amp;C8,"")</f>
        <v>E-&gt;F</v>
      </c>
      <c r="K8" s="3" t="str">
        <f t="shared" si="6"/>
        <v>F-&gt;C</v>
      </c>
      <c r="L8" s="3" t="str">
        <f t="shared" si="6"/>
        <v>C-&gt;D</v>
      </c>
      <c r="M8" s="3" t="str">
        <f t="shared" si="6"/>
        <v>D-&gt;I</v>
      </c>
      <c r="N8" s="3" t="str">
        <f t="shared" si="6"/>
        <v>I-&gt;J</v>
      </c>
      <c r="O8" s="3" t="str">
        <f t="shared" si="6"/>
        <v/>
      </c>
      <c r="P8" s="4" t="s">
        <v>117</v>
      </c>
      <c r="Q8" s="4" t="s">
        <v>119</v>
      </c>
      <c r="R8" s="3">
        <f>SUMPRODUCT($I$2:$I$21*(($J$2:$J$21=$P8&amp;"-&gt;"&amp;$Q8)+($K$2:$K$21=$P8&amp;"-&gt;"&amp;$Q8)+($L$2:$L$21=$P8&amp;"-&gt;"&amp;$Q8)+($M$2:$M$21=$P8&amp;"-&gt;"&amp;$Q8)+($N$2:$N$21=$P8&amp;"-&gt;"&amp;$Q8)+($O$2:$O$21=$P8&amp;"-&gt;"&amp;$Q8)))</f>
        <v>655.611363636364</v>
      </c>
      <c r="S8" s="3">
        <f>SUMPRODUCT($D$26:$D$45*(($J$2:$J$21=$P8&amp;"-&gt;"&amp;$Q8)+($K$2:$K$21=$P8&amp;"-&gt;"&amp;$Q8)+($L$2:$L$21=$P8&amp;"-&gt;"&amp;$Q8)+($M$2:$M$21=$P8&amp;"-&gt;"&amp;$Q8)+($N$2:$N$21=$P8&amp;"-&gt;"&amp;$Q8)+($O$2:$O$21=$P8&amp;"-&gt;"&amp;$Q8)))</f>
        <v>8.19514204545455</v>
      </c>
    </row>
    <row r="9" ht="18" spans="1:19">
      <c r="A9" t="s">
        <v>32</v>
      </c>
      <c r="B9" t="s">
        <v>123</v>
      </c>
      <c r="C9" t="s">
        <v>121</v>
      </c>
      <c r="D9" t="s">
        <v>120</v>
      </c>
      <c r="E9" t="s">
        <v>119</v>
      </c>
      <c r="I9">
        <f>_xlfn.XLOOKUP(A9,$A$2:$A$21,$C$26:$C$45)</f>
        <v>476</v>
      </c>
      <c r="J9" t="str">
        <f t="shared" ref="J9:O9" si="7">IF(AND(B9&lt;&gt;"",C9&lt;&gt;"",B9&lt;&gt;C9),B9&amp;"-&gt;"&amp;C9,"")</f>
        <v>E-&gt;H</v>
      </c>
      <c r="K9" s="3" t="str">
        <f t="shared" si="7"/>
        <v>H-&gt;J</v>
      </c>
      <c r="L9" s="3" t="str">
        <f t="shared" si="7"/>
        <v>J-&gt;I</v>
      </c>
      <c r="M9" s="3" t="str">
        <f t="shared" si="7"/>
        <v/>
      </c>
      <c r="N9" s="3" t="str">
        <f t="shared" si="7"/>
        <v/>
      </c>
      <c r="O9" s="3" t="str">
        <f t="shared" si="7"/>
        <v/>
      </c>
      <c r="P9" s="4" t="s">
        <v>118</v>
      </c>
      <c r="Q9" s="4" t="s">
        <v>117</v>
      </c>
      <c r="R9" s="3">
        <f>SUMPRODUCT($I$2:$I$21*(($J$2:$J$21=$P9&amp;"-&gt;"&amp;$Q9)+($K$2:$K$21=$P9&amp;"-&gt;"&amp;$Q9)+($L$2:$L$21=$P9&amp;"-&gt;"&amp;$Q9)+($M$2:$M$21=$P9&amp;"-&gt;"&amp;$Q9)+($N$2:$N$21=$P9&amp;"-&gt;"&amp;$Q9)+($O$2:$O$21=$P9&amp;"-&gt;"&amp;$Q9)))</f>
        <v>655.611363636364</v>
      </c>
      <c r="S9" s="3">
        <f>SUMPRODUCT($D$26:$D$45*(($J$2:$J$21=$P9&amp;"-&gt;"&amp;$Q9)+($K$2:$K$21=$P9&amp;"-&gt;"&amp;$Q9)+($L$2:$L$21=$P9&amp;"-&gt;"&amp;$Q9)+($M$2:$M$21=$P9&amp;"-&gt;"&amp;$Q9)+($N$2:$N$21=$P9&amp;"-&gt;"&amp;$Q9)+($O$2:$O$21=$P9&amp;"-&gt;"&amp;$Q9)))</f>
        <v>8.19514204545455</v>
      </c>
    </row>
    <row r="10" ht="18" spans="1:19">
      <c r="A10" t="s">
        <v>34</v>
      </c>
      <c r="B10" t="s">
        <v>124</v>
      </c>
      <c r="C10" t="s">
        <v>122</v>
      </c>
      <c r="D10" t="s">
        <v>123</v>
      </c>
      <c r="E10" t="s">
        <v>122</v>
      </c>
      <c r="F10" t="s">
        <v>119</v>
      </c>
      <c r="G10" t="s">
        <v>120</v>
      </c>
      <c r="I10">
        <f>_xlfn.XLOOKUP(A10,$A$2:$A$21,$C$26:$C$45)</f>
        <v>523.363636363636</v>
      </c>
      <c r="J10" t="str">
        <f t="shared" ref="J10:O10" si="8">IF(AND(B10&lt;&gt;"",C10&lt;&gt;"",B10&lt;&gt;C10),B10&amp;"-&gt;"&amp;C10,"")</f>
        <v>F-&gt;G</v>
      </c>
      <c r="K10" s="3" t="str">
        <f t="shared" si="8"/>
        <v>G-&gt;E</v>
      </c>
      <c r="L10" s="3" t="str">
        <f t="shared" si="8"/>
        <v>E-&gt;G</v>
      </c>
      <c r="M10" s="3" t="str">
        <f t="shared" si="8"/>
        <v>G-&gt;I</v>
      </c>
      <c r="N10" s="3" t="str">
        <f t="shared" si="8"/>
        <v>I-&gt;J</v>
      </c>
      <c r="O10" s="3" t="str">
        <f t="shared" si="8"/>
        <v/>
      </c>
      <c r="P10" s="4" t="s">
        <v>118</v>
      </c>
      <c r="Q10" s="4" t="s">
        <v>122</v>
      </c>
      <c r="R10" s="3">
        <f>SUMPRODUCT($I$2:$I$21*(($J$2:$J$21=$P10&amp;"-&gt;"&amp;$Q10)+($K$2:$K$21=$P10&amp;"-&gt;"&amp;$Q10)+($L$2:$L$21=$P10&amp;"-&gt;"&amp;$Q10)+($M$2:$M$21=$P10&amp;"-&gt;"&amp;$Q10)+($N$2:$N$21=$P10&amp;"-&gt;"&amp;$Q10)+($O$2:$O$21=$P10&amp;"-&gt;"&amp;$Q10)))</f>
        <v>726.931818181818</v>
      </c>
      <c r="S10" s="3">
        <f>SUMPRODUCT($D$26:$D$45*(($J$2:$J$21=$P10&amp;"-&gt;"&amp;$Q10)+($K$2:$K$21=$P10&amp;"-&gt;"&amp;$Q10)+($L$2:$L$21=$P10&amp;"-&gt;"&amp;$Q10)+($M$2:$M$21=$P10&amp;"-&gt;"&amp;$Q10)+($N$2:$N$21=$P10&amp;"-&gt;"&amp;$Q10)+($O$2:$O$21=$P10&amp;"-&gt;"&amp;$Q10)))</f>
        <v>9.08664772727273</v>
      </c>
    </row>
    <row r="11" ht="18" spans="1:19">
      <c r="A11" t="s">
        <v>36</v>
      </c>
      <c r="B11" t="s">
        <v>123</v>
      </c>
      <c r="C11" t="s">
        <v>124</v>
      </c>
      <c r="D11" t="s">
        <v>119</v>
      </c>
      <c r="E11" t="s">
        <v>120</v>
      </c>
      <c r="I11">
        <f>_xlfn.XLOOKUP(A11,$A$2:$A$21,$C$26:$C$45)</f>
        <v>377.755681818182</v>
      </c>
      <c r="J11" t="str">
        <f t="shared" ref="J11:O11" si="9">IF(AND(B11&lt;&gt;"",C11&lt;&gt;"",B11&lt;&gt;C11),B11&amp;"-&gt;"&amp;C11,"")</f>
        <v>E-&gt;F</v>
      </c>
      <c r="K11" s="3" t="str">
        <f t="shared" si="9"/>
        <v>F-&gt;I</v>
      </c>
      <c r="L11" s="3" t="str">
        <f t="shared" si="9"/>
        <v>I-&gt;J</v>
      </c>
      <c r="M11" s="3" t="str">
        <f t="shared" si="9"/>
        <v/>
      </c>
      <c r="N11" s="3" t="str">
        <f t="shared" si="9"/>
        <v/>
      </c>
      <c r="O11" s="3" t="str">
        <f t="shared" si="9"/>
        <v/>
      </c>
      <c r="P11" s="4" t="s">
        <v>118</v>
      </c>
      <c r="Q11" s="4" t="s">
        <v>121</v>
      </c>
      <c r="R11" s="3">
        <f>SUMPRODUCT($I$2:$I$21*(($J$2:$J$21=$P11&amp;"-&gt;"&amp;$Q11)+($K$2:$K$21=$P11&amp;"-&gt;"&amp;$Q11)+($L$2:$L$21=$P11&amp;"-&gt;"&amp;$Q11)+($M$2:$M$21=$P11&amp;"-&gt;"&amp;$Q11)+($N$2:$N$21=$P11&amp;"-&gt;"&amp;$Q11)+($O$2:$O$21=$P11&amp;"-&gt;"&amp;$Q11)))</f>
        <v>1209.25113636364</v>
      </c>
      <c r="S11" s="3">
        <f>SUMPRODUCT($D$26:$D$45*(($J$2:$J$21=$P11&amp;"-&gt;"&amp;$Q11)+($K$2:$K$21=$P11&amp;"-&gt;"&amp;$Q11)+($L$2:$L$21=$P11&amp;"-&gt;"&amp;$Q11)+($M$2:$M$21=$P11&amp;"-&gt;"&amp;$Q11)+($N$2:$N$21=$P11&amp;"-&gt;"&amp;$Q11)+($O$2:$O$21=$P11&amp;"-&gt;"&amp;$Q11)))</f>
        <v>15.1156392045455</v>
      </c>
    </row>
    <row r="12" ht="18" spans="1:19">
      <c r="A12" t="s">
        <v>37</v>
      </c>
      <c r="B12" t="s">
        <v>123</v>
      </c>
      <c r="C12" t="s">
        <v>122</v>
      </c>
      <c r="D12" t="s">
        <v>123</v>
      </c>
      <c r="E12" t="s">
        <v>122</v>
      </c>
      <c r="F12" t="s">
        <v>119</v>
      </c>
      <c r="I12">
        <f>_xlfn.XLOOKUP(A12,$A$2:$A$21,$C$26:$C$45)</f>
        <v>781.456818181818</v>
      </c>
      <c r="J12" t="str">
        <f t="shared" ref="J12:O12" si="10">IF(AND(B12&lt;&gt;"",C12&lt;&gt;"",B12&lt;&gt;C12),B12&amp;"-&gt;"&amp;C12,"")</f>
        <v>E-&gt;G</v>
      </c>
      <c r="K12" s="3" t="str">
        <f t="shared" si="10"/>
        <v>G-&gt;E</v>
      </c>
      <c r="L12" s="3" t="str">
        <f t="shared" si="10"/>
        <v>E-&gt;G</v>
      </c>
      <c r="M12" s="3" t="str">
        <f t="shared" si="10"/>
        <v>G-&gt;I</v>
      </c>
      <c r="N12" s="3" t="str">
        <f t="shared" si="10"/>
        <v/>
      </c>
      <c r="O12" s="3" t="str">
        <f t="shared" si="10"/>
        <v/>
      </c>
      <c r="P12" s="4" t="s">
        <v>118</v>
      </c>
      <c r="Q12" s="4" t="s">
        <v>119</v>
      </c>
      <c r="R12" s="3">
        <f>SUMPRODUCT($I$2:$I$21*(($J$2:$J$21=$P12&amp;"-&gt;"&amp;$Q12)+($K$2:$K$21=$P12&amp;"-&gt;"&amp;$Q12)+($L$2:$L$21=$P12&amp;"-&gt;"&amp;$Q12)+($M$2:$M$21=$P12&amp;"-&gt;"&amp;$Q12)+($N$2:$N$21=$P12&amp;"-&gt;"&amp;$Q12)+($O$2:$O$21=$P12&amp;"-&gt;"&amp;$Q12)))</f>
        <v>3010.08522727273</v>
      </c>
      <c r="S12" s="3">
        <f>SUMPRODUCT($D$26:$D$45*(($J$2:$J$21=$P12&amp;"-&gt;"&amp;$Q12)+($K$2:$K$21=$P12&amp;"-&gt;"&amp;$Q12)+($L$2:$L$21=$P12&amp;"-&gt;"&amp;$Q12)+($M$2:$M$21=$P12&amp;"-&gt;"&amp;$Q12)+($N$2:$N$21=$P12&amp;"-&gt;"&amp;$Q12)+($O$2:$O$21=$P12&amp;"-&gt;"&amp;$Q12)))</f>
        <v>37.6260653409091</v>
      </c>
    </row>
    <row r="13" ht="18" spans="1:19">
      <c r="A13" t="s">
        <v>38</v>
      </c>
      <c r="B13" t="s">
        <v>123</v>
      </c>
      <c r="C13" t="s">
        <v>122</v>
      </c>
      <c r="D13" t="s">
        <v>124</v>
      </c>
      <c r="E13" t="s">
        <v>119</v>
      </c>
      <c r="F13" t="s">
        <v>120</v>
      </c>
      <c r="I13">
        <f>_xlfn.XLOOKUP(A13,$A$2:$A$21,$C$26:$C$45)</f>
        <v>844.468181818182</v>
      </c>
      <c r="J13" t="str">
        <f t="shared" ref="J13:O13" si="11">IF(AND(B13&lt;&gt;"",C13&lt;&gt;"",B13&lt;&gt;C13),B13&amp;"-&gt;"&amp;C13,"")</f>
        <v>E-&gt;G</v>
      </c>
      <c r="K13" s="3" t="str">
        <f t="shared" si="11"/>
        <v>G-&gt;F</v>
      </c>
      <c r="L13" s="3" t="str">
        <f t="shared" si="11"/>
        <v>F-&gt;I</v>
      </c>
      <c r="M13" s="3" t="str">
        <f t="shared" si="11"/>
        <v>I-&gt;J</v>
      </c>
      <c r="N13" s="3" t="str">
        <f t="shared" si="11"/>
        <v/>
      </c>
      <c r="O13" s="3" t="str">
        <f t="shared" si="11"/>
        <v/>
      </c>
      <c r="P13" s="4" t="s">
        <v>123</v>
      </c>
      <c r="Q13" s="4" t="s">
        <v>124</v>
      </c>
      <c r="R13" s="3">
        <f>SUMPRODUCT($I$2:$I$21*(($J$2:$J$21=$P13&amp;"-&gt;"&amp;$Q13)+($K$2:$K$21=$P13&amp;"-&gt;"&amp;$Q13)+($L$2:$L$21=$P13&amp;"-&gt;"&amp;$Q13)+($M$2:$M$21=$P13&amp;"-&gt;"&amp;$Q13)+($N$2:$N$21=$P13&amp;"-&gt;"&amp;$Q13)+($O$2:$O$21=$P13&amp;"-&gt;"&amp;$Q13)))</f>
        <v>2845.6125</v>
      </c>
      <c r="S13" s="3">
        <f>SUMPRODUCT($D$26:$D$45*(($J$2:$J$21=$P13&amp;"-&gt;"&amp;$Q13)+($K$2:$K$21=$P13&amp;"-&gt;"&amp;$Q13)+($L$2:$L$21=$P13&amp;"-&gt;"&amp;$Q13)+($M$2:$M$21=$P13&amp;"-&gt;"&amp;$Q13)+($N$2:$N$21=$P13&amp;"-&gt;"&amp;$Q13)+($O$2:$O$21=$P13&amp;"-&gt;"&amp;$Q13)))</f>
        <v>35.57015625</v>
      </c>
    </row>
    <row r="14" ht="18" spans="1:19">
      <c r="A14" t="s">
        <v>39</v>
      </c>
      <c r="B14" t="s">
        <v>123</v>
      </c>
      <c r="C14" t="s">
        <v>124</v>
      </c>
      <c r="D14" t="s">
        <v>122</v>
      </c>
      <c r="E14" t="s">
        <v>124</v>
      </c>
      <c r="F14" t="s">
        <v>122</v>
      </c>
      <c r="G14" t="s">
        <v>121</v>
      </c>
      <c r="H14" t="s">
        <v>119</v>
      </c>
      <c r="I14">
        <f>_xlfn.XLOOKUP(A14,$A$2:$A$21,$C$26:$C$45)</f>
        <v>422.234090909091</v>
      </c>
      <c r="J14" t="str">
        <f t="shared" ref="J14:O14" si="12">IF(AND(B14&lt;&gt;"",C14&lt;&gt;"",B14&lt;&gt;C14),B14&amp;"-&gt;"&amp;C14,"")</f>
        <v>E-&gt;F</v>
      </c>
      <c r="K14" s="3" t="str">
        <f t="shared" si="12"/>
        <v>F-&gt;G</v>
      </c>
      <c r="L14" s="3" t="str">
        <f t="shared" si="12"/>
        <v>G-&gt;F</v>
      </c>
      <c r="M14" s="3" t="str">
        <f t="shared" si="12"/>
        <v>F-&gt;G</v>
      </c>
      <c r="N14" s="3" t="str">
        <f t="shared" si="12"/>
        <v>G-&gt;H</v>
      </c>
      <c r="O14" s="3" t="str">
        <f t="shared" si="12"/>
        <v>H-&gt;I</v>
      </c>
      <c r="P14" s="4" t="s">
        <v>123</v>
      </c>
      <c r="Q14" s="4" t="s">
        <v>122</v>
      </c>
      <c r="R14" s="3">
        <f>SUMPRODUCT($I$2:$I$21*(($J$2:$J$21=$P14&amp;"-&gt;"&amp;$Q14)+($K$2:$K$21=$P14&amp;"-&gt;"&amp;$Q14)+($L$2:$L$21=$P14&amp;"-&gt;"&amp;$Q14)+($M$2:$M$21=$P14&amp;"-&gt;"&amp;$Q14)+($N$2:$N$21=$P14&amp;"-&gt;"&amp;$Q14)+($O$2:$O$21=$P14&amp;"-&gt;"&amp;$Q14)))</f>
        <v>3168.74545454545</v>
      </c>
      <c r="S14" s="3">
        <f>SUMPRODUCT($D$26:$D$45*(($J$2:$J$21=$P14&amp;"-&gt;"&amp;$Q14)+($K$2:$K$21=$P14&amp;"-&gt;"&amp;$Q14)+($L$2:$L$21=$P14&amp;"-&gt;"&amp;$Q14)+($M$2:$M$21=$P14&amp;"-&gt;"&amp;$Q14)+($N$2:$N$21=$P14&amp;"-&gt;"&amp;$Q14)+($O$2:$O$21=$P14&amp;"-&gt;"&amp;$Q14)))</f>
        <v>39.6093181818182</v>
      </c>
    </row>
    <row r="15" ht="18" spans="1:19">
      <c r="A15" t="s">
        <v>42</v>
      </c>
      <c r="B15" t="s">
        <v>123</v>
      </c>
      <c r="C15" t="s">
        <v>124</v>
      </c>
      <c r="D15" t="s">
        <v>122</v>
      </c>
      <c r="E15" t="s">
        <v>121</v>
      </c>
      <c r="I15">
        <f>_xlfn.XLOOKUP(A15,$A$2:$A$21,$C$26:$C$45)</f>
        <v>1189.45</v>
      </c>
      <c r="J15" t="str">
        <f t="shared" ref="J15:O15" si="13">IF(AND(B15&lt;&gt;"",C15&lt;&gt;"",B15&lt;&gt;C15),B15&amp;"-&gt;"&amp;C15,"")</f>
        <v>E-&gt;F</v>
      </c>
      <c r="K15" s="3" t="str">
        <f t="shared" si="13"/>
        <v>F-&gt;G</v>
      </c>
      <c r="L15" s="3" t="str">
        <f t="shared" si="13"/>
        <v>G-&gt;H</v>
      </c>
      <c r="M15" s="3" t="str">
        <f t="shared" si="13"/>
        <v/>
      </c>
      <c r="N15" s="3" t="str">
        <f t="shared" si="13"/>
        <v/>
      </c>
      <c r="O15" s="3" t="str">
        <f t="shared" si="13"/>
        <v/>
      </c>
      <c r="P15" s="4" t="s">
        <v>123</v>
      </c>
      <c r="Q15" s="4" t="s">
        <v>121</v>
      </c>
      <c r="R15" s="3">
        <f>SUMPRODUCT($I$2:$I$21*(($J$2:$J$21=$P15&amp;"-&gt;"&amp;$Q15)+($K$2:$K$21=$P15&amp;"-&gt;"&amp;$Q15)+($L$2:$L$21=$P15&amp;"-&gt;"&amp;$Q15)+($M$2:$M$21=$P15&amp;"-&gt;"&amp;$Q15)+($N$2:$N$21=$P15&amp;"-&gt;"&amp;$Q15)+($O$2:$O$21=$P15&amp;"-&gt;"&amp;$Q15)))</f>
        <v>476</v>
      </c>
      <c r="S15" s="3">
        <f>SUMPRODUCT($D$26:$D$45*(($J$2:$J$21=$P15&amp;"-&gt;"&amp;$Q15)+($K$2:$K$21=$P15&amp;"-&gt;"&amp;$Q15)+($L$2:$L$21=$P15&amp;"-&gt;"&amp;$Q15)+($M$2:$M$21=$P15&amp;"-&gt;"&amp;$Q15)+($N$2:$N$21=$P15&amp;"-&gt;"&amp;$Q15)+($O$2:$O$21=$P15&amp;"-&gt;"&amp;$Q15)))</f>
        <v>5.95</v>
      </c>
    </row>
    <row r="16" ht="18" spans="1:19">
      <c r="A16" t="s">
        <v>43</v>
      </c>
      <c r="B16" t="s">
        <v>123</v>
      </c>
      <c r="C16" t="s">
        <v>122</v>
      </c>
      <c r="D16" t="s">
        <v>124</v>
      </c>
      <c r="E16" t="s">
        <v>121</v>
      </c>
      <c r="F16" t="s">
        <v>120</v>
      </c>
      <c r="I16">
        <f>_xlfn.XLOOKUP(A16,$A$2:$A$21,$C$26:$C$45)</f>
        <v>238</v>
      </c>
      <c r="J16" t="str">
        <f t="shared" ref="J16:O16" si="14">IF(AND(B16&lt;&gt;"",C16&lt;&gt;"",B16&lt;&gt;C16),B16&amp;"-&gt;"&amp;C16,"")</f>
        <v>E-&gt;G</v>
      </c>
      <c r="K16" s="3" t="str">
        <f t="shared" si="14"/>
        <v>G-&gt;F</v>
      </c>
      <c r="L16" s="3" t="str">
        <f t="shared" si="14"/>
        <v>F-&gt;H</v>
      </c>
      <c r="M16" s="3" t="str">
        <f t="shared" si="14"/>
        <v>H-&gt;J</v>
      </c>
      <c r="N16" s="3" t="str">
        <f t="shared" si="14"/>
        <v/>
      </c>
      <c r="O16" s="3" t="str">
        <f t="shared" si="14"/>
        <v/>
      </c>
      <c r="P16" s="4" t="s">
        <v>124</v>
      </c>
      <c r="Q16" s="4" t="s">
        <v>117</v>
      </c>
      <c r="R16" s="3">
        <f>SUMPRODUCT($I$2:$I$21*(($J$2:$J$21=$P16&amp;"-&gt;"&amp;$Q16)+($K$2:$K$21=$P16&amp;"-&gt;"&amp;$Q16)+($L$2:$L$21=$P16&amp;"-&gt;"&amp;$Q16)+($M$2:$M$21=$P16&amp;"-&gt;"&amp;$Q16)+($N$2:$N$21=$P16&amp;"-&gt;"&amp;$Q16)+($O$2:$O$21=$P16&amp;"-&gt;"&amp;$Q16)))</f>
        <v>856.172727272727</v>
      </c>
      <c r="S16" s="3">
        <f>SUMPRODUCT($D$26:$D$45*(($J$2:$J$21=$P16&amp;"-&gt;"&amp;$Q16)+($K$2:$K$21=$P16&amp;"-&gt;"&amp;$Q16)+($L$2:$L$21=$P16&amp;"-&gt;"&amp;$Q16)+($M$2:$M$21=$P16&amp;"-&gt;"&amp;$Q16)+($N$2:$N$21=$P16&amp;"-&gt;"&amp;$Q16)+($O$2:$O$21=$P16&amp;"-&gt;"&amp;$Q16)))</f>
        <v>10.7021590909091</v>
      </c>
    </row>
    <row r="17" ht="18" spans="1:19">
      <c r="A17" t="s">
        <v>44</v>
      </c>
      <c r="B17" t="s">
        <v>124</v>
      </c>
      <c r="C17" t="s">
        <v>121</v>
      </c>
      <c r="D17" t="s">
        <v>119</v>
      </c>
      <c r="E17" t="s">
        <v>120</v>
      </c>
      <c r="I17">
        <f>_xlfn.XLOOKUP(A17,$A$2:$A$21,$C$26:$C$45)</f>
        <v>943.431818181818</v>
      </c>
      <c r="J17" t="str">
        <f t="shared" ref="J17:O17" si="15">IF(AND(B17&lt;&gt;"",C17&lt;&gt;"",B17&lt;&gt;C17),B17&amp;"-&gt;"&amp;C17,"")</f>
        <v>F-&gt;H</v>
      </c>
      <c r="K17" s="3" t="str">
        <f t="shared" si="15"/>
        <v>H-&gt;I</v>
      </c>
      <c r="L17" s="3" t="str">
        <f t="shared" si="15"/>
        <v>I-&gt;J</v>
      </c>
      <c r="M17" s="3" t="str">
        <f t="shared" si="15"/>
        <v/>
      </c>
      <c r="N17" s="3" t="str">
        <f t="shared" si="15"/>
        <v/>
      </c>
      <c r="O17" s="3" t="str">
        <f t="shared" si="15"/>
        <v/>
      </c>
      <c r="P17" s="4" t="s">
        <v>124</v>
      </c>
      <c r="Q17" s="4" t="s">
        <v>122</v>
      </c>
      <c r="R17" s="3">
        <f>SUMPRODUCT($I$2:$I$21*(($J$2:$J$21=$P17&amp;"-&gt;"&amp;$Q17)+($K$2:$K$21=$P17&amp;"-&gt;"&amp;$Q17)+($L$2:$L$21=$P17&amp;"-&gt;"&amp;$Q17)+($M$2:$M$21=$P17&amp;"-&gt;"&amp;$Q17)+($N$2:$N$21=$P17&amp;"-&gt;"&amp;$Q17)+($O$2:$O$21=$P17&amp;"-&gt;"&amp;$Q17)))</f>
        <v>2557.28181818182</v>
      </c>
      <c r="S17" s="3">
        <f>SUMPRODUCT($D$26:$D$45*(($J$2:$J$21=$P17&amp;"-&gt;"&amp;$Q17)+($K$2:$K$21=$P17&amp;"-&gt;"&amp;$Q17)+($L$2:$L$21=$P17&amp;"-&gt;"&amp;$Q17)+($M$2:$M$21=$P17&amp;"-&gt;"&amp;$Q17)+($N$2:$N$21=$P17&amp;"-&gt;"&amp;$Q17)+($O$2:$O$21=$P17&amp;"-&gt;"&amp;$Q17)))</f>
        <v>31.9660227272727</v>
      </c>
    </row>
    <row r="18" ht="18" spans="1:19">
      <c r="A18" t="s">
        <v>45</v>
      </c>
      <c r="B18" t="s">
        <v>125</v>
      </c>
      <c r="C18" t="s">
        <v>126</v>
      </c>
      <c r="D18" t="s">
        <v>127</v>
      </c>
      <c r="I18">
        <f>_xlfn.XLOOKUP(A18,$A$2:$A$21,$C$26:$C$45)</f>
        <v>422.234090909091</v>
      </c>
      <c r="J18" t="str">
        <f t="shared" ref="J18:O18" si="16">IF(AND(B18&lt;&gt;"",C18&lt;&gt;"",B18&lt;&gt;C18),B18&amp;"-&gt;"&amp;C18,"")</f>
        <v>K-&gt;L</v>
      </c>
      <c r="K18" s="3" t="str">
        <f t="shared" si="16"/>
        <v>L-&gt;M</v>
      </c>
      <c r="L18" s="3" t="str">
        <f t="shared" si="16"/>
        <v/>
      </c>
      <c r="M18" s="3" t="str">
        <f t="shared" si="16"/>
        <v/>
      </c>
      <c r="N18" s="3" t="str">
        <f t="shared" si="16"/>
        <v/>
      </c>
      <c r="O18" s="3" t="str">
        <f t="shared" si="16"/>
        <v/>
      </c>
      <c r="P18" s="4" t="s">
        <v>124</v>
      </c>
      <c r="Q18" s="4" t="s">
        <v>121</v>
      </c>
      <c r="R18" s="3">
        <f>SUMPRODUCT($I$2:$I$21*(($J$2:$J$21=$P18&amp;"-&gt;"&amp;$Q18)+($K$2:$K$21=$P18&amp;"-&gt;"&amp;$Q18)+($L$2:$L$21=$P18&amp;"-&gt;"&amp;$Q18)+($M$2:$M$21=$P18&amp;"-&gt;"&amp;$Q18)+($N$2:$N$21=$P18&amp;"-&gt;"&amp;$Q18)+($O$2:$O$21=$P18&amp;"-&gt;"&amp;$Q18)))</f>
        <v>1181.43181818182</v>
      </c>
      <c r="S18" s="3">
        <f>SUMPRODUCT($D$26:$D$45*(($J$2:$J$21=$P18&amp;"-&gt;"&amp;$Q18)+($K$2:$K$21=$P18&amp;"-&gt;"&amp;$Q18)+($L$2:$L$21=$P18&amp;"-&gt;"&amp;$Q18)+($M$2:$M$21=$P18&amp;"-&gt;"&amp;$Q18)+($N$2:$N$21=$P18&amp;"-&gt;"&amp;$Q18)+($O$2:$O$21=$P18&amp;"-&gt;"&amp;$Q18)))</f>
        <v>14.7678977272727</v>
      </c>
    </row>
    <row r="19" ht="18" spans="1:19">
      <c r="A19" t="s">
        <v>46</v>
      </c>
      <c r="B19" t="s">
        <v>125</v>
      </c>
      <c r="C19" t="s">
        <v>126</v>
      </c>
      <c r="D19" t="s">
        <v>125</v>
      </c>
      <c r="E19" t="s">
        <v>127</v>
      </c>
      <c r="I19">
        <f>_xlfn.XLOOKUP(A19,$A$2:$A$21,$C$26:$C$45)</f>
        <v>878.9</v>
      </c>
      <c r="J19" t="str">
        <f t="shared" ref="J19:O19" si="17">IF(AND(B19&lt;&gt;"",C19&lt;&gt;"",B19&lt;&gt;C19),B19&amp;"-&gt;"&amp;C19,"")</f>
        <v>K-&gt;L</v>
      </c>
      <c r="K19" s="3" t="str">
        <f t="shared" si="17"/>
        <v>L-&gt;K</v>
      </c>
      <c r="L19" s="3" t="str">
        <f t="shared" si="17"/>
        <v>K-&gt;M</v>
      </c>
      <c r="M19" s="3" t="str">
        <f t="shared" si="17"/>
        <v/>
      </c>
      <c r="N19" s="3" t="str">
        <f t="shared" si="17"/>
        <v/>
      </c>
      <c r="O19" s="3" t="str">
        <f t="shared" si="17"/>
        <v/>
      </c>
      <c r="P19" s="4" t="s">
        <v>124</v>
      </c>
      <c r="Q19" s="4" t="s">
        <v>119</v>
      </c>
      <c r="R19" s="3">
        <f>SUMPRODUCT($I$2:$I$21*(($J$2:$J$21=$P19&amp;"-&gt;"&amp;$Q19)+($K$2:$K$21=$P19&amp;"-&gt;"&amp;$Q19)+($L$2:$L$21=$P19&amp;"-&gt;"&amp;$Q19)+($M$2:$M$21=$P19&amp;"-&gt;"&amp;$Q19)+($N$2:$N$21=$P19&amp;"-&gt;"&amp;$Q19)+($O$2:$O$21=$P19&amp;"-&gt;"&amp;$Q19)))</f>
        <v>1222.22386363636</v>
      </c>
      <c r="S19" s="3">
        <f>SUMPRODUCT($D$26:$D$45*(($J$2:$J$21=$P19&amp;"-&gt;"&amp;$Q19)+($K$2:$K$21=$P19&amp;"-&gt;"&amp;$Q19)+($L$2:$L$21=$P19&amp;"-&gt;"&amp;$Q19)+($M$2:$M$21=$P19&amp;"-&gt;"&amp;$Q19)+($N$2:$N$21=$P19&amp;"-&gt;"&amp;$Q19)+($O$2:$O$21=$P19&amp;"-&gt;"&amp;$Q19)))</f>
        <v>15.2777982954545</v>
      </c>
    </row>
    <row r="20" ht="18" spans="1:19">
      <c r="A20" t="s">
        <v>47</v>
      </c>
      <c r="B20" t="s">
        <v>126</v>
      </c>
      <c r="C20" t="s">
        <v>127</v>
      </c>
      <c r="D20" t="s">
        <v>126</v>
      </c>
      <c r="E20" t="s">
        <v>127</v>
      </c>
      <c r="I20">
        <f>_xlfn.XLOOKUP(A20,$A$2:$A$21,$C$26:$C$45)</f>
        <v>1633.475</v>
      </c>
      <c r="J20" t="str">
        <f t="shared" ref="J20:O20" si="18">IF(AND(B20&lt;&gt;"",C20&lt;&gt;"",B20&lt;&gt;C20),B20&amp;"-&gt;"&amp;C20,"")</f>
        <v>L-&gt;M</v>
      </c>
      <c r="K20" s="3" t="str">
        <f t="shared" si="18"/>
        <v>M-&gt;L</v>
      </c>
      <c r="L20" s="3" t="str">
        <f t="shared" si="18"/>
        <v>L-&gt;M</v>
      </c>
      <c r="M20" s="3" t="str">
        <f t="shared" si="18"/>
        <v/>
      </c>
      <c r="N20" s="3" t="str">
        <f t="shared" si="18"/>
        <v/>
      </c>
      <c r="O20" s="3" t="str">
        <f t="shared" si="18"/>
        <v/>
      </c>
      <c r="P20" s="4" t="s">
        <v>122</v>
      </c>
      <c r="Q20" s="4" t="s">
        <v>123</v>
      </c>
      <c r="R20" s="3">
        <f>SUMPRODUCT($I$2:$I$21*(($J$2:$J$21=$P20&amp;"-&gt;"&amp;$Q20)+($K$2:$K$21=$P20&amp;"-&gt;"&amp;$Q20)+($L$2:$L$21=$P20&amp;"-&gt;"&amp;$Q20)+($M$2:$M$21=$P20&amp;"-&gt;"&amp;$Q20)+($N$2:$N$21=$P20&amp;"-&gt;"&amp;$Q20)+($O$2:$O$21=$P20&amp;"-&gt;"&amp;$Q20)))</f>
        <v>1304.82045454545</v>
      </c>
      <c r="S20" s="3">
        <f>SUMPRODUCT($D$26:$D$45*(($J$2:$J$21=$P20&amp;"-&gt;"&amp;$Q20)+($K$2:$K$21=$P20&amp;"-&gt;"&amp;$Q20)+($L$2:$L$21=$P20&amp;"-&gt;"&amp;$Q20)+($M$2:$M$21=$P20&amp;"-&gt;"&amp;$Q20)+($N$2:$N$21=$P20&amp;"-&gt;"&amp;$Q20)+($O$2:$O$21=$P20&amp;"-&gt;"&amp;$Q20)))</f>
        <v>16.3102556818182</v>
      </c>
    </row>
    <row r="21" ht="18" spans="1:19">
      <c r="A21" t="s">
        <v>48</v>
      </c>
      <c r="B21" t="s">
        <v>126</v>
      </c>
      <c r="C21" t="s">
        <v>125</v>
      </c>
      <c r="D21" t="s">
        <v>127</v>
      </c>
      <c r="I21">
        <f>_xlfn.XLOOKUP(A21,$A$2:$A$21,$C$26:$C$45)</f>
        <v>1107.61363636364</v>
      </c>
      <c r="J21" t="str">
        <f t="shared" ref="J21:O21" si="19">IF(AND(B21&lt;&gt;"",C21&lt;&gt;"",B21&lt;&gt;C21),B21&amp;"-&gt;"&amp;C21,"")</f>
        <v>L-&gt;K</v>
      </c>
      <c r="K21" s="3" t="str">
        <f t="shared" si="19"/>
        <v>K-&gt;M</v>
      </c>
      <c r="L21" s="3" t="str">
        <f t="shared" si="19"/>
        <v/>
      </c>
      <c r="M21" s="3" t="str">
        <f t="shared" si="19"/>
        <v/>
      </c>
      <c r="N21" s="3" t="str">
        <f t="shared" si="19"/>
        <v/>
      </c>
      <c r="O21" s="3" t="str">
        <f t="shared" si="19"/>
        <v/>
      </c>
      <c r="P21" s="4" t="s">
        <v>122</v>
      </c>
      <c r="Q21" s="4" t="s">
        <v>124</v>
      </c>
      <c r="R21" s="3">
        <f>SUMPRODUCT($I$2:$I$21*(($J$2:$J$21=$P21&amp;"-&gt;"&amp;$Q21)+($K$2:$K$21=$P21&amp;"-&gt;"&amp;$Q21)+($L$2:$L$21=$P21&amp;"-&gt;"&amp;$Q21)+($M$2:$M$21=$P21&amp;"-&gt;"&amp;$Q21)+($N$2:$N$21=$P21&amp;"-&gt;"&amp;$Q21)+($O$2:$O$21=$P21&amp;"-&gt;"&amp;$Q21)))</f>
        <v>1504.70227272727</v>
      </c>
      <c r="S21" s="3">
        <f>SUMPRODUCT($D$26:$D$45*(($J$2:$J$21=$P21&amp;"-&gt;"&amp;$Q21)+($K$2:$K$21=$P21&amp;"-&gt;"&amp;$Q21)+($L$2:$L$21=$P21&amp;"-&gt;"&amp;$Q21)+($M$2:$M$21=$P21&amp;"-&gt;"&amp;$Q21)+($N$2:$N$21=$P21&amp;"-&gt;"&amp;$Q21)+($O$2:$O$21=$P21&amp;"-&gt;"&amp;$Q21)))</f>
        <v>18.8087784090909</v>
      </c>
    </row>
    <row r="22" spans="16:19">
      <c r="P22" s="4" t="s">
        <v>122</v>
      </c>
      <c r="Q22" s="4" t="s">
        <v>121</v>
      </c>
      <c r="R22" s="3">
        <f>SUMPRODUCT($I$2:$I$21*(($J$2:$J$21=$P22&amp;"-&gt;"&amp;$Q22)+($K$2:$K$21=$P22&amp;"-&gt;"&amp;$Q22)+($L$2:$L$21=$P22&amp;"-&gt;"&amp;$Q22)+($M$2:$M$21=$P22&amp;"-&gt;"&amp;$Q22)+($N$2:$N$21=$P22&amp;"-&gt;"&amp;$Q22)+($O$2:$O$21=$P22&amp;"-&gt;"&amp;$Q22)))</f>
        <v>2338.61590909091</v>
      </c>
      <c r="S22" s="3">
        <f>SUMPRODUCT($D$26:$D$45*(($J$2:$J$21=$P22&amp;"-&gt;"&amp;$Q22)+($K$2:$K$21=$P22&amp;"-&gt;"&amp;$Q22)+($L$2:$L$21=$P22&amp;"-&gt;"&amp;$Q22)+($M$2:$M$21=$P22&amp;"-&gt;"&amp;$Q22)+($N$2:$N$21=$P22&amp;"-&gt;"&amp;$Q22)+($O$2:$O$21=$P22&amp;"-&gt;"&amp;$Q22)))</f>
        <v>29.2326988636364</v>
      </c>
    </row>
    <row r="23" spans="16:19">
      <c r="P23" s="4" t="s">
        <v>122</v>
      </c>
      <c r="Q23" s="4" t="s">
        <v>119</v>
      </c>
      <c r="R23" s="3">
        <f>SUMPRODUCT($I$2:$I$21*(($J$2:$J$21=$P23&amp;"-&gt;"&amp;$Q23)+($K$2:$K$21=$P23&amp;"-&gt;"&amp;$Q23)+($L$2:$L$21=$P23&amp;"-&gt;"&amp;$Q23)+($M$2:$M$21=$P23&amp;"-&gt;"&amp;$Q23)+($N$2:$N$21=$P23&amp;"-&gt;"&amp;$Q23)+($O$2:$O$21=$P23&amp;"-&gt;"&amp;$Q23)))</f>
        <v>1304.82045454545</v>
      </c>
      <c r="S23" s="3">
        <f>SUMPRODUCT($D$26:$D$45*(($J$2:$J$21=$P23&amp;"-&gt;"&amp;$Q23)+($K$2:$K$21=$P23&amp;"-&gt;"&amp;$Q23)+($L$2:$L$21=$P23&amp;"-&gt;"&amp;$Q23)+($M$2:$M$21=$P23&amp;"-&gt;"&amp;$Q23)+($N$2:$N$21=$P23&amp;"-&gt;"&amp;$Q23)+($O$2:$O$21=$P23&amp;"-&gt;"&amp;$Q23)))</f>
        <v>16.3102556818182</v>
      </c>
    </row>
    <row r="24" spans="16:19">
      <c r="P24" s="4" t="s">
        <v>121</v>
      </c>
      <c r="Q24" s="4" t="s">
        <v>119</v>
      </c>
      <c r="R24" s="3">
        <f>SUMPRODUCT($I$2:$I$21*(($J$2:$J$21=$P24&amp;"-&gt;"&amp;$Q24)+($K$2:$K$21=$P24&amp;"-&gt;"&amp;$Q24)+($L$2:$L$21=$P24&amp;"-&gt;"&amp;$Q24)+($M$2:$M$21=$P24&amp;"-&gt;"&amp;$Q24)+($N$2:$N$21=$P24&amp;"-&gt;"&amp;$Q24)+($O$2:$O$21=$P24&amp;"-&gt;"&amp;$Q24)))</f>
        <v>1756.39431818182</v>
      </c>
      <c r="S24" s="3">
        <f>SUMPRODUCT($D$26:$D$45*(($J$2:$J$21=$P24&amp;"-&gt;"&amp;$Q24)+($K$2:$K$21=$P24&amp;"-&gt;"&amp;$Q24)+($L$2:$L$21=$P24&amp;"-&gt;"&amp;$Q24)+($M$2:$M$21=$P24&amp;"-&gt;"&amp;$Q24)+($N$2:$N$21=$P24&amp;"-&gt;"&amp;$Q24)+($O$2:$O$21=$P24&amp;"-&gt;"&amp;$Q24)))</f>
        <v>21.9549289772727</v>
      </c>
    </row>
    <row r="25" spans="1:19">
      <c r="A25" s="1" t="s">
        <v>4</v>
      </c>
      <c r="B25" s="1" t="s">
        <v>128</v>
      </c>
      <c r="C25" t="s">
        <v>146</v>
      </c>
      <c r="D25" t="s">
        <v>130</v>
      </c>
      <c r="P25" s="4" t="s">
        <v>121</v>
      </c>
      <c r="Q25" s="4" t="s">
        <v>120</v>
      </c>
      <c r="R25" s="3">
        <f>SUMPRODUCT($I$2:$I$21*(($J$2:$J$21=$P25&amp;"-&gt;"&amp;$Q25)+($K$2:$K$21=$P25&amp;"-&gt;"&amp;$Q25)+($L$2:$L$21=$P25&amp;"-&gt;"&amp;$Q25)+($M$2:$M$21=$P25&amp;"-&gt;"&amp;$Q25)+($N$2:$N$21=$P25&amp;"-&gt;"&amp;$Q25)+($O$2:$O$21=$P25&amp;"-&gt;"&amp;$Q25)))</f>
        <v>1532.52272727273</v>
      </c>
      <c r="S25" s="3">
        <f>SUMPRODUCT($D$26:$D$45*(($J$2:$J$21=$P25&amp;"-&gt;"&amp;$Q25)+($K$2:$K$21=$P25&amp;"-&gt;"&amp;$Q25)+($L$2:$L$21=$P25&amp;"-&gt;"&amp;$Q25)+($M$2:$M$21=$P25&amp;"-&gt;"&amp;$Q25)+($N$2:$N$21=$P25&amp;"-&gt;"&amp;$Q25)+($O$2:$O$21=$P25&amp;"-&gt;"&amp;$Q25)))</f>
        <v>19.1565340909091</v>
      </c>
    </row>
    <row r="26" spans="1:19">
      <c r="A26" s="1" t="s">
        <v>24</v>
      </c>
      <c r="B26" s="1">
        <v>36629.575</v>
      </c>
      <c r="C26">
        <f>B26/22</f>
        <v>1664.98068181818</v>
      </c>
      <c r="D26">
        <f t="shared" ref="D26:D45" si="20">C26/16/5</f>
        <v>20.8122585227273</v>
      </c>
      <c r="P26" s="4" t="s">
        <v>119</v>
      </c>
      <c r="Q26" s="4" t="s">
        <v>120</v>
      </c>
      <c r="R26" s="3">
        <f>SUMPRODUCT($I$2:$I$21*(($J$2:$J$21=$P26&amp;"-&gt;"&amp;$Q26)+($K$2:$K$21=$P26&amp;"-&gt;"&amp;$Q26)+($L$2:$L$21=$P26&amp;"-&gt;"&amp;$Q26)+($M$2:$M$21=$P26&amp;"-&gt;"&amp;$Q26)+($N$2:$N$21=$P26&amp;"-&gt;"&amp;$Q26)+($O$2:$O$21=$P26&amp;"-&gt;"&amp;$Q26)))</f>
        <v>6256.5125</v>
      </c>
      <c r="S26" s="3">
        <f>SUMPRODUCT($D$26:$D$45*(($J$2:$J$21=$P26&amp;"-&gt;"&amp;$Q26)+($K$2:$K$21=$P26&amp;"-&gt;"&amp;$Q26)+($L$2:$L$21=$P26&amp;"-&gt;"&amp;$Q26)+($M$2:$M$21=$P26&amp;"-&gt;"&amp;$Q26)+($N$2:$N$21=$P26&amp;"-&gt;"&amp;$Q26)+($O$2:$O$21=$P26&amp;"-&gt;"&amp;$Q26)))</f>
        <v>78.20640625</v>
      </c>
    </row>
    <row r="27" spans="1:19">
      <c r="A27" s="1" t="s">
        <v>25</v>
      </c>
      <c r="B27" s="1">
        <v>18007.5</v>
      </c>
      <c r="C27">
        <f t="shared" ref="C27:C45" si="21">B27/22</f>
        <v>818.522727272727</v>
      </c>
      <c r="D27">
        <f t="shared" si="20"/>
        <v>10.2315340909091</v>
      </c>
      <c r="P27" s="4" t="s">
        <v>125</v>
      </c>
      <c r="Q27" s="4" t="s">
        <v>126</v>
      </c>
      <c r="R27" s="3">
        <f>SUMPRODUCT($I$2:$I$21*(($J$2:$J$21=$P27&amp;"-&gt;"&amp;$Q27)+($K$2:$K$21=$P27&amp;"-&gt;"&amp;$Q27)+($L$2:$L$21=$P27&amp;"-&gt;"&amp;$Q27)+($M$2:$M$21=$P27&amp;"-&gt;"&amp;$Q27)+($N$2:$N$21=$P27&amp;"-&gt;"&amp;$Q27)+($O$2:$O$21=$P27&amp;"-&gt;"&amp;$Q27)))</f>
        <v>1301.13409090909</v>
      </c>
      <c r="S27" s="3">
        <f>SUMPRODUCT($D$26:$D$45*(($J$2:$J$21=$P27&amp;"-&gt;"&amp;$Q27)+($K$2:$K$21=$P27&amp;"-&gt;"&amp;$Q27)+($L$2:$L$21=$P27&amp;"-&gt;"&amp;$Q27)+($M$2:$M$21=$P27&amp;"-&gt;"&amp;$Q27)+($N$2:$N$21=$P27&amp;"-&gt;"&amp;$Q27)+($O$2:$O$21=$P27&amp;"-&gt;"&amp;$Q27)))</f>
        <v>16.2641761363636</v>
      </c>
    </row>
    <row r="28" spans="1:19">
      <c r="A28" s="1" t="s">
        <v>26</v>
      </c>
      <c r="B28" s="1">
        <v>14423.45</v>
      </c>
      <c r="C28">
        <f t="shared" si="21"/>
        <v>655.611363636364</v>
      </c>
      <c r="D28">
        <f t="shared" si="20"/>
        <v>8.19514204545455</v>
      </c>
      <c r="P28" s="4" t="s">
        <v>125</v>
      </c>
      <c r="Q28" s="4" t="s">
        <v>127</v>
      </c>
      <c r="R28" s="3">
        <f>SUMPRODUCT($I$2:$I$21*(($J$2:$J$21=$P28&amp;"-&gt;"&amp;$Q28)+($K$2:$K$21=$P28&amp;"-&gt;"&amp;$Q28)+($L$2:$L$21=$P28&amp;"-&gt;"&amp;$Q28)+($M$2:$M$21=$P28&amp;"-&gt;"&amp;$Q28)+($N$2:$N$21=$P28&amp;"-&gt;"&amp;$Q28)+($O$2:$O$21=$P28&amp;"-&gt;"&amp;$Q28)))</f>
        <v>1986.51363636364</v>
      </c>
      <c r="S28" s="3">
        <f>SUMPRODUCT($D$26:$D$45*(($J$2:$J$21=$P28&amp;"-&gt;"&amp;$Q28)+($K$2:$K$21=$P28&amp;"-&gt;"&amp;$Q28)+($L$2:$L$21=$P28&amp;"-&gt;"&amp;$Q28)+($M$2:$M$21=$P28&amp;"-&gt;"&amp;$Q28)+($N$2:$N$21=$P28&amp;"-&gt;"&amp;$Q28)+($O$2:$O$21=$P28&amp;"-&gt;"&amp;$Q28)))</f>
        <v>24.8314204545455</v>
      </c>
    </row>
    <row r="29" spans="1:19">
      <c r="A29" s="1" t="s">
        <v>27</v>
      </c>
      <c r="B29" s="1">
        <v>15992.5</v>
      </c>
      <c r="C29">
        <f t="shared" si="21"/>
        <v>726.931818181818</v>
      </c>
      <c r="D29">
        <f t="shared" si="20"/>
        <v>9.08664772727273</v>
      </c>
      <c r="P29" s="4" t="s">
        <v>126</v>
      </c>
      <c r="Q29" s="4" t="s">
        <v>125</v>
      </c>
      <c r="R29" s="3">
        <f>SUMPRODUCT($I$2:$I$21*(($J$2:$J$21=$P29&amp;"-&gt;"&amp;$Q29)+($K$2:$K$21=$P29&amp;"-&gt;"&amp;$Q29)+($L$2:$L$21=$P29&amp;"-&gt;"&amp;$Q29)+($M$2:$M$21=$P29&amp;"-&gt;"&amp;$Q29)+($N$2:$N$21=$P29&amp;"-&gt;"&amp;$Q29)+($O$2:$O$21=$P29&amp;"-&gt;"&amp;$Q29)))</f>
        <v>1986.51363636364</v>
      </c>
      <c r="S29" s="3">
        <f>SUMPRODUCT($D$26:$D$45*(($J$2:$J$21=$P29&amp;"-&gt;"&amp;$Q29)+($K$2:$K$21=$P29&amp;"-&gt;"&amp;$Q29)+($L$2:$L$21=$P29&amp;"-&gt;"&amp;$Q29)+($M$2:$M$21=$P29&amp;"-&gt;"&amp;$Q29)+($N$2:$N$21=$P29&amp;"-&gt;"&amp;$Q29)+($O$2:$O$21=$P29&amp;"-&gt;"&amp;$Q29)))</f>
        <v>24.8314204545455</v>
      </c>
    </row>
    <row r="30" spans="1:19">
      <c r="A30" s="1" t="s">
        <v>29</v>
      </c>
      <c r="B30" s="1">
        <v>10756.5</v>
      </c>
      <c r="C30">
        <f t="shared" si="21"/>
        <v>488.931818181818</v>
      </c>
      <c r="D30">
        <f t="shared" si="20"/>
        <v>6.11164772727273</v>
      </c>
      <c r="P30" s="4" t="s">
        <v>126</v>
      </c>
      <c r="Q30" s="4" t="s">
        <v>127</v>
      </c>
      <c r="R30" s="3">
        <f>SUMPRODUCT($I$2:$I$21*(($J$2:$J$21=$P30&amp;"-&gt;"&amp;$Q30)+($K$2:$K$21=$P30&amp;"-&gt;"&amp;$Q30)+($L$2:$L$21=$P30&amp;"-&gt;"&amp;$Q30)+($M$2:$M$21=$P30&amp;"-&gt;"&amp;$Q30)+($N$2:$N$21=$P30&amp;"-&gt;"&amp;$Q30)+($O$2:$O$21=$P30&amp;"-&gt;"&amp;$Q30)))</f>
        <v>3689.18409090909</v>
      </c>
      <c r="S30" s="3">
        <f>SUMPRODUCT($D$26:$D$45*(($J$2:$J$21=$P30&amp;"-&gt;"&amp;$Q30)+($K$2:$K$21=$P30&amp;"-&gt;"&amp;$Q30)+($L$2:$L$21=$P30&amp;"-&gt;"&amp;$Q30)+($M$2:$M$21=$P30&amp;"-&gt;"&amp;$Q30)+($N$2:$N$21=$P30&amp;"-&gt;"&amp;$Q30)+($O$2:$O$21=$P30&amp;"-&gt;"&amp;$Q30)))</f>
        <v>46.1148011363636</v>
      </c>
    </row>
    <row r="31" spans="1:4">
      <c r="A31" s="1" t="s">
        <v>30</v>
      </c>
      <c r="B31" s="1">
        <v>8596.025</v>
      </c>
      <c r="C31">
        <f t="shared" si="21"/>
        <v>390.728409090909</v>
      </c>
      <c r="D31">
        <f t="shared" si="20"/>
        <v>4.88410511363636</v>
      </c>
    </row>
    <row r="32" spans="1:4">
      <c r="A32" s="1" t="s">
        <v>31</v>
      </c>
      <c r="B32" s="1">
        <v>18835.8</v>
      </c>
      <c r="C32">
        <f t="shared" si="21"/>
        <v>856.172727272727</v>
      </c>
      <c r="D32">
        <f t="shared" si="20"/>
        <v>10.7021590909091</v>
      </c>
    </row>
    <row r="33" spans="1:4">
      <c r="A33" s="1" t="s">
        <v>32</v>
      </c>
      <c r="B33" s="1">
        <v>10472</v>
      </c>
      <c r="C33">
        <f t="shared" si="21"/>
        <v>476</v>
      </c>
      <c r="D33">
        <f t="shared" si="20"/>
        <v>5.95</v>
      </c>
    </row>
    <row r="34" spans="1:4">
      <c r="A34" s="1" t="s">
        <v>34</v>
      </c>
      <c r="B34" s="1">
        <v>11514</v>
      </c>
      <c r="C34">
        <f t="shared" si="21"/>
        <v>523.363636363636</v>
      </c>
      <c r="D34">
        <f t="shared" si="20"/>
        <v>6.54204545454545</v>
      </c>
    </row>
    <row r="35" spans="1:4">
      <c r="A35" s="1" t="s">
        <v>36</v>
      </c>
      <c r="B35" s="1">
        <v>8310.625</v>
      </c>
      <c r="C35">
        <f t="shared" si="21"/>
        <v>377.755681818182</v>
      </c>
      <c r="D35">
        <f t="shared" si="20"/>
        <v>4.72194602272727</v>
      </c>
    </row>
    <row r="36" spans="1:4">
      <c r="A36" s="1" t="s">
        <v>37</v>
      </c>
      <c r="B36" s="1">
        <v>17192.05</v>
      </c>
      <c r="C36">
        <f t="shared" si="21"/>
        <v>781.456818181818</v>
      </c>
      <c r="D36">
        <f t="shared" si="20"/>
        <v>9.76821022727273</v>
      </c>
    </row>
    <row r="37" spans="1:4">
      <c r="A37" s="1" t="s">
        <v>38</v>
      </c>
      <c r="B37" s="1">
        <v>18578.3</v>
      </c>
      <c r="C37">
        <f t="shared" si="21"/>
        <v>844.468181818182</v>
      </c>
      <c r="D37">
        <f t="shared" si="20"/>
        <v>10.5558522727273</v>
      </c>
    </row>
    <row r="38" spans="1:4">
      <c r="A38" s="1" t="s">
        <v>39</v>
      </c>
      <c r="B38" s="1">
        <v>9289.15</v>
      </c>
      <c r="C38">
        <f t="shared" si="21"/>
        <v>422.234090909091</v>
      </c>
      <c r="D38">
        <f t="shared" si="20"/>
        <v>5.27792613636364</v>
      </c>
    </row>
    <row r="39" spans="1:4">
      <c r="A39" s="1" t="s">
        <v>42</v>
      </c>
      <c r="B39" s="1">
        <v>26167.9</v>
      </c>
      <c r="C39">
        <f t="shared" si="21"/>
        <v>1189.45</v>
      </c>
      <c r="D39">
        <f t="shared" si="20"/>
        <v>14.868125</v>
      </c>
    </row>
    <row r="40" spans="1:4">
      <c r="A40" s="1" t="s">
        <v>43</v>
      </c>
      <c r="B40" s="1">
        <v>5236</v>
      </c>
      <c r="C40">
        <f t="shared" si="21"/>
        <v>238</v>
      </c>
      <c r="D40">
        <f t="shared" si="20"/>
        <v>2.975</v>
      </c>
    </row>
    <row r="41" spans="1:4">
      <c r="A41" s="1" t="s">
        <v>44</v>
      </c>
      <c r="B41" s="1">
        <v>20755.5</v>
      </c>
      <c r="C41">
        <f t="shared" si="21"/>
        <v>943.431818181818</v>
      </c>
      <c r="D41">
        <f t="shared" si="20"/>
        <v>11.7928977272727</v>
      </c>
    </row>
    <row r="42" spans="1:4">
      <c r="A42" s="1" t="s">
        <v>45</v>
      </c>
      <c r="B42" s="1">
        <v>9289.15</v>
      </c>
      <c r="C42">
        <f t="shared" si="21"/>
        <v>422.234090909091</v>
      </c>
      <c r="D42">
        <f t="shared" si="20"/>
        <v>5.27792613636364</v>
      </c>
    </row>
    <row r="43" spans="1:4">
      <c r="A43" s="1" t="s">
        <v>46</v>
      </c>
      <c r="B43" s="1">
        <v>19335.8</v>
      </c>
      <c r="C43">
        <f t="shared" si="21"/>
        <v>878.9</v>
      </c>
      <c r="D43">
        <f t="shared" si="20"/>
        <v>10.98625</v>
      </c>
    </row>
    <row r="44" spans="1:4">
      <c r="A44" s="1" t="s">
        <v>47</v>
      </c>
      <c r="B44" s="1">
        <v>35936.45</v>
      </c>
      <c r="C44">
        <f t="shared" si="21"/>
        <v>1633.475</v>
      </c>
      <c r="D44">
        <f t="shared" si="20"/>
        <v>20.4184375</v>
      </c>
    </row>
    <row r="45" spans="1:4">
      <c r="A45" s="1" t="s">
        <v>48</v>
      </c>
      <c r="B45" s="1">
        <v>24367.5</v>
      </c>
      <c r="C45">
        <f t="shared" si="21"/>
        <v>1107.61363636364</v>
      </c>
      <c r="D45">
        <f t="shared" si="20"/>
        <v>13.8451704545455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Task1 Y1 Demand</vt:lpstr>
      <vt:lpstr>Task2 Y1 Inventory</vt:lpstr>
      <vt:lpstr>Task3 Y1 Fractal Flow</vt:lpstr>
      <vt:lpstr>Task4 Y2 Demand</vt:lpstr>
      <vt:lpstr>Task4 Y2 Inventory</vt:lpstr>
      <vt:lpstr>Task4 Y2 Fractal Flow</vt:lpstr>
      <vt:lpstr>Task4 Y3 Demand</vt:lpstr>
      <vt:lpstr>Task4 Y3 Inventory</vt:lpstr>
      <vt:lpstr>Task4 Y3 Fractal Flow</vt:lpstr>
      <vt:lpstr>Task4 Y4 Demand</vt:lpstr>
      <vt:lpstr>Task4 Y4 Inventory</vt:lpstr>
      <vt:lpstr>Task4 Y4 Fractal Flow</vt:lpstr>
      <vt:lpstr>Task4 Y5 Demand</vt:lpstr>
      <vt:lpstr>Task4 Y5 Inventory</vt:lpstr>
      <vt:lpstr>Task4 Y5 Fractal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Wenting</dc:creator>
  <cp:lastModifiedBy>凯昕</cp:lastModifiedBy>
  <dcterms:created xsi:type="dcterms:W3CDTF">2025-11-01T02:41:00Z</dcterms:created>
  <dcterms:modified xsi:type="dcterms:W3CDTF">2025-11-14T14:59:26Z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1033-6.0.1.8148</vt:lpwstr>
  </property>
  <property fmtid="{D5CDD505-2E9C-101B-9397-08002B2CF9AE}" pid="3" name="ICV">
    <vt:lpwstr>8A592C1FF49F66BCEBE81469027772D7_42</vt:lpwstr>
  </property>
</Properties>
</file>
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72FA92-2EC3-4593-B2F2-A3569E47E48B}" xr6:coauthVersionLast="47" xr6:coauthVersionMax="47" xr10:uidLastSave="{00000000-0000-0000-0000-000000000000}"/>
  <bookViews>
    <workbookView xWindow="-108" yWindow="-108" windowWidth="23256" windowHeight="12456" activeTab="5" xr2:uid="{664EEEA8-994C-4551-A43D-D57FE4A48675}"/>
  </bookViews>
  <sheets>
    <sheet name="Y1(Task3)" sheetId="2" r:id="rId1"/>
    <sheet name="Y2" sheetId="3" r:id="rId2"/>
    <sheet name="Y3" sheetId="4" r:id="rId3"/>
    <sheet name="Y4" sheetId="5" r:id="rId4"/>
    <sheet name="Y5" sheetId="1" r:id="rId5"/>
    <sheet name="Flow traffic" sheetId="7" r:id="rId6"/>
    <sheet name="Comparison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" i="7" l="1"/>
  <c r="R32" i="7"/>
  <c r="S32" i="7"/>
  <c r="R27" i="7"/>
  <c r="S27" i="7"/>
  <c r="C45" i="7"/>
  <c r="D45" i="7" s="1"/>
  <c r="C44" i="7"/>
  <c r="D44" i="7" s="1"/>
  <c r="C43" i="7"/>
  <c r="D43" i="7" s="1"/>
  <c r="D42" i="7"/>
  <c r="C42" i="7"/>
  <c r="C41" i="7"/>
  <c r="D41" i="7" s="1"/>
  <c r="C40" i="7"/>
  <c r="D40" i="7" s="1"/>
  <c r="C39" i="7"/>
  <c r="D39" i="7" s="1"/>
  <c r="C38" i="7"/>
  <c r="D38" i="7" s="1"/>
  <c r="C37" i="7"/>
  <c r="D37" i="7" s="1"/>
  <c r="C36" i="7"/>
  <c r="D36" i="7" s="1"/>
  <c r="C35" i="7"/>
  <c r="D35" i="7" s="1"/>
  <c r="D34" i="7"/>
  <c r="C34" i="7"/>
  <c r="C33" i="7"/>
  <c r="D33" i="7" s="1"/>
  <c r="C32" i="7"/>
  <c r="D32" i="7" s="1"/>
  <c r="D31" i="7"/>
  <c r="C31" i="7"/>
  <c r="C30" i="7"/>
  <c r="D30" i="7" s="1"/>
  <c r="D29" i="7"/>
  <c r="C29" i="7"/>
  <c r="C28" i="7"/>
  <c r="D28" i="7" s="1"/>
  <c r="C27" i="7"/>
  <c r="D27" i="7" s="1"/>
  <c r="C26" i="7"/>
  <c r="D26" i="7" s="1"/>
  <c r="O21" i="7"/>
  <c r="N21" i="7"/>
  <c r="M21" i="7"/>
  <c r="L21" i="7"/>
  <c r="K21" i="7"/>
  <c r="J21" i="7"/>
  <c r="O20" i="7"/>
  <c r="N20" i="7"/>
  <c r="M20" i="7"/>
  <c r="L20" i="7"/>
  <c r="K20" i="7"/>
  <c r="J20" i="7"/>
  <c r="O19" i="7"/>
  <c r="N19" i="7"/>
  <c r="M19" i="7"/>
  <c r="L19" i="7"/>
  <c r="K19" i="7"/>
  <c r="J19" i="7"/>
  <c r="O18" i="7"/>
  <c r="N18" i="7"/>
  <c r="M18" i="7"/>
  <c r="L18" i="7"/>
  <c r="K18" i="7"/>
  <c r="J18" i="7"/>
  <c r="O17" i="7"/>
  <c r="N17" i="7"/>
  <c r="M17" i="7"/>
  <c r="L17" i="7"/>
  <c r="K17" i="7"/>
  <c r="J17" i="7"/>
  <c r="O16" i="7"/>
  <c r="N16" i="7"/>
  <c r="M16" i="7"/>
  <c r="L16" i="7"/>
  <c r="K16" i="7"/>
  <c r="J16" i="7"/>
  <c r="O15" i="7"/>
  <c r="N15" i="7"/>
  <c r="M15" i="7"/>
  <c r="L15" i="7"/>
  <c r="K15" i="7"/>
  <c r="J15" i="7"/>
  <c r="O14" i="7"/>
  <c r="N14" i="7"/>
  <c r="M14" i="7"/>
  <c r="L14" i="7"/>
  <c r="K14" i="7"/>
  <c r="J14" i="7"/>
  <c r="O13" i="7"/>
  <c r="N13" i="7"/>
  <c r="M13" i="7"/>
  <c r="L13" i="7"/>
  <c r="K13" i="7"/>
  <c r="J13" i="7"/>
  <c r="O12" i="7"/>
  <c r="N12" i="7"/>
  <c r="M12" i="7"/>
  <c r="L12" i="7"/>
  <c r="K12" i="7"/>
  <c r="J12" i="7"/>
  <c r="O11" i="7"/>
  <c r="N11" i="7"/>
  <c r="M11" i="7"/>
  <c r="L11" i="7"/>
  <c r="K11" i="7"/>
  <c r="J11" i="7"/>
  <c r="O10" i="7"/>
  <c r="N10" i="7"/>
  <c r="M10" i="7"/>
  <c r="L10" i="7"/>
  <c r="K10" i="7"/>
  <c r="J10" i="7"/>
  <c r="O9" i="7"/>
  <c r="N9" i="7"/>
  <c r="M9" i="7"/>
  <c r="L9" i="7"/>
  <c r="K9" i="7"/>
  <c r="J9" i="7"/>
  <c r="O8" i="7"/>
  <c r="N8" i="7"/>
  <c r="M8" i="7"/>
  <c r="L8" i="7"/>
  <c r="K8" i="7"/>
  <c r="J8" i="7"/>
  <c r="O7" i="7"/>
  <c r="N7" i="7"/>
  <c r="M7" i="7"/>
  <c r="L7" i="7"/>
  <c r="K7" i="7"/>
  <c r="J7" i="7"/>
  <c r="O6" i="7"/>
  <c r="N6" i="7"/>
  <c r="M6" i="7"/>
  <c r="L6" i="7"/>
  <c r="K6" i="7"/>
  <c r="J6" i="7"/>
  <c r="O5" i="7"/>
  <c r="N5" i="7"/>
  <c r="M5" i="7"/>
  <c r="L5" i="7"/>
  <c r="K5" i="7"/>
  <c r="J5" i="7"/>
  <c r="O4" i="7"/>
  <c r="N4" i="7"/>
  <c r="M4" i="7"/>
  <c r="L4" i="7"/>
  <c r="K4" i="7"/>
  <c r="J4" i="7"/>
  <c r="O3" i="7"/>
  <c r="N3" i="7"/>
  <c r="M3" i="7"/>
  <c r="L3" i="7"/>
  <c r="K3" i="7"/>
  <c r="J3" i="7"/>
  <c r="O2" i="7"/>
  <c r="N2" i="7"/>
  <c r="M2" i="7"/>
  <c r="L2" i="7"/>
  <c r="K2" i="7"/>
  <c r="R8" i="7" s="1"/>
  <c r="AD4" i="7" s="1"/>
  <c r="J2" i="7"/>
  <c r="M101" i="1"/>
  <c r="N101" i="1"/>
  <c r="O101" i="1"/>
  <c r="P101" i="1"/>
  <c r="Q101" i="1"/>
  <c r="R101" i="1"/>
  <c r="S101" i="1"/>
  <c r="T101" i="1"/>
  <c r="U101" i="1"/>
  <c r="V101" i="1"/>
  <c r="W101" i="1"/>
  <c r="X101" i="1"/>
  <c r="L101" i="1"/>
  <c r="M101" i="5"/>
  <c r="N101" i="5"/>
  <c r="O101" i="5"/>
  <c r="P101" i="5"/>
  <c r="Q101" i="5"/>
  <c r="R101" i="5"/>
  <c r="S101" i="5"/>
  <c r="T101" i="5"/>
  <c r="U101" i="5"/>
  <c r="V101" i="5"/>
  <c r="W101" i="5"/>
  <c r="X101" i="5"/>
  <c r="L101" i="5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L101" i="4"/>
  <c r="AM43" i="2"/>
  <c r="F5" i="6"/>
  <c r="F3" i="6"/>
  <c r="F2" i="6"/>
  <c r="E5" i="6"/>
  <c r="E3" i="6"/>
  <c r="E2" i="6"/>
  <c r="D5" i="6"/>
  <c r="D3" i="6"/>
  <c r="D2" i="6"/>
  <c r="C5" i="6"/>
  <c r="C3" i="6"/>
  <c r="C2" i="6"/>
  <c r="B5" i="6"/>
  <c r="B4" i="6"/>
  <c r="B3" i="6"/>
  <c r="B2" i="6"/>
  <c r="D22" i="3"/>
  <c r="D22" i="4"/>
  <c r="D22" i="5"/>
  <c r="D22" i="1"/>
  <c r="AL14" i="1"/>
  <c r="AM13" i="1"/>
  <c r="AJ10" i="1"/>
  <c r="AJ9" i="1"/>
  <c r="AI9" i="1"/>
  <c r="AI8" i="1"/>
  <c r="AH8" i="1"/>
  <c r="AE8" i="1"/>
  <c r="AI7" i="1"/>
  <c r="AH6" i="1"/>
  <c r="AI5" i="1"/>
  <c r="AH5" i="1"/>
  <c r="AI4" i="1"/>
  <c r="AL14" i="5"/>
  <c r="AM13" i="5"/>
  <c r="AJ10" i="5"/>
  <c r="AJ9" i="5"/>
  <c r="AI9" i="5"/>
  <c r="AI8" i="5"/>
  <c r="AH8" i="5"/>
  <c r="AE8" i="5"/>
  <c r="AI7" i="5"/>
  <c r="AH6" i="5"/>
  <c r="AI5" i="5"/>
  <c r="AH5" i="5"/>
  <c r="AI4" i="5"/>
  <c r="AL14" i="4"/>
  <c r="AM13" i="4"/>
  <c r="AJ10" i="4"/>
  <c r="AJ9" i="4"/>
  <c r="AI9" i="4"/>
  <c r="AI8" i="4"/>
  <c r="AH8" i="4"/>
  <c r="AE8" i="4"/>
  <c r="AI7" i="4"/>
  <c r="AH6" i="4"/>
  <c r="AI5" i="4"/>
  <c r="AH5" i="4"/>
  <c r="AI4" i="4"/>
  <c r="AL14" i="3"/>
  <c r="AM13" i="3"/>
  <c r="AJ10" i="3"/>
  <c r="AJ9" i="3"/>
  <c r="AI9" i="3"/>
  <c r="AE8" i="3"/>
  <c r="AI8" i="3"/>
  <c r="AH8" i="3"/>
  <c r="AI7" i="3"/>
  <c r="AH6" i="3"/>
  <c r="AI5" i="3"/>
  <c r="AH5" i="3"/>
  <c r="AI4" i="3"/>
  <c r="L109" i="1"/>
  <c r="L109" i="5"/>
  <c r="E4" i="6" s="1"/>
  <c r="L109" i="4"/>
  <c r="L109" i="3"/>
  <c r="L108" i="2"/>
  <c r="AJ9" i="2"/>
  <c r="AI9" i="2"/>
  <c r="AI8" i="2"/>
  <c r="AI7" i="2"/>
  <c r="AC7" i="2"/>
  <c r="AI5" i="2"/>
  <c r="AG5" i="2"/>
  <c r="AI4" i="2"/>
  <c r="S22" i="7" l="1"/>
  <c r="R2" i="7"/>
  <c r="W2" i="7" s="1"/>
  <c r="S15" i="7"/>
  <c r="S7" i="7"/>
  <c r="S26" i="7"/>
  <c r="S6" i="7"/>
  <c r="S29" i="7"/>
  <c r="S9" i="7"/>
  <c r="S30" i="7"/>
  <c r="S28" i="7"/>
  <c r="S25" i="7"/>
  <c r="S21" i="7"/>
  <c r="S13" i="7"/>
  <c r="S5" i="7"/>
  <c r="S12" i="7"/>
  <c r="S4" i="7"/>
  <c r="S31" i="7"/>
  <c r="S11" i="7"/>
  <c r="S3" i="7"/>
  <c r="S23" i="7"/>
  <c r="S10" i="7"/>
  <c r="S2" i="7"/>
  <c r="S17" i="7"/>
  <c r="S16" i="7"/>
  <c r="S8" i="7"/>
  <c r="R10" i="7"/>
  <c r="AB5" i="7" s="1"/>
  <c r="R18" i="7"/>
  <c r="AC7" i="7" s="1"/>
  <c r="R9" i="7"/>
  <c r="X5" i="7" s="1"/>
  <c r="R17" i="7"/>
  <c r="AB7" i="7" s="1"/>
  <c r="R23" i="7"/>
  <c r="AD8" i="7" s="1"/>
  <c r="R26" i="7"/>
  <c r="AE10" i="7" s="1"/>
  <c r="R29" i="7"/>
  <c r="AH12" i="7" s="1"/>
  <c r="R31" i="7"/>
  <c r="AH13" i="7" s="1"/>
  <c r="R3" i="7"/>
  <c r="X2" i="7" s="1"/>
  <c r="R11" i="7"/>
  <c r="AC5" i="7" s="1"/>
  <c r="S18" i="7"/>
  <c r="R19" i="7"/>
  <c r="AD7" i="7" s="1"/>
  <c r="R24" i="7"/>
  <c r="AD9" i="7" s="1"/>
  <c r="R4" i="7"/>
  <c r="V3" i="7" s="1"/>
  <c r="R12" i="7"/>
  <c r="AD5" i="7" s="1"/>
  <c r="S19" i="7"/>
  <c r="R20" i="7"/>
  <c r="Z8" i="7" s="1"/>
  <c r="S24" i="7"/>
  <c r="R5" i="7"/>
  <c r="X3" i="7" s="1"/>
  <c r="R13" i="7"/>
  <c r="AA6" i="7" s="1"/>
  <c r="S20" i="7"/>
  <c r="R21" i="7"/>
  <c r="AA8" i="7" s="1"/>
  <c r="R25" i="7"/>
  <c r="AE9" i="7" s="1"/>
  <c r="R28" i="7"/>
  <c r="AG12" i="7" s="1"/>
  <c r="R30" i="7"/>
  <c r="AF13" i="7" s="1"/>
  <c r="R6" i="7"/>
  <c r="Y3" i="7" s="1"/>
  <c r="R14" i="7"/>
  <c r="AB6" i="7" s="1"/>
  <c r="R7" i="7"/>
  <c r="Y4" i="7" s="1"/>
  <c r="S14" i="7"/>
  <c r="R15" i="7"/>
  <c r="AC6" i="7" s="1"/>
  <c r="R22" i="7"/>
  <c r="AC8" i="7" s="1"/>
  <c r="R16" i="7"/>
  <c r="X7" i="7" s="1"/>
  <c r="AA39" i="2"/>
  <c r="M77" i="2"/>
  <c r="N77" i="2"/>
  <c r="O77" i="2"/>
  <c r="P77" i="2"/>
  <c r="Q77" i="2"/>
  <c r="R77" i="2"/>
  <c r="S77" i="2"/>
  <c r="T77" i="2"/>
  <c r="U77" i="2"/>
  <c r="V77" i="2"/>
  <c r="W77" i="2"/>
  <c r="X77" i="2"/>
  <c r="M78" i="2"/>
  <c r="M96" i="2" s="1"/>
  <c r="N78" i="2"/>
  <c r="N96" i="2" s="1"/>
  <c r="O78" i="2"/>
  <c r="O97" i="2" s="1"/>
  <c r="P78" i="2"/>
  <c r="P98" i="2" s="1"/>
  <c r="Q78" i="2"/>
  <c r="R78" i="2"/>
  <c r="S78" i="2"/>
  <c r="T78" i="2"/>
  <c r="T97" i="2" s="1"/>
  <c r="U78" i="2"/>
  <c r="U96" i="2" s="1"/>
  <c r="V78" i="2"/>
  <c r="V96" i="2" s="1"/>
  <c r="W78" i="2"/>
  <c r="W96" i="2" s="1"/>
  <c r="X78" i="2"/>
  <c r="X98" i="2" s="1"/>
  <c r="L78" i="2"/>
  <c r="L77" i="2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T98" i="2"/>
  <c r="S98" i="2"/>
  <c r="R98" i="2"/>
  <c r="Q98" i="2"/>
  <c r="V97" i="2"/>
  <c r="U97" i="2"/>
  <c r="S97" i="2"/>
  <c r="R97" i="2"/>
  <c r="Q97" i="2"/>
  <c r="N97" i="2"/>
  <c r="M97" i="2"/>
  <c r="Q96" i="2"/>
  <c r="R96" i="2"/>
  <c r="S96" i="2"/>
  <c r="T96" i="2"/>
  <c r="L98" i="2"/>
  <c r="L97" i="2"/>
  <c r="L96" i="2"/>
  <c r="P97" i="2" l="1"/>
  <c r="X96" i="2"/>
  <c r="U98" i="2"/>
  <c r="O96" i="2"/>
  <c r="N98" i="2"/>
  <c r="Y98" i="2" s="1"/>
  <c r="V98" i="2"/>
  <c r="W97" i="2"/>
  <c r="Y97" i="2" s="1"/>
  <c r="O98" i="2"/>
  <c r="W98" i="2"/>
  <c r="X97" i="2"/>
  <c r="P96" i="2"/>
  <c r="M98" i="2"/>
  <c r="M99" i="2" s="1"/>
  <c r="R86" i="5"/>
  <c r="Q86" i="5"/>
  <c r="P86" i="5"/>
  <c r="O86" i="5"/>
  <c r="N86" i="5"/>
  <c r="M86" i="5"/>
  <c r="L86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AF68" i="5"/>
  <c r="AF67" i="5"/>
  <c r="AF66" i="5"/>
  <c r="AF65" i="5"/>
  <c r="AF64" i="5"/>
  <c r="AF63" i="5"/>
  <c r="AF62" i="5"/>
  <c r="AF61" i="5"/>
  <c r="AF60" i="5"/>
  <c r="AF59" i="5"/>
  <c r="AF58" i="5"/>
  <c r="AF57" i="5"/>
  <c r="AF56" i="5"/>
  <c r="AF55" i="5"/>
  <c r="AF54" i="5"/>
  <c r="AF53" i="5"/>
  <c r="AF52" i="5"/>
  <c r="AF51" i="5"/>
  <c r="AF50" i="5"/>
  <c r="AF49" i="5"/>
  <c r="X44" i="5"/>
  <c r="X67" i="5" s="1"/>
  <c r="W44" i="5"/>
  <c r="W67" i="5" s="1"/>
  <c r="V44" i="5"/>
  <c r="V67" i="5" s="1"/>
  <c r="U44" i="5"/>
  <c r="U67" i="5" s="1"/>
  <c r="T44" i="5"/>
  <c r="T67" i="5" s="1"/>
  <c r="S44" i="5"/>
  <c r="S67" i="5" s="1"/>
  <c r="R44" i="5"/>
  <c r="R67" i="5" s="1"/>
  <c r="Q44" i="5"/>
  <c r="Q67" i="5" s="1"/>
  <c r="P44" i="5"/>
  <c r="P67" i="5" s="1"/>
  <c r="O44" i="5"/>
  <c r="O67" i="5" s="1"/>
  <c r="N44" i="5"/>
  <c r="N67" i="5" s="1"/>
  <c r="M44" i="5"/>
  <c r="M67" i="5" s="1"/>
  <c r="L44" i="5"/>
  <c r="L67" i="5" s="1"/>
  <c r="X43" i="5"/>
  <c r="X66" i="5" s="1"/>
  <c r="W43" i="5"/>
  <c r="W66" i="5" s="1"/>
  <c r="V43" i="5"/>
  <c r="V66" i="5" s="1"/>
  <c r="U43" i="5"/>
  <c r="U66" i="5" s="1"/>
  <c r="T43" i="5"/>
  <c r="T66" i="5" s="1"/>
  <c r="S43" i="5"/>
  <c r="S66" i="5" s="1"/>
  <c r="R43" i="5"/>
  <c r="R66" i="5" s="1"/>
  <c r="Q43" i="5"/>
  <c r="Q66" i="5" s="1"/>
  <c r="P43" i="5"/>
  <c r="P66" i="5" s="1"/>
  <c r="O43" i="5"/>
  <c r="O66" i="5" s="1"/>
  <c r="N43" i="5"/>
  <c r="N66" i="5" s="1"/>
  <c r="M43" i="5"/>
  <c r="M66" i="5" s="1"/>
  <c r="L43" i="5"/>
  <c r="L66" i="5" s="1"/>
  <c r="X42" i="5"/>
  <c r="X65" i="5" s="1"/>
  <c r="W42" i="5"/>
  <c r="W65" i="5" s="1"/>
  <c r="V42" i="5"/>
  <c r="V65" i="5" s="1"/>
  <c r="U42" i="5"/>
  <c r="U65" i="5" s="1"/>
  <c r="T42" i="5"/>
  <c r="T65" i="5" s="1"/>
  <c r="S42" i="5"/>
  <c r="S65" i="5" s="1"/>
  <c r="R42" i="5"/>
  <c r="R65" i="5" s="1"/>
  <c r="Q42" i="5"/>
  <c r="Q65" i="5" s="1"/>
  <c r="P42" i="5"/>
  <c r="P65" i="5" s="1"/>
  <c r="O42" i="5"/>
  <c r="O65" i="5" s="1"/>
  <c r="N42" i="5"/>
  <c r="N65" i="5" s="1"/>
  <c r="M42" i="5"/>
  <c r="M65" i="5" s="1"/>
  <c r="L42" i="5"/>
  <c r="L65" i="5" s="1"/>
  <c r="X41" i="5"/>
  <c r="X64" i="5" s="1"/>
  <c r="W41" i="5"/>
  <c r="W64" i="5" s="1"/>
  <c r="V41" i="5"/>
  <c r="V64" i="5" s="1"/>
  <c r="U41" i="5"/>
  <c r="U64" i="5" s="1"/>
  <c r="T41" i="5"/>
  <c r="T64" i="5" s="1"/>
  <c r="S41" i="5"/>
  <c r="S64" i="5" s="1"/>
  <c r="R41" i="5"/>
  <c r="R64" i="5" s="1"/>
  <c r="Q41" i="5"/>
  <c r="Q64" i="5" s="1"/>
  <c r="P41" i="5"/>
  <c r="P64" i="5" s="1"/>
  <c r="O41" i="5"/>
  <c r="O64" i="5" s="1"/>
  <c r="N41" i="5"/>
  <c r="N64" i="5" s="1"/>
  <c r="M41" i="5"/>
  <c r="M64" i="5" s="1"/>
  <c r="L41" i="5"/>
  <c r="L64" i="5" s="1"/>
  <c r="X40" i="5"/>
  <c r="X63" i="5" s="1"/>
  <c r="W40" i="5"/>
  <c r="W63" i="5" s="1"/>
  <c r="V40" i="5"/>
  <c r="V63" i="5" s="1"/>
  <c r="U40" i="5"/>
  <c r="U63" i="5" s="1"/>
  <c r="T40" i="5"/>
  <c r="T63" i="5" s="1"/>
  <c r="S40" i="5"/>
  <c r="S63" i="5" s="1"/>
  <c r="R40" i="5"/>
  <c r="R63" i="5" s="1"/>
  <c r="Q40" i="5"/>
  <c r="Q63" i="5" s="1"/>
  <c r="P40" i="5"/>
  <c r="P63" i="5" s="1"/>
  <c r="O40" i="5"/>
  <c r="O63" i="5" s="1"/>
  <c r="N40" i="5"/>
  <c r="N63" i="5" s="1"/>
  <c r="M40" i="5"/>
  <c r="M63" i="5" s="1"/>
  <c r="L40" i="5"/>
  <c r="L63" i="5" s="1"/>
  <c r="X39" i="5"/>
  <c r="X62" i="5" s="1"/>
  <c r="W39" i="5"/>
  <c r="W62" i="5" s="1"/>
  <c r="V39" i="5"/>
  <c r="V62" i="5" s="1"/>
  <c r="U39" i="5"/>
  <c r="U62" i="5" s="1"/>
  <c r="T39" i="5"/>
  <c r="T62" i="5" s="1"/>
  <c r="S39" i="5"/>
  <c r="S62" i="5" s="1"/>
  <c r="R39" i="5"/>
  <c r="R62" i="5" s="1"/>
  <c r="Q39" i="5"/>
  <c r="Q62" i="5" s="1"/>
  <c r="P39" i="5"/>
  <c r="P62" i="5" s="1"/>
  <c r="O39" i="5"/>
  <c r="O62" i="5" s="1"/>
  <c r="N39" i="5"/>
  <c r="N62" i="5" s="1"/>
  <c r="M39" i="5"/>
  <c r="M62" i="5" s="1"/>
  <c r="L39" i="5"/>
  <c r="L62" i="5" s="1"/>
  <c r="X38" i="5"/>
  <c r="X61" i="5" s="1"/>
  <c r="W38" i="5"/>
  <c r="W61" i="5" s="1"/>
  <c r="V38" i="5"/>
  <c r="V61" i="5" s="1"/>
  <c r="U38" i="5"/>
  <c r="U61" i="5" s="1"/>
  <c r="T38" i="5"/>
  <c r="T61" i="5" s="1"/>
  <c r="S38" i="5"/>
  <c r="S61" i="5" s="1"/>
  <c r="R38" i="5"/>
  <c r="R61" i="5" s="1"/>
  <c r="Q38" i="5"/>
  <c r="Q61" i="5" s="1"/>
  <c r="P38" i="5"/>
  <c r="P61" i="5" s="1"/>
  <c r="O38" i="5"/>
  <c r="O61" i="5" s="1"/>
  <c r="N38" i="5"/>
  <c r="N61" i="5" s="1"/>
  <c r="M38" i="5"/>
  <c r="M61" i="5" s="1"/>
  <c r="L38" i="5"/>
  <c r="L61" i="5" s="1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X37" i="5"/>
  <c r="X60" i="5" s="1"/>
  <c r="W37" i="5"/>
  <c r="W60" i="5" s="1"/>
  <c r="V37" i="5"/>
  <c r="V60" i="5" s="1"/>
  <c r="U37" i="5"/>
  <c r="U60" i="5" s="1"/>
  <c r="T37" i="5"/>
  <c r="T60" i="5" s="1"/>
  <c r="S37" i="5"/>
  <c r="S60" i="5" s="1"/>
  <c r="R37" i="5"/>
  <c r="R60" i="5" s="1"/>
  <c r="Q37" i="5"/>
  <c r="Q60" i="5" s="1"/>
  <c r="P37" i="5"/>
  <c r="P60" i="5" s="1"/>
  <c r="O37" i="5"/>
  <c r="O60" i="5" s="1"/>
  <c r="N37" i="5"/>
  <c r="N60" i="5" s="1"/>
  <c r="M37" i="5"/>
  <c r="M60" i="5" s="1"/>
  <c r="L37" i="5"/>
  <c r="L60" i="5" s="1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X36" i="5"/>
  <c r="X59" i="5" s="1"/>
  <c r="W36" i="5"/>
  <c r="W59" i="5" s="1"/>
  <c r="V36" i="5"/>
  <c r="V59" i="5" s="1"/>
  <c r="U36" i="5"/>
  <c r="U59" i="5" s="1"/>
  <c r="T36" i="5"/>
  <c r="T59" i="5" s="1"/>
  <c r="S36" i="5"/>
  <c r="S59" i="5" s="1"/>
  <c r="R36" i="5"/>
  <c r="R59" i="5" s="1"/>
  <c r="Q36" i="5"/>
  <c r="Q59" i="5" s="1"/>
  <c r="P36" i="5"/>
  <c r="P59" i="5" s="1"/>
  <c r="O36" i="5"/>
  <c r="O59" i="5" s="1"/>
  <c r="N36" i="5"/>
  <c r="N59" i="5" s="1"/>
  <c r="M36" i="5"/>
  <c r="M59" i="5" s="1"/>
  <c r="L36" i="5"/>
  <c r="L59" i="5" s="1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X35" i="5"/>
  <c r="X58" i="5" s="1"/>
  <c r="W35" i="5"/>
  <c r="W58" i="5" s="1"/>
  <c r="V35" i="5"/>
  <c r="V58" i="5" s="1"/>
  <c r="U35" i="5"/>
  <c r="U58" i="5" s="1"/>
  <c r="T35" i="5"/>
  <c r="T58" i="5" s="1"/>
  <c r="S35" i="5"/>
  <c r="S58" i="5" s="1"/>
  <c r="R35" i="5"/>
  <c r="R58" i="5" s="1"/>
  <c r="Q35" i="5"/>
  <c r="Q58" i="5" s="1"/>
  <c r="P35" i="5"/>
  <c r="P58" i="5" s="1"/>
  <c r="O35" i="5"/>
  <c r="O58" i="5" s="1"/>
  <c r="N35" i="5"/>
  <c r="N58" i="5" s="1"/>
  <c r="M35" i="5"/>
  <c r="M58" i="5" s="1"/>
  <c r="L35" i="5"/>
  <c r="L58" i="5" s="1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X34" i="5"/>
  <c r="X57" i="5" s="1"/>
  <c r="W34" i="5"/>
  <c r="W57" i="5" s="1"/>
  <c r="V34" i="5"/>
  <c r="V57" i="5" s="1"/>
  <c r="U34" i="5"/>
  <c r="U57" i="5" s="1"/>
  <c r="T34" i="5"/>
  <c r="T57" i="5" s="1"/>
  <c r="S34" i="5"/>
  <c r="S57" i="5" s="1"/>
  <c r="R34" i="5"/>
  <c r="R57" i="5" s="1"/>
  <c r="Q34" i="5"/>
  <c r="Q57" i="5" s="1"/>
  <c r="P34" i="5"/>
  <c r="P57" i="5" s="1"/>
  <c r="O34" i="5"/>
  <c r="O57" i="5" s="1"/>
  <c r="N34" i="5"/>
  <c r="N57" i="5" s="1"/>
  <c r="M34" i="5"/>
  <c r="M57" i="5" s="1"/>
  <c r="L34" i="5"/>
  <c r="L57" i="5" s="1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X33" i="5"/>
  <c r="X56" i="5" s="1"/>
  <c r="W33" i="5"/>
  <c r="W56" i="5" s="1"/>
  <c r="V33" i="5"/>
  <c r="V56" i="5" s="1"/>
  <c r="U33" i="5"/>
  <c r="U56" i="5" s="1"/>
  <c r="T33" i="5"/>
  <c r="T56" i="5" s="1"/>
  <c r="S33" i="5"/>
  <c r="S56" i="5" s="1"/>
  <c r="R33" i="5"/>
  <c r="R56" i="5" s="1"/>
  <c r="Q33" i="5"/>
  <c r="Q56" i="5" s="1"/>
  <c r="P33" i="5"/>
  <c r="P56" i="5" s="1"/>
  <c r="O33" i="5"/>
  <c r="O56" i="5" s="1"/>
  <c r="N33" i="5"/>
  <c r="N56" i="5" s="1"/>
  <c r="M33" i="5"/>
  <c r="M56" i="5" s="1"/>
  <c r="L33" i="5"/>
  <c r="L56" i="5" s="1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X32" i="5"/>
  <c r="X55" i="5" s="1"/>
  <c r="W32" i="5"/>
  <c r="W55" i="5" s="1"/>
  <c r="V32" i="5"/>
  <c r="V55" i="5" s="1"/>
  <c r="U32" i="5"/>
  <c r="U55" i="5" s="1"/>
  <c r="T32" i="5"/>
  <c r="T55" i="5" s="1"/>
  <c r="S32" i="5"/>
  <c r="S55" i="5" s="1"/>
  <c r="R32" i="5"/>
  <c r="R55" i="5" s="1"/>
  <c r="Q32" i="5"/>
  <c r="Q55" i="5" s="1"/>
  <c r="P32" i="5"/>
  <c r="P55" i="5" s="1"/>
  <c r="O32" i="5"/>
  <c r="O55" i="5" s="1"/>
  <c r="N32" i="5"/>
  <c r="N55" i="5" s="1"/>
  <c r="M32" i="5"/>
  <c r="M55" i="5" s="1"/>
  <c r="L32" i="5"/>
  <c r="L55" i="5" s="1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X31" i="5"/>
  <c r="X54" i="5" s="1"/>
  <c r="W31" i="5"/>
  <c r="W54" i="5" s="1"/>
  <c r="V31" i="5"/>
  <c r="V54" i="5" s="1"/>
  <c r="U31" i="5"/>
  <c r="U54" i="5" s="1"/>
  <c r="T31" i="5"/>
  <c r="T54" i="5" s="1"/>
  <c r="S31" i="5"/>
  <c r="S54" i="5" s="1"/>
  <c r="R31" i="5"/>
  <c r="R54" i="5" s="1"/>
  <c r="Q31" i="5"/>
  <c r="Q54" i="5" s="1"/>
  <c r="P31" i="5"/>
  <c r="P54" i="5" s="1"/>
  <c r="O31" i="5"/>
  <c r="O54" i="5" s="1"/>
  <c r="N31" i="5"/>
  <c r="N54" i="5" s="1"/>
  <c r="M31" i="5"/>
  <c r="M54" i="5" s="1"/>
  <c r="L31" i="5"/>
  <c r="L54" i="5" s="1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X30" i="5"/>
  <c r="X53" i="5" s="1"/>
  <c r="W30" i="5"/>
  <c r="W53" i="5" s="1"/>
  <c r="V30" i="5"/>
  <c r="V53" i="5" s="1"/>
  <c r="U30" i="5"/>
  <c r="U53" i="5" s="1"/>
  <c r="T30" i="5"/>
  <c r="T53" i="5" s="1"/>
  <c r="S30" i="5"/>
  <c r="S53" i="5" s="1"/>
  <c r="R30" i="5"/>
  <c r="R53" i="5" s="1"/>
  <c r="Q30" i="5"/>
  <c r="Q53" i="5" s="1"/>
  <c r="P30" i="5"/>
  <c r="P53" i="5" s="1"/>
  <c r="O30" i="5"/>
  <c r="O53" i="5" s="1"/>
  <c r="N30" i="5"/>
  <c r="N53" i="5" s="1"/>
  <c r="M30" i="5"/>
  <c r="M53" i="5" s="1"/>
  <c r="L30" i="5"/>
  <c r="L53" i="5" s="1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X29" i="5"/>
  <c r="X52" i="5" s="1"/>
  <c r="W29" i="5"/>
  <c r="W52" i="5" s="1"/>
  <c r="V29" i="5"/>
  <c r="V52" i="5" s="1"/>
  <c r="U29" i="5"/>
  <c r="U52" i="5" s="1"/>
  <c r="T29" i="5"/>
  <c r="T52" i="5" s="1"/>
  <c r="S29" i="5"/>
  <c r="S52" i="5" s="1"/>
  <c r="R29" i="5"/>
  <c r="R52" i="5" s="1"/>
  <c r="Q29" i="5"/>
  <c r="Q52" i="5" s="1"/>
  <c r="P29" i="5"/>
  <c r="P52" i="5" s="1"/>
  <c r="O29" i="5"/>
  <c r="O52" i="5" s="1"/>
  <c r="N29" i="5"/>
  <c r="N52" i="5" s="1"/>
  <c r="M29" i="5"/>
  <c r="M52" i="5" s="1"/>
  <c r="L29" i="5"/>
  <c r="L52" i="5" s="1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X28" i="5"/>
  <c r="X51" i="5" s="1"/>
  <c r="W28" i="5"/>
  <c r="W51" i="5" s="1"/>
  <c r="V28" i="5"/>
  <c r="V51" i="5" s="1"/>
  <c r="U28" i="5"/>
  <c r="U51" i="5" s="1"/>
  <c r="T28" i="5"/>
  <c r="T51" i="5" s="1"/>
  <c r="S28" i="5"/>
  <c r="S51" i="5" s="1"/>
  <c r="R28" i="5"/>
  <c r="R51" i="5" s="1"/>
  <c r="Q28" i="5"/>
  <c r="Q51" i="5" s="1"/>
  <c r="P28" i="5"/>
  <c r="P51" i="5" s="1"/>
  <c r="O28" i="5"/>
  <c r="O51" i="5" s="1"/>
  <c r="N28" i="5"/>
  <c r="N51" i="5" s="1"/>
  <c r="M28" i="5"/>
  <c r="M51" i="5" s="1"/>
  <c r="L28" i="5"/>
  <c r="L51" i="5" s="1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X27" i="5"/>
  <c r="X50" i="5" s="1"/>
  <c r="W27" i="5"/>
  <c r="W50" i="5" s="1"/>
  <c r="V27" i="5"/>
  <c r="V50" i="5" s="1"/>
  <c r="U27" i="5"/>
  <c r="U50" i="5" s="1"/>
  <c r="T27" i="5"/>
  <c r="T50" i="5" s="1"/>
  <c r="S27" i="5"/>
  <c r="S50" i="5" s="1"/>
  <c r="R27" i="5"/>
  <c r="R50" i="5" s="1"/>
  <c r="Q27" i="5"/>
  <c r="Q50" i="5" s="1"/>
  <c r="P27" i="5"/>
  <c r="P50" i="5" s="1"/>
  <c r="O27" i="5"/>
  <c r="O50" i="5" s="1"/>
  <c r="N27" i="5"/>
  <c r="N50" i="5" s="1"/>
  <c r="M27" i="5"/>
  <c r="M50" i="5" s="1"/>
  <c r="L27" i="5"/>
  <c r="L50" i="5" s="1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X26" i="5"/>
  <c r="X49" i="5" s="1"/>
  <c r="W26" i="5"/>
  <c r="W49" i="5" s="1"/>
  <c r="V26" i="5"/>
  <c r="V49" i="5" s="1"/>
  <c r="U26" i="5"/>
  <c r="U49" i="5" s="1"/>
  <c r="T26" i="5"/>
  <c r="T49" i="5" s="1"/>
  <c r="S26" i="5"/>
  <c r="S49" i="5" s="1"/>
  <c r="R26" i="5"/>
  <c r="R49" i="5" s="1"/>
  <c r="Q26" i="5"/>
  <c r="Q49" i="5" s="1"/>
  <c r="P26" i="5"/>
  <c r="P49" i="5" s="1"/>
  <c r="O26" i="5"/>
  <c r="O49" i="5" s="1"/>
  <c r="N26" i="5"/>
  <c r="N49" i="5" s="1"/>
  <c r="M26" i="5"/>
  <c r="M49" i="5" s="1"/>
  <c r="L26" i="5"/>
  <c r="L49" i="5" s="1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X25" i="5"/>
  <c r="X48" i="5" s="1"/>
  <c r="W25" i="5"/>
  <c r="W48" i="5" s="1"/>
  <c r="V25" i="5"/>
  <c r="V48" i="5" s="1"/>
  <c r="U25" i="5"/>
  <c r="U48" i="5" s="1"/>
  <c r="T25" i="5"/>
  <c r="T48" i="5" s="1"/>
  <c r="S25" i="5"/>
  <c r="S48" i="5" s="1"/>
  <c r="R25" i="5"/>
  <c r="R48" i="5" s="1"/>
  <c r="Q25" i="5"/>
  <c r="Q48" i="5" s="1"/>
  <c r="P25" i="5"/>
  <c r="P48" i="5" s="1"/>
  <c r="O25" i="5"/>
  <c r="O48" i="5" s="1"/>
  <c r="N25" i="5"/>
  <c r="N48" i="5" s="1"/>
  <c r="M25" i="5"/>
  <c r="M48" i="5" s="1"/>
  <c r="L25" i="5"/>
  <c r="L48" i="5" s="1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R86" i="4"/>
  <c r="Q86" i="4"/>
  <c r="P86" i="4"/>
  <c r="O86" i="4"/>
  <c r="N86" i="4"/>
  <c r="M86" i="4"/>
  <c r="L86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AF68" i="4"/>
  <c r="AF67" i="4"/>
  <c r="P67" i="4"/>
  <c r="O67" i="4"/>
  <c r="AF66" i="4"/>
  <c r="AF65" i="4"/>
  <c r="S65" i="4"/>
  <c r="R65" i="4"/>
  <c r="AF64" i="4"/>
  <c r="P64" i="4"/>
  <c r="O64" i="4"/>
  <c r="AF63" i="4"/>
  <c r="AF62" i="4"/>
  <c r="AF61" i="4"/>
  <c r="S61" i="4"/>
  <c r="AF60" i="4"/>
  <c r="AF59" i="4"/>
  <c r="AF58" i="4"/>
  <c r="T58" i="4"/>
  <c r="S58" i="4"/>
  <c r="AF57" i="4"/>
  <c r="AF56" i="4"/>
  <c r="AF55" i="4"/>
  <c r="AF54" i="4"/>
  <c r="M54" i="4"/>
  <c r="L54" i="4"/>
  <c r="AF53" i="4"/>
  <c r="AF52" i="4"/>
  <c r="X52" i="4"/>
  <c r="AF51" i="4"/>
  <c r="AF50" i="4"/>
  <c r="M50" i="4"/>
  <c r="AF49" i="4"/>
  <c r="X48" i="4"/>
  <c r="X44" i="4"/>
  <c r="X67" i="4" s="1"/>
  <c r="W44" i="4"/>
  <c r="W67" i="4" s="1"/>
  <c r="V44" i="4"/>
  <c r="V67" i="4" s="1"/>
  <c r="U44" i="4"/>
  <c r="U67" i="4" s="1"/>
  <c r="T44" i="4"/>
  <c r="T67" i="4" s="1"/>
  <c r="S44" i="4"/>
  <c r="S67" i="4" s="1"/>
  <c r="R44" i="4"/>
  <c r="R67" i="4" s="1"/>
  <c r="Q44" i="4"/>
  <c r="Q67" i="4" s="1"/>
  <c r="P44" i="4"/>
  <c r="O44" i="4"/>
  <c r="N44" i="4"/>
  <c r="N67" i="4" s="1"/>
  <c r="M44" i="4"/>
  <c r="M67" i="4" s="1"/>
  <c r="L44" i="4"/>
  <c r="L67" i="4" s="1"/>
  <c r="X43" i="4"/>
  <c r="X66" i="4" s="1"/>
  <c r="W43" i="4"/>
  <c r="W66" i="4" s="1"/>
  <c r="V43" i="4"/>
  <c r="V66" i="4" s="1"/>
  <c r="U43" i="4"/>
  <c r="U66" i="4" s="1"/>
  <c r="T43" i="4"/>
  <c r="T66" i="4" s="1"/>
  <c r="S43" i="4"/>
  <c r="S66" i="4" s="1"/>
  <c r="R43" i="4"/>
  <c r="R66" i="4" s="1"/>
  <c r="Q43" i="4"/>
  <c r="Q66" i="4" s="1"/>
  <c r="P43" i="4"/>
  <c r="P66" i="4" s="1"/>
  <c r="O43" i="4"/>
  <c r="O66" i="4" s="1"/>
  <c r="N43" i="4"/>
  <c r="N66" i="4" s="1"/>
  <c r="M43" i="4"/>
  <c r="M66" i="4" s="1"/>
  <c r="L43" i="4"/>
  <c r="L66" i="4" s="1"/>
  <c r="X42" i="4"/>
  <c r="X65" i="4" s="1"/>
  <c r="W42" i="4"/>
  <c r="W65" i="4" s="1"/>
  <c r="V42" i="4"/>
  <c r="V65" i="4" s="1"/>
  <c r="U42" i="4"/>
  <c r="U65" i="4" s="1"/>
  <c r="T42" i="4"/>
  <c r="T65" i="4" s="1"/>
  <c r="S42" i="4"/>
  <c r="R42" i="4"/>
  <c r="Q42" i="4"/>
  <c r="Q65" i="4" s="1"/>
  <c r="P42" i="4"/>
  <c r="P65" i="4" s="1"/>
  <c r="O42" i="4"/>
  <c r="O65" i="4" s="1"/>
  <c r="N42" i="4"/>
  <c r="N65" i="4" s="1"/>
  <c r="M42" i="4"/>
  <c r="M65" i="4" s="1"/>
  <c r="L42" i="4"/>
  <c r="L65" i="4" s="1"/>
  <c r="X41" i="4"/>
  <c r="X64" i="4" s="1"/>
  <c r="W41" i="4"/>
  <c r="W64" i="4" s="1"/>
  <c r="V41" i="4"/>
  <c r="V64" i="4" s="1"/>
  <c r="U41" i="4"/>
  <c r="U64" i="4" s="1"/>
  <c r="T41" i="4"/>
  <c r="T64" i="4" s="1"/>
  <c r="S41" i="4"/>
  <c r="S64" i="4" s="1"/>
  <c r="R41" i="4"/>
  <c r="R64" i="4" s="1"/>
  <c r="Q41" i="4"/>
  <c r="Q64" i="4" s="1"/>
  <c r="P41" i="4"/>
  <c r="O41" i="4"/>
  <c r="N41" i="4"/>
  <c r="N64" i="4" s="1"/>
  <c r="M41" i="4"/>
  <c r="M64" i="4" s="1"/>
  <c r="L41" i="4"/>
  <c r="L64" i="4" s="1"/>
  <c r="X40" i="4"/>
  <c r="X63" i="4" s="1"/>
  <c r="W40" i="4"/>
  <c r="W63" i="4" s="1"/>
  <c r="V40" i="4"/>
  <c r="V63" i="4" s="1"/>
  <c r="U40" i="4"/>
  <c r="U63" i="4" s="1"/>
  <c r="T40" i="4"/>
  <c r="T63" i="4" s="1"/>
  <c r="S40" i="4"/>
  <c r="S63" i="4" s="1"/>
  <c r="R40" i="4"/>
  <c r="R63" i="4" s="1"/>
  <c r="Q40" i="4"/>
  <c r="Q63" i="4" s="1"/>
  <c r="P40" i="4"/>
  <c r="P63" i="4" s="1"/>
  <c r="O40" i="4"/>
  <c r="O63" i="4" s="1"/>
  <c r="N40" i="4"/>
  <c r="N63" i="4" s="1"/>
  <c r="M40" i="4"/>
  <c r="M63" i="4" s="1"/>
  <c r="L40" i="4"/>
  <c r="L63" i="4" s="1"/>
  <c r="X39" i="4"/>
  <c r="X62" i="4" s="1"/>
  <c r="W39" i="4"/>
  <c r="W62" i="4" s="1"/>
  <c r="V39" i="4"/>
  <c r="V62" i="4" s="1"/>
  <c r="U39" i="4"/>
  <c r="U62" i="4" s="1"/>
  <c r="T39" i="4"/>
  <c r="T62" i="4" s="1"/>
  <c r="S39" i="4"/>
  <c r="S62" i="4" s="1"/>
  <c r="R39" i="4"/>
  <c r="R62" i="4" s="1"/>
  <c r="Q39" i="4"/>
  <c r="Q62" i="4" s="1"/>
  <c r="P39" i="4"/>
  <c r="P62" i="4" s="1"/>
  <c r="O39" i="4"/>
  <c r="O62" i="4" s="1"/>
  <c r="N39" i="4"/>
  <c r="N62" i="4" s="1"/>
  <c r="M39" i="4"/>
  <c r="M62" i="4" s="1"/>
  <c r="L39" i="4"/>
  <c r="L62" i="4" s="1"/>
  <c r="X38" i="4"/>
  <c r="X61" i="4" s="1"/>
  <c r="W38" i="4"/>
  <c r="W61" i="4" s="1"/>
  <c r="V38" i="4"/>
  <c r="V61" i="4" s="1"/>
  <c r="U38" i="4"/>
  <c r="U61" i="4" s="1"/>
  <c r="T38" i="4"/>
  <c r="T61" i="4" s="1"/>
  <c r="S38" i="4"/>
  <c r="R38" i="4"/>
  <c r="R61" i="4" s="1"/>
  <c r="Q38" i="4"/>
  <c r="Q61" i="4" s="1"/>
  <c r="P38" i="4"/>
  <c r="P61" i="4" s="1"/>
  <c r="O38" i="4"/>
  <c r="O61" i="4" s="1"/>
  <c r="N38" i="4"/>
  <c r="N61" i="4" s="1"/>
  <c r="M38" i="4"/>
  <c r="M61" i="4" s="1"/>
  <c r="L38" i="4"/>
  <c r="L61" i="4" s="1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X37" i="4"/>
  <c r="X60" i="4" s="1"/>
  <c r="W37" i="4"/>
  <c r="W60" i="4" s="1"/>
  <c r="V37" i="4"/>
  <c r="V60" i="4" s="1"/>
  <c r="U37" i="4"/>
  <c r="U60" i="4" s="1"/>
  <c r="T37" i="4"/>
  <c r="T60" i="4" s="1"/>
  <c r="S37" i="4"/>
  <c r="S60" i="4" s="1"/>
  <c r="R37" i="4"/>
  <c r="R60" i="4" s="1"/>
  <c r="Q37" i="4"/>
  <c r="Q60" i="4" s="1"/>
  <c r="P37" i="4"/>
  <c r="P60" i="4" s="1"/>
  <c r="O37" i="4"/>
  <c r="O60" i="4" s="1"/>
  <c r="N37" i="4"/>
  <c r="N60" i="4" s="1"/>
  <c r="M37" i="4"/>
  <c r="M60" i="4" s="1"/>
  <c r="L37" i="4"/>
  <c r="L60" i="4" s="1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X36" i="4"/>
  <c r="X59" i="4" s="1"/>
  <c r="W36" i="4"/>
  <c r="W59" i="4" s="1"/>
  <c r="V36" i="4"/>
  <c r="V59" i="4" s="1"/>
  <c r="U36" i="4"/>
  <c r="U59" i="4" s="1"/>
  <c r="T36" i="4"/>
  <c r="T59" i="4" s="1"/>
  <c r="S36" i="4"/>
  <c r="S59" i="4" s="1"/>
  <c r="R36" i="4"/>
  <c r="R59" i="4" s="1"/>
  <c r="Q36" i="4"/>
  <c r="Q59" i="4" s="1"/>
  <c r="P36" i="4"/>
  <c r="P59" i="4" s="1"/>
  <c r="O36" i="4"/>
  <c r="O59" i="4" s="1"/>
  <c r="N36" i="4"/>
  <c r="N59" i="4" s="1"/>
  <c r="M36" i="4"/>
  <c r="M59" i="4" s="1"/>
  <c r="L36" i="4"/>
  <c r="L59" i="4" s="1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X35" i="4"/>
  <c r="X58" i="4" s="1"/>
  <c r="W35" i="4"/>
  <c r="W58" i="4" s="1"/>
  <c r="V35" i="4"/>
  <c r="V58" i="4" s="1"/>
  <c r="U35" i="4"/>
  <c r="U58" i="4" s="1"/>
  <c r="T35" i="4"/>
  <c r="S35" i="4"/>
  <c r="R35" i="4"/>
  <c r="R58" i="4" s="1"/>
  <c r="Q35" i="4"/>
  <c r="Q58" i="4" s="1"/>
  <c r="P35" i="4"/>
  <c r="P58" i="4" s="1"/>
  <c r="O35" i="4"/>
  <c r="O58" i="4" s="1"/>
  <c r="N35" i="4"/>
  <c r="N58" i="4" s="1"/>
  <c r="M35" i="4"/>
  <c r="M58" i="4" s="1"/>
  <c r="L35" i="4"/>
  <c r="L58" i="4" s="1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X34" i="4"/>
  <c r="X57" i="4" s="1"/>
  <c r="W34" i="4"/>
  <c r="W57" i="4" s="1"/>
  <c r="V34" i="4"/>
  <c r="V57" i="4" s="1"/>
  <c r="U34" i="4"/>
  <c r="U57" i="4" s="1"/>
  <c r="T34" i="4"/>
  <c r="T57" i="4" s="1"/>
  <c r="S34" i="4"/>
  <c r="S57" i="4" s="1"/>
  <c r="R34" i="4"/>
  <c r="R57" i="4" s="1"/>
  <c r="Q34" i="4"/>
  <c r="Q57" i="4" s="1"/>
  <c r="P34" i="4"/>
  <c r="P57" i="4" s="1"/>
  <c r="O34" i="4"/>
  <c r="O57" i="4" s="1"/>
  <c r="N34" i="4"/>
  <c r="N57" i="4" s="1"/>
  <c r="M34" i="4"/>
  <c r="M57" i="4" s="1"/>
  <c r="L34" i="4"/>
  <c r="L57" i="4" s="1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X33" i="4"/>
  <c r="X56" i="4" s="1"/>
  <c r="W33" i="4"/>
  <c r="W56" i="4" s="1"/>
  <c r="V33" i="4"/>
  <c r="V56" i="4" s="1"/>
  <c r="U33" i="4"/>
  <c r="U56" i="4" s="1"/>
  <c r="T33" i="4"/>
  <c r="T56" i="4" s="1"/>
  <c r="S33" i="4"/>
  <c r="S56" i="4" s="1"/>
  <c r="R33" i="4"/>
  <c r="R56" i="4" s="1"/>
  <c r="Q33" i="4"/>
  <c r="Q56" i="4" s="1"/>
  <c r="P33" i="4"/>
  <c r="P56" i="4" s="1"/>
  <c r="O33" i="4"/>
  <c r="O56" i="4" s="1"/>
  <c r="N33" i="4"/>
  <c r="N56" i="4" s="1"/>
  <c r="M33" i="4"/>
  <c r="M56" i="4" s="1"/>
  <c r="L33" i="4"/>
  <c r="L56" i="4" s="1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X32" i="4"/>
  <c r="X55" i="4" s="1"/>
  <c r="W32" i="4"/>
  <c r="W55" i="4" s="1"/>
  <c r="V32" i="4"/>
  <c r="V55" i="4" s="1"/>
  <c r="U32" i="4"/>
  <c r="U55" i="4" s="1"/>
  <c r="T32" i="4"/>
  <c r="T55" i="4" s="1"/>
  <c r="S32" i="4"/>
  <c r="S55" i="4" s="1"/>
  <c r="R32" i="4"/>
  <c r="R55" i="4" s="1"/>
  <c r="Q32" i="4"/>
  <c r="Q55" i="4" s="1"/>
  <c r="P32" i="4"/>
  <c r="P55" i="4" s="1"/>
  <c r="O32" i="4"/>
  <c r="O55" i="4" s="1"/>
  <c r="N32" i="4"/>
  <c r="N55" i="4" s="1"/>
  <c r="M32" i="4"/>
  <c r="M55" i="4" s="1"/>
  <c r="L32" i="4"/>
  <c r="L55" i="4" s="1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X31" i="4"/>
  <c r="X54" i="4" s="1"/>
  <c r="W31" i="4"/>
  <c r="W54" i="4" s="1"/>
  <c r="V31" i="4"/>
  <c r="V54" i="4" s="1"/>
  <c r="U31" i="4"/>
  <c r="U54" i="4" s="1"/>
  <c r="T31" i="4"/>
  <c r="T54" i="4" s="1"/>
  <c r="S31" i="4"/>
  <c r="S54" i="4" s="1"/>
  <c r="R31" i="4"/>
  <c r="R54" i="4" s="1"/>
  <c r="Q31" i="4"/>
  <c r="Q54" i="4" s="1"/>
  <c r="P31" i="4"/>
  <c r="P54" i="4" s="1"/>
  <c r="O31" i="4"/>
  <c r="O54" i="4" s="1"/>
  <c r="N31" i="4"/>
  <c r="N54" i="4" s="1"/>
  <c r="M31" i="4"/>
  <c r="L31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X30" i="4"/>
  <c r="X53" i="4" s="1"/>
  <c r="W30" i="4"/>
  <c r="W53" i="4" s="1"/>
  <c r="V30" i="4"/>
  <c r="V53" i="4" s="1"/>
  <c r="U30" i="4"/>
  <c r="U53" i="4" s="1"/>
  <c r="T30" i="4"/>
  <c r="T53" i="4" s="1"/>
  <c r="S30" i="4"/>
  <c r="S53" i="4" s="1"/>
  <c r="R30" i="4"/>
  <c r="R53" i="4" s="1"/>
  <c r="Q30" i="4"/>
  <c r="Q53" i="4" s="1"/>
  <c r="P30" i="4"/>
  <c r="P53" i="4" s="1"/>
  <c r="O30" i="4"/>
  <c r="O53" i="4" s="1"/>
  <c r="N30" i="4"/>
  <c r="N53" i="4" s="1"/>
  <c r="M30" i="4"/>
  <c r="M53" i="4" s="1"/>
  <c r="L30" i="4"/>
  <c r="L53" i="4" s="1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X29" i="4"/>
  <c r="W29" i="4"/>
  <c r="W52" i="4" s="1"/>
  <c r="V29" i="4"/>
  <c r="V52" i="4" s="1"/>
  <c r="U29" i="4"/>
  <c r="U52" i="4" s="1"/>
  <c r="T29" i="4"/>
  <c r="T52" i="4" s="1"/>
  <c r="S29" i="4"/>
  <c r="S52" i="4" s="1"/>
  <c r="R29" i="4"/>
  <c r="R52" i="4" s="1"/>
  <c r="Q29" i="4"/>
  <c r="Q52" i="4" s="1"/>
  <c r="P29" i="4"/>
  <c r="P52" i="4" s="1"/>
  <c r="O29" i="4"/>
  <c r="O52" i="4" s="1"/>
  <c r="N29" i="4"/>
  <c r="N52" i="4" s="1"/>
  <c r="M29" i="4"/>
  <c r="M52" i="4" s="1"/>
  <c r="L29" i="4"/>
  <c r="L52" i="4" s="1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X28" i="4"/>
  <c r="X51" i="4" s="1"/>
  <c r="W28" i="4"/>
  <c r="W51" i="4" s="1"/>
  <c r="V28" i="4"/>
  <c r="V51" i="4" s="1"/>
  <c r="U28" i="4"/>
  <c r="U51" i="4" s="1"/>
  <c r="T28" i="4"/>
  <c r="T51" i="4" s="1"/>
  <c r="S28" i="4"/>
  <c r="S51" i="4" s="1"/>
  <c r="R28" i="4"/>
  <c r="R51" i="4" s="1"/>
  <c r="Q28" i="4"/>
  <c r="Q51" i="4" s="1"/>
  <c r="P28" i="4"/>
  <c r="P51" i="4" s="1"/>
  <c r="O28" i="4"/>
  <c r="O51" i="4" s="1"/>
  <c r="N28" i="4"/>
  <c r="N51" i="4" s="1"/>
  <c r="M28" i="4"/>
  <c r="M51" i="4" s="1"/>
  <c r="L28" i="4"/>
  <c r="L51" i="4" s="1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X27" i="4"/>
  <c r="X50" i="4" s="1"/>
  <c r="W27" i="4"/>
  <c r="W50" i="4" s="1"/>
  <c r="V27" i="4"/>
  <c r="V50" i="4" s="1"/>
  <c r="U27" i="4"/>
  <c r="U50" i="4" s="1"/>
  <c r="T27" i="4"/>
  <c r="T50" i="4" s="1"/>
  <c r="S27" i="4"/>
  <c r="S50" i="4" s="1"/>
  <c r="R27" i="4"/>
  <c r="R50" i="4" s="1"/>
  <c r="Q27" i="4"/>
  <c r="Q50" i="4" s="1"/>
  <c r="P27" i="4"/>
  <c r="P50" i="4" s="1"/>
  <c r="O27" i="4"/>
  <c r="O50" i="4" s="1"/>
  <c r="N27" i="4"/>
  <c r="N50" i="4" s="1"/>
  <c r="M27" i="4"/>
  <c r="L27" i="4"/>
  <c r="L50" i="4" s="1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X26" i="4"/>
  <c r="X49" i="4" s="1"/>
  <c r="W26" i="4"/>
  <c r="W49" i="4" s="1"/>
  <c r="V26" i="4"/>
  <c r="V49" i="4" s="1"/>
  <c r="U26" i="4"/>
  <c r="U49" i="4" s="1"/>
  <c r="T26" i="4"/>
  <c r="T49" i="4" s="1"/>
  <c r="S26" i="4"/>
  <c r="S49" i="4" s="1"/>
  <c r="R26" i="4"/>
  <c r="R49" i="4" s="1"/>
  <c r="Q26" i="4"/>
  <c r="Q49" i="4" s="1"/>
  <c r="P26" i="4"/>
  <c r="P49" i="4" s="1"/>
  <c r="O26" i="4"/>
  <c r="O49" i="4" s="1"/>
  <c r="N26" i="4"/>
  <c r="N49" i="4" s="1"/>
  <c r="M26" i="4"/>
  <c r="M49" i="4" s="1"/>
  <c r="L26" i="4"/>
  <c r="L49" i="4" s="1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X25" i="4"/>
  <c r="W25" i="4"/>
  <c r="W48" i="4" s="1"/>
  <c r="V25" i="4"/>
  <c r="V48" i="4" s="1"/>
  <c r="U25" i="4"/>
  <c r="U48" i="4" s="1"/>
  <c r="T25" i="4"/>
  <c r="T48" i="4" s="1"/>
  <c r="S25" i="4"/>
  <c r="S48" i="4" s="1"/>
  <c r="R25" i="4"/>
  <c r="R48" i="4" s="1"/>
  <c r="Q25" i="4"/>
  <c r="Q48" i="4" s="1"/>
  <c r="P25" i="4"/>
  <c r="P48" i="4" s="1"/>
  <c r="O25" i="4"/>
  <c r="O48" i="4" s="1"/>
  <c r="N25" i="4"/>
  <c r="N48" i="4" s="1"/>
  <c r="M25" i="4"/>
  <c r="M48" i="4" s="1"/>
  <c r="L25" i="4"/>
  <c r="L48" i="4" s="1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R86" i="3"/>
  <c r="Q86" i="3"/>
  <c r="P86" i="3"/>
  <c r="O86" i="3"/>
  <c r="N86" i="3"/>
  <c r="M86" i="3"/>
  <c r="L86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AF68" i="3"/>
  <c r="AF67" i="3"/>
  <c r="AF66" i="3"/>
  <c r="AF65" i="3"/>
  <c r="AF64" i="3"/>
  <c r="AF63" i="3"/>
  <c r="AF62" i="3"/>
  <c r="S62" i="3"/>
  <c r="AF61" i="3"/>
  <c r="AF60" i="3"/>
  <c r="AF59" i="3"/>
  <c r="AF58" i="3"/>
  <c r="L58" i="3"/>
  <c r="AF57" i="3"/>
  <c r="AF56" i="3"/>
  <c r="AF55" i="3"/>
  <c r="AF54" i="3"/>
  <c r="AF53" i="3"/>
  <c r="AF52" i="3"/>
  <c r="Q52" i="3"/>
  <c r="AF51" i="3"/>
  <c r="AF50" i="3"/>
  <c r="AF49" i="3"/>
  <c r="X44" i="3"/>
  <c r="X67" i="3" s="1"/>
  <c r="W44" i="3"/>
  <c r="W67" i="3" s="1"/>
  <c r="V44" i="3"/>
  <c r="V67" i="3" s="1"/>
  <c r="U44" i="3"/>
  <c r="U67" i="3" s="1"/>
  <c r="T44" i="3"/>
  <c r="T67" i="3" s="1"/>
  <c r="S44" i="3"/>
  <c r="S67" i="3" s="1"/>
  <c r="R44" i="3"/>
  <c r="R67" i="3" s="1"/>
  <c r="Q44" i="3"/>
  <c r="Q67" i="3" s="1"/>
  <c r="P44" i="3"/>
  <c r="P67" i="3" s="1"/>
  <c r="O44" i="3"/>
  <c r="O67" i="3" s="1"/>
  <c r="N44" i="3"/>
  <c r="N67" i="3" s="1"/>
  <c r="M44" i="3"/>
  <c r="M67" i="3" s="1"/>
  <c r="L44" i="3"/>
  <c r="L67" i="3" s="1"/>
  <c r="X43" i="3"/>
  <c r="X66" i="3" s="1"/>
  <c r="W43" i="3"/>
  <c r="W66" i="3" s="1"/>
  <c r="V43" i="3"/>
  <c r="V66" i="3" s="1"/>
  <c r="U43" i="3"/>
  <c r="U66" i="3" s="1"/>
  <c r="T43" i="3"/>
  <c r="T66" i="3" s="1"/>
  <c r="S43" i="3"/>
  <c r="S66" i="3" s="1"/>
  <c r="R43" i="3"/>
  <c r="R66" i="3" s="1"/>
  <c r="Q43" i="3"/>
  <c r="Q66" i="3" s="1"/>
  <c r="P43" i="3"/>
  <c r="P66" i="3" s="1"/>
  <c r="O43" i="3"/>
  <c r="O66" i="3" s="1"/>
  <c r="N43" i="3"/>
  <c r="N66" i="3" s="1"/>
  <c r="M43" i="3"/>
  <c r="M66" i="3" s="1"/>
  <c r="L43" i="3"/>
  <c r="L66" i="3" s="1"/>
  <c r="X42" i="3"/>
  <c r="X65" i="3" s="1"/>
  <c r="W42" i="3"/>
  <c r="W65" i="3" s="1"/>
  <c r="V42" i="3"/>
  <c r="V65" i="3" s="1"/>
  <c r="U42" i="3"/>
  <c r="U65" i="3" s="1"/>
  <c r="T42" i="3"/>
  <c r="T65" i="3" s="1"/>
  <c r="S42" i="3"/>
  <c r="S65" i="3" s="1"/>
  <c r="R42" i="3"/>
  <c r="R65" i="3" s="1"/>
  <c r="Q42" i="3"/>
  <c r="Q65" i="3" s="1"/>
  <c r="P42" i="3"/>
  <c r="P65" i="3" s="1"/>
  <c r="O42" i="3"/>
  <c r="O65" i="3" s="1"/>
  <c r="N42" i="3"/>
  <c r="N65" i="3" s="1"/>
  <c r="M42" i="3"/>
  <c r="M65" i="3" s="1"/>
  <c r="L42" i="3"/>
  <c r="L65" i="3" s="1"/>
  <c r="X41" i="3"/>
  <c r="X64" i="3" s="1"/>
  <c r="W41" i="3"/>
  <c r="W64" i="3" s="1"/>
  <c r="V41" i="3"/>
  <c r="V64" i="3" s="1"/>
  <c r="U41" i="3"/>
  <c r="U64" i="3" s="1"/>
  <c r="T41" i="3"/>
  <c r="T64" i="3" s="1"/>
  <c r="S41" i="3"/>
  <c r="S64" i="3" s="1"/>
  <c r="R41" i="3"/>
  <c r="R64" i="3" s="1"/>
  <c r="Q41" i="3"/>
  <c r="Q64" i="3" s="1"/>
  <c r="P41" i="3"/>
  <c r="P64" i="3" s="1"/>
  <c r="O41" i="3"/>
  <c r="O64" i="3" s="1"/>
  <c r="N41" i="3"/>
  <c r="N64" i="3" s="1"/>
  <c r="M41" i="3"/>
  <c r="M64" i="3" s="1"/>
  <c r="L41" i="3"/>
  <c r="L64" i="3" s="1"/>
  <c r="X40" i="3"/>
  <c r="X63" i="3" s="1"/>
  <c r="W40" i="3"/>
  <c r="W63" i="3" s="1"/>
  <c r="V40" i="3"/>
  <c r="V63" i="3" s="1"/>
  <c r="U40" i="3"/>
  <c r="U63" i="3" s="1"/>
  <c r="T40" i="3"/>
  <c r="T63" i="3" s="1"/>
  <c r="S40" i="3"/>
  <c r="S63" i="3" s="1"/>
  <c r="R40" i="3"/>
  <c r="R63" i="3" s="1"/>
  <c r="Q40" i="3"/>
  <c r="Q63" i="3" s="1"/>
  <c r="P40" i="3"/>
  <c r="P63" i="3" s="1"/>
  <c r="O40" i="3"/>
  <c r="O63" i="3" s="1"/>
  <c r="N40" i="3"/>
  <c r="N63" i="3" s="1"/>
  <c r="M40" i="3"/>
  <c r="M63" i="3" s="1"/>
  <c r="L40" i="3"/>
  <c r="L63" i="3" s="1"/>
  <c r="X39" i="3"/>
  <c r="X62" i="3" s="1"/>
  <c r="W39" i="3"/>
  <c r="W62" i="3" s="1"/>
  <c r="V39" i="3"/>
  <c r="V62" i="3" s="1"/>
  <c r="U39" i="3"/>
  <c r="U62" i="3" s="1"/>
  <c r="T39" i="3"/>
  <c r="T62" i="3" s="1"/>
  <c r="S39" i="3"/>
  <c r="R39" i="3"/>
  <c r="R62" i="3" s="1"/>
  <c r="Q39" i="3"/>
  <c r="Q62" i="3" s="1"/>
  <c r="P39" i="3"/>
  <c r="P62" i="3" s="1"/>
  <c r="O39" i="3"/>
  <c r="O62" i="3" s="1"/>
  <c r="N39" i="3"/>
  <c r="N62" i="3" s="1"/>
  <c r="M39" i="3"/>
  <c r="M62" i="3" s="1"/>
  <c r="L39" i="3"/>
  <c r="L62" i="3" s="1"/>
  <c r="X38" i="3"/>
  <c r="X61" i="3" s="1"/>
  <c r="W38" i="3"/>
  <c r="W61" i="3" s="1"/>
  <c r="V38" i="3"/>
  <c r="V61" i="3" s="1"/>
  <c r="U38" i="3"/>
  <c r="U61" i="3" s="1"/>
  <c r="T38" i="3"/>
  <c r="T61" i="3" s="1"/>
  <c r="S38" i="3"/>
  <c r="S61" i="3" s="1"/>
  <c r="R38" i="3"/>
  <c r="R61" i="3" s="1"/>
  <c r="Q38" i="3"/>
  <c r="Q61" i="3" s="1"/>
  <c r="P38" i="3"/>
  <c r="P61" i="3" s="1"/>
  <c r="O38" i="3"/>
  <c r="O61" i="3" s="1"/>
  <c r="N38" i="3"/>
  <c r="N61" i="3" s="1"/>
  <c r="M38" i="3"/>
  <c r="M61" i="3" s="1"/>
  <c r="L38" i="3"/>
  <c r="L61" i="3" s="1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X37" i="3"/>
  <c r="X60" i="3" s="1"/>
  <c r="W37" i="3"/>
  <c r="W60" i="3" s="1"/>
  <c r="V37" i="3"/>
  <c r="V60" i="3" s="1"/>
  <c r="U37" i="3"/>
  <c r="U60" i="3" s="1"/>
  <c r="T37" i="3"/>
  <c r="T60" i="3" s="1"/>
  <c r="S37" i="3"/>
  <c r="S60" i="3" s="1"/>
  <c r="R37" i="3"/>
  <c r="R60" i="3" s="1"/>
  <c r="Q37" i="3"/>
  <c r="Q60" i="3" s="1"/>
  <c r="P37" i="3"/>
  <c r="P60" i="3" s="1"/>
  <c r="O37" i="3"/>
  <c r="O60" i="3" s="1"/>
  <c r="N37" i="3"/>
  <c r="N60" i="3" s="1"/>
  <c r="M37" i="3"/>
  <c r="M60" i="3" s="1"/>
  <c r="L37" i="3"/>
  <c r="L60" i="3" s="1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X36" i="3"/>
  <c r="X59" i="3" s="1"/>
  <c r="W36" i="3"/>
  <c r="W59" i="3" s="1"/>
  <c r="V36" i="3"/>
  <c r="V59" i="3" s="1"/>
  <c r="U36" i="3"/>
  <c r="U59" i="3" s="1"/>
  <c r="T36" i="3"/>
  <c r="T59" i="3" s="1"/>
  <c r="S36" i="3"/>
  <c r="S59" i="3" s="1"/>
  <c r="R36" i="3"/>
  <c r="R59" i="3" s="1"/>
  <c r="Q36" i="3"/>
  <c r="Q59" i="3" s="1"/>
  <c r="P36" i="3"/>
  <c r="P59" i="3" s="1"/>
  <c r="O36" i="3"/>
  <c r="O59" i="3" s="1"/>
  <c r="N36" i="3"/>
  <c r="N59" i="3" s="1"/>
  <c r="M36" i="3"/>
  <c r="M59" i="3" s="1"/>
  <c r="L36" i="3"/>
  <c r="L59" i="3" s="1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X35" i="3"/>
  <c r="X58" i="3" s="1"/>
  <c r="W35" i="3"/>
  <c r="W58" i="3" s="1"/>
  <c r="V35" i="3"/>
  <c r="V58" i="3" s="1"/>
  <c r="U35" i="3"/>
  <c r="U58" i="3" s="1"/>
  <c r="T35" i="3"/>
  <c r="T58" i="3" s="1"/>
  <c r="S35" i="3"/>
  <c r="S58" i="3" s="1"/>
  <c r="R35" i="3"/>
  <c r="R58" i="3" s="1"/>
  <c r="Q35" i="3"/>
  <c r="Q58" i="3" s="1"/>
  <c r="P35" i="3"/>
  <c r="P58" i="3" s="1"/>
  <c r="O35" i="3"/>
  <c r="O58" i="3" s="1"/>
  <c r="N35" i="3"/>
  <c r="N58" i="3" s="1"/>
  <c r="M35" i="3"/>
  <c r="M58" i="3" s="1"/>
  <c r="L35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X34" i="3"/>
  <c r="X57" i="3" s="1"/>
  <c r="W34" i="3"/>
  <c r="W57" i="3" s="1"/>
  <c r="V34" i="3"/>
  <c r="V57" i="3" s="1"/>
  <c r="U34" i="3"/>
  <c r="U57" i="3" s="1"/>
  <c r="T34" i="3"/>
  <c r="T57" i="3" s="1"/>
  <c r="S34" i="3"/>
  <c r="S57" i="3" s="1"/>
  <c r="R34" i="3"/>
  <c r="R57" i="3" s="1"/>
  <c r="Q34" i="3"/>
  <c r="Q57" i="3" s="1"/>
  <c r="P34" i="3"/>
  <c r="P57" i="3" s="1"/>
  <c r="O34" i="3"/>
  <c r="O57" i="3" s="1"/>
  <c r="N34" i="3"/>
  <c r="N57" i="3" s="1"/>
  <c r="M34" i="3"/>
  <c r="M57" i="3" s="1"/>
  <c r="L34" i="3"/>
  <c r="L57" i="3" s="1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X33" i="3"/>
  <c r="X56" i="3" s="1"/>
  <c r="W33" i="3"/>
  <c r="W56" i="3" s="1"/>
  <c r="V33" i="3"/>
  <c r="V56" i="3" s="1"/>
  <c r="U33" i="3"/>
  <c r="U56" i="3" s="1"/>
  <c r="T33" i="3"/>
  <c r="T56" i="3" s="1"/>
  <c r="S33" i="3"/>
  <c r="S56" i="3" s="1"/>
  <c r="R33" i="3"/>
  <c r="R56" i="3" s="1"/>
  <c r="Q33" i="3"/>
  <c r="Q56" i="3" s="1"/>
  <c r="P33" i="3"/>
  <c r="P56" i="3" s="1"/>
  <c r="O33" i="3"/>
  <c r="O56" i="3" s="1"/>
  <c r="N33" i="3"/>
  <c r="N56" i="3" s="1"/>
  <c r="M33" i="3"/>
  <c r="M56" i="3" s="1"/>
  <c r="L33" i="3"/>
  <c r="L56" i="3" s="1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X32" i="3"/>
  <c r="X55" i="3" s="1"/>
  <c r="W32" i="3"/>
  <c r="W55" i="3" s="1"/>
  <c r="V32" i="3"/>
  <c r="V55" i="3" s="1"/>
  <c r="U32" i="3"/>
  <c r="U55" i="3" s="1"/>
  <c r="T32" i="3"/>
  <c r="T55" i="3" s="1"/>
  <c r="S32" i="3"/>
  <c r="S55" i="3" s="1"/>
  <c r="R32" i="3"/>
  <c r="R55" i="3" s="1"/>
  <c r="Q32" i="3"/>
  <c r="Q55" i="3" s="1"/>
  <c r="P32" i="3"/>
  <c r="P55" i="3" s="1"/>
  <c r="O32" i="3"/>
  <c r="O55" i="3" s="1"/>
  <c r="N32" i="3"/>
  <c r="N55" i="3" s="1"/>
  <c r="M32" i="3"/>
  <c r="M55" i="3" s="1"/>
  <c r="L32" i="3"/>
  <c r="L55" i="3" s="1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X31" i="3"/>
  <c r="X54" i="3" s="1"/>
  <c r="W31" i="3"/>
  <c r="W54" i="3" s="1"/>
  <c r="V31" i="3"/>
  <c r="V54" i="3" s="1"/>
  <c r="U31" i="3"/>
  <c r="U54" i="3" s="1"/>
  <c r="T31" i="3"/>
  <c r="T54" i="3" s="1"/>
  <c r="S31" i="3"/>
  <c r="S54" i="3" s="1"/>
  <c r="R31" i="3"/>
  <c r="R54" i="3" s="1"/>
  <c r="Q31" i="3"/>
  <c r="Q54" i="3" s="1"/>
  <c r="P31" i="3"/>
  <c r="P54" i="3" s="1"/>
  <c r="O31" i="3"/>
  <c r="O54" i="3" s="1"/>
  <c r="N31" i="3"/>
  <c r="N54" i="3" s="1"/>
  <c r="M31" i="3"/>
  <c r="M54" i="3" s="1"/>
  <c r="L31" i="3"/>
  <c r="L54" i="3" s="1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X30" i="3"/>
  <c r="X53" i="3" s="1"/>
  <c r="W30" i="3"/>
  <c r="W53" i="3" s="1"/>
  <c r="V30" i="3"/>
  <c r="V53" i="3" s="1"/>
  <c r="U30" i="3"/>
  <c r="U53" i="3" s="1"/>
  <c r="T30" i="3"/>
  <c r="T53" i="3" s="1"/>
  <c r="S30" i="3"/>
  <c r="S53" i="3" s="1"/>
  <c r="R30" i="3"/>
  <c r="R53" i="3" s="1"/>
  <c r="Q30" i="3"/>
  <c r="Q53" i="3" s="1"/>
  <c r="P30" i="3"/>
  <c r="P53" i="3" s="1"/>
  <c r="O30" i="3"/>
  <c r="O53" i="3" s="1"/>
  <c r="N30" i="3"/>
  <c r="N53" i="3" s="1"/>
  <c r="M30" i="3"/>
  <c r="M53" i="3" s="1"/>
  <c r="L30" i="3"/>
  <c r="L53" i="3" s="1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X29" i="3"/>
  <c r="X52" i="3" s="1"/>
  <c r="W29" i="3"/>
  <c r="W52" i="3" s="1"/>
  <c r="V29" i="3"/>
  <c r="V52" i="3" s="1"/>
  <c r="U29" i="3"/>
  <c r="U52" i="3" s="1"/>
  <c r="T29" i="3"/>
  <c r="T52" i="3" s="1"/>
  <c r="S29" i="3"/>
  <c r="S52" i="3" s="1"/>
  <c r="R29" i="3"/>
  <c r="R52" i="3" s="1"/>
  <c r="Q29" i="3"/>
  <c r="P29" i="3"/>
  <c r="P52" i="3" s="1"/>
  <c r="O29" i="3"/>
  <c r="O52" i="3" s="1"/>
  <c r="N29" i="3"/>
  <c r="N52" i="3" s="1"/>
  <c r="M29" i="3"/>
  <c r="M52" i="3" s="1"/>
  <c r="L29" i="3"/>
  <c r="L52" i="3" s="1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X28" i="3"/>
  <c r="X51" i="3" s="1"/>
  <c r="W28" i="3"/>
  <c r="W51" i="3" s="1"/>
  <c r="V28" i="3"/>
  <c r="V51" i="3" s="1"/>
  <c r="U28" i="3"/>
  <c r="U51" i="3" s="1"/>
  <c r="T28" i="3"/>
  <c r="T51" i="3" s="1"/>
  <c r="S28" i="3"/>
  <c r="S51" i="3" s="1"/>
  <c r="R28" i="3"/>
  <c r="R51" i="3" s="1"/>
  <c r="Q28" i="3"/>
  <c r="Q51" i="3" s="1"/>
  <c r="P28" i="3"/>
  <c r="P51" i="3" s="1"/>
  <c r="O28" i="3"/>
  <c r="O51" i="3" s="1"/>
  <c r="N28" i="3"/>
  <c r="N51" i="3" s="1"/>
  <c r="M28" i="3"/>
  <c r="M51" i="3" s="1"/>
  <c r="L28" i="3"/>
  <c r="L51" i="3" s="1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X27" i="3"/>
  <c r="X50" i="3" s="1"/>
  <c r="W27" i="3"/>
  <c r="W50" i="3" s="1"/>
  <c r="V27" i="3"/>
  <c r="V50" i="3" s="1"/>
  <c r="U27" i="3"/>
  <c r="U50" i="3" s="1"/>
  <c r="T27" i="3"/>
  <c r="T50" i="3" s="1"/>
  <c r="S27" i="3"/>
  <c r="S50" i="3" s="1"/>
  <c r="R27" i="3"/>
  <c r="R50" i="3" s="1"/>
  <c r="Q27" i="3"/>
  <c r="Q50" i="3" s="1"/>
  <c r="P27" i="3"/>
  <c r="P50" i="3" s="1"/>
  <c r="O27" i="3"/>
  <c r="O50" i="3" s="1"/>
  <c r="N27" i="3"/>
  <c r="N50" i="3" s="1"/>
  <c r="M27" i="3"/>
  <c r="M50" i="3" s="1"/>
  <c r="L27" i="3"/>
  <c r="L50" i="3" s="1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X26" i="3"/>
  <c r="X49" i="3" s="1"/>
  <c r="W26" i="3"/>
  <c r="W49" i="3" s="1"/>
  <c r="V26" i="3"/>
  <c r="V49" i="3" s="1"/>
  <c r="U26" i="3"/>
  <c r="U49" i="3" s="1"/>
  <c r="T26" i="3"/>
  <c r="T49" i="3" s="1"/>
  <c r="S26" i="3"/>
  <c r="S49" i="3" s="1"/>
  <c r="R26" i="3"/>
  <c r="R49" i="3" s="1"/>
  <c r="Q26" i="3"/>
  <c r="Q49" i="3" s="1"/>
  <c r="P26" i="3"/>
  <c r="P49" i="3" s="1"/>
  <c r="O26" i="3"/>
  <c r="O49" i="3" s="1"/>
  <c r="N26" i="3"/>
  <c r="N49" i="3" s="1"/>
  <c r="M26" i="3"/>
  <c r="M49" i="3" s="1"/>
  <c r="L26" i="3"/>
  <c r="L49" i="3" s="1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X25" i="3"/>
  <c r="X48" i="3" s="1"/>
  <c r="W25" i="3"/>
  <c r="W48" i="3" s="1"/>
  <c r="V25" i="3"/>
  <c r="V48" i="3" s="1"/>
  <c r="U25" i="3"/>
  <c r="U48" i="3" s="1"/>
  <c r="T25" i="3"/>
  <c r="T48" i="3" s="1"/>
  <c r="S25" i="3"/>
  <c r="S48" i="3" s="1"/>
  <c r="R25" i="3"/>
  <c r="R48" i="3" s="1"/>
  <c r="Q25" i="3"/>
  <c r="Q48" i="3" s="1"/>
  <c r="P25" i="3"/>
  <c r="P48" i="3" s="1"/>
  <c r="O25" i="3"/>
  <c r="O48" i="3" s="1"/>
  <c r="N25" i="3"/>
  <c r="N48" i="3" s="1"/>
  <c r="M25" i="3"/>
  <c r="M48" i="3" s="1"/>
  <c r="L25" i="3"/>
  <c r="L48" i="3" s="1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X103" i="2"/>
  <c r="W103" i="2"/>
  <c r="V103" i="2"/>
  <c r="U103" i="2"/>
  <c r="T103" i="2"/>
  <c r="S103" i="2"/>
  <c r="R103" i="2"/>
  <c r="O103" i="2"/>
  <c r="L103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V99" i="2"/>
  <c r="U99" i="2"/>
  <c r="R99" i="2"/>
  <c r="X99" i="2"/>
  <c r="W99" i="2"/>
  <c r="T99" i="2"/>
  <c r="S99" i="2"/>
  <c r="Q99" i="2"/>
  <c r="P99" i="2"/>
  <c r="Y96" i="2"/>
  <c r="L99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R85" i="2"/>
  <c r="Q85" i="2"/>
  <c r="Q103" i="2" s="1"/>
  <c r="P85" i="2"/>
  <c r="P103" i="2" s="1"/>
  <c r="O85" i="2"/>
  <c r="N85" i="2"/>
  <c r="N103" i="2" s="1"/>
  <c r="M85" i="2"/>
  <c r="M103" i="2" s="1"/>
  <c r="L85" i="2"/>
  <c r="Y78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AF68" i="2"/>
  <c r="AF67" i="2"/>
  <c r="W67" i="2"/>
  <c r="T67" i="2"/>
  <c r="R67" i="2"/>
  <c r="Q67" i="2"/>
  <c r="O67" i="2"/>
  <c r="L67" i="2"/>
  <c r="AF66" i="2"/>
  <c r="X66" i="2"/>
  <c r="V66" i="2"/>
  <c r="U66" i="2"/>
  <c r="P66" i="2"/>
  <c r="N66" i="2"/>
  <c r="M66" i="2"/>
  <c r="AF65" i="2"/>
  <c r="V65" i="2"/>
  <c r="U65" i="2"/>
  <c r="T65" i="2"/>
  <c r="S65" i="2"/>
  <c r="N65" i="2"/>
  <c r="M65" i="2"/>
  <c r="L65" i="2"/>
  <c r="AF64" i="2"/>
  <c r="S64" i="2"/>
  <c r="R64" i="2"/>
  <c r="Q64" i="2"/>
  <c r="AF63" i="2"/>
  <c r="X63" i="2"/>
  <c r="W63" i="2"/>
  <c r="T63" i="2"/>
  <c r="R63" i="2"/>
  <c r="P63" i="2"/>
  <c r="O63" i="2"/>
  <c r="L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X44" i="2"/>
  <c r="X67" i="2" s="1"/>
  <c r="W44" i="2"/>
  <c r="V44" i="2"/>
  <c r="V67" i="2" s="1"/>
  <c r="U44" i="2"/>
  <c r="U67" i="2" s="1"/>
  <c r="T44" i="2"/>
  <c r="S44" i="2"/>
  <c r="S67" i="2" s="1"/>
  <c r="R44" i="2"/>
  <c r="Q44" i="2"/>
  <c r="P44" i="2"/>
  <c r="P67" i="2" s="1"/>
  <c r="O44" i="2"/>
  <c r="N44" i="2"/>
  <c r="N67" i="2" s="1"/>
  <c r="M44" i="2"/>
  <c r="M67" i="2" s="1"/>
  <c r="L44" i="2"/>
  <c r="X43" i="2"/>
  <c r="W43" i="2"/>
  <c r="W66" i="2" s="1"/>
  <c r="V43" i="2"/>
  <c r="U43" i="2"/>
  <c r="T43" i="2"/>
  <c r="T66" i="2" s="1"/>
  <c r="S43" i="2"/>
  <c r="S66" i="2" s="1"/>
  <c r="R43" i="2"/>
  <c r="R66" i="2" s="1"/>
  <c r="Q43" i="2"/>
  <c r="Q66" i="2" s="1"/>
  <c r="P43" i="2"/>
  <c r="O43" i="2"/>
  <c r="O66" i="2" s="1"/>
  <c r="N43" i="2"/>
  <c r="M43" i="2"/>
  <c r="L43" i="2"/>
  <c r="L66" i="2" s="1"/>
  <c r="X42" i="2"/>
  <c r="X65" i="2" s="1"/>
  <c r="W42" i="2"/>
  <c r="W65" i="2" s="1"/>
  <c r="V42" i="2"/>
  <c r="U42" i="2"/>
  <c r="T42" i="2"/>
  <c r="S42" i="2"/>
  <c r="R42" i="2"/>
  <c r="R65" i="2" s="1"/>
  <c r="Q42" i="2"/>
  <c r="Q65" i="2" s="1"/>
  <c r="P42" i="2"/>
  <c r="P65" i="2" s="1"/>
  <c r="O42" i="2"/>
  <c r="O65" i="2" s="1"/>
  <c r="N42" i="2"/>
  <c r="M42" i="2"/>
  <c r="L42" i="2"/>
  <c r="X41" i="2"/>
  <c r="X64" i="2" s="1"/>
  <c r="W41" i="2"/>
  <c r="W64" i="2" s="1"/>
  <c r="V41" i="2"/>
  <c r="V64" i="2" s="1"/>
  <c r="U41" i="2"/>
  <c r="U64" i="2" s="1"/>
  <c r="T41" i="2"/>
  <c r="T64" i="2" s="1"/>
  <c r="S41" i="2"/>
  <c r="R41" i="2"/>
  <c r="Q41" i="2"/>
  <c r="P41" i="2"/>
  <c r="P64" i="2" s="1"/>
  <c r="O41" i="2"/>
  <c r="O64" i="2" s="1"/>
  <c r="N41" i="2"/>
  <c r="N64" i="2" s="1"/>
  <c r="M41" i="2"/>
  <c r="M64" i="2" s="1"/>
  <c r="L41" i="2"/>
  <c r="L64" i="2" s="1"/>
  <c r="X40" i="2"/>
  <c r="W40" i="2"/>
  <c r="V40" i="2"/>
  <c r="V63" i="2" s="1"/>
  <c r="U40" i="2"/>
  <c r="U63" i="2" s="1"/>
  <c r="T40" i="2"/>
  <c r="S40" i="2"/>
  <c r="S63" i="2" s="1"/>
  <c r="R40" i="2"/>
  <c r="Q40" i="2"/>
  <c r="Q63" i="2" s="1"/>
  <c r="P40" i="2"/>
  <c r="O40" i="2"/>
  <c r="N40" i="2"/>
  <c r="N63" i="2" s="1"/>
  <c r="M40" i="2"/>
  <c r="M63" i="2" s="1"/>
  <c r="L40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X39" i="2"/>
  <c r="X62" i="2" s="1"/>
  <c r="W39" i="2"/>
  <c r="W62" i="2" s="1"/>
  <c r="V39" i="2"/>
  <c r="V62" i="2" s="1"/>
  <c r="U39" i="2"/>
  <c r="U62" i="2" s="1"/>
  <c r="T39" i="2"/>
  <c r="T62" i="2" s="1"/>
  <c r="S39" i="2"/>
  <c r="S62" i="2" s="1"/>
  <c r="R39" i="2"/>
  <c r="R62" i="2" s="1"/>
  <c r="Q39" i="2"/>
  <c r="Q62" i="2" s="1"/>
  <c r="P39" i="2"/>
  <c r="P62" i="2" s="1"/>
  <c r="O39" i="2"/>
  <c r="O62" i="2" s="1"/>
  <c r="N39" i="2"/>
  <c r="N62" i="2" s="1"/>
  <c r="M39" i="2"/>
  <c r="M62" i="2" s="1"/>
  <c r="L39" i="2"/>
  <c r="L62" i="2" s="1"/>
  <c r="X38" i="2"/>
  <c r="X61" i="2" s="1"/>
  <c r="W38" i="2"/>
  <c r="W61" i="2" s="1"/>
  <c r="V38" i="2"/>
  <c r="V61" i="2" s="1"/>
  <c r="U38" i="2"/>
  <c r="U61" i="2" s="1"/>
  <c r="T38" i="2"/>
  <c r="T61" i="2" s="1"/>
  <c r="S38" i="2"/>
  <c r="S61" i="2" s="1"/>
  <c r="R38" i="2"/>
  <c r="R61" i="2" s="1"/>
  <c r="Q38" i="2"/>
  <c r="Q61" i="2" s="1"/>
  <c r="P38" i="2"/>
  <c r="P61" i="2" s="1"/>
  <c r="O38" i="2"/>
  <c r="O61" i="2" s="1"/>
  <c r="N38" i="2"/>
  <c r="N61" i="2" s="1"/>
  <c r="M38" i="2"/>
  <c r="M61" i="2" s="1"/>
  <c r="L38" i="2"/>
  <c r="L61" i="2" s="1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X37" i="2"/>
  <c r="X60" i="2" s="1"/>
  <c r="W37" i="2"/>
  <c r="W60" i="2" s="1"/>
  <c r="V37" i="2"/>
  <c r="V60" i="2" s="1"/>
  <c r="U37" i="2"/>
  <c r="U60" i="2" s="1"/>
  <c r="T37" i="2"/>
  <c r="T60" i="2" s="1"/>
  <c r="S37" i="2"/>
  <c r="S60" i="2" s="1"/>
  <c r="R37" i="2"/>
  <c r="R60" i="2" s="1"/>
  <c r="Q37" i="2"/>
  <c r="Q60" i="2" s="1"/>
  <c r="P37" i="2"/>
  <c r="P60" i="2" s="1"/>
  <c r="O37" i="2"/>
  <c r="O60" i="2" s="1"/>
  <c r="N37" i="2"/>
  <c r="N60" i="2" s="1"/>
  <c r="M37" i="2"/>
  <c r="M60" i="2" s="1"/>
  <c r="L37" i="2"/>
  <c r="L60" i="2" s="1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X36" i="2"/>
  <c r="X59" i="2" s="1"/>
  <c r="W36" i="2"/>
  <c r="W59" i="2" s="1"/>
  <c r="V36" i="2"/>
  <c r="V59" i="2" s="1"/>
  <c r="U36" i="2"/>
  <c r="U59" i="2" s="1"/>
  <c r="T36" i="2"/>
  <c r="T59" i="2" s="1"/>
  <c r="S36" i="2"/>
  <c r="S59" i="2" s="1"/>
  <c r="R36" i="2"/>
  <c r="R59" i="2" s="1"/>
  <c r="Q36" i="2"/>
  <c r="Q59" i="2" s="1"/>
  <c r="P36" i="2"/>
  <c r="P59" i="2" s="1"/>
  <c r="O36" i="2"/>
  <c r="O59" i="2" s="1"/>
  <c r="N36" i="2"/>
  <c r="N59" i="2" s="1"/>
  <c r="M36" i="2"/>
  <c r="M59" i="2" s="1"/>
  <c r="L36" i="2"/>
  <c r="L59" i="2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X35" i="2"/>
  <c r="X58" i="2" s="1"/>
  <c r="W35" i="2"/>
  <c r="W58" i="2" s="1"/>
  <c r="V35" i="2"/>
  <c r="V58" i="2" s="1"/>
  <c r="U35" i="2"/>
  <c r="U58" i="2" s="1"/>
  <c r="T35" i="2"/>
  <c r="T58" i="2" s="1"/>
  <c r="S35" i="2"/>
  <c r="S58" i="2" s="1"/>
  <c r="R35" i="2"/>
  <c r="R58" i="2" s="1"/>
  <c r="Q35" i="2"/>
  <c r="Q58" i="2" s="1"/>
  <c r="P35" i="2"/>
  <c r="P58" i="2" s="1"/>
  <c r="O35" i="2"/>
  <c r="O58" i="2" s="1"/>
  <c r="N35" i="2"/>
  <c r="N58" i="2" s="1"/>
  <c r="M35" i="2"/>
  <c r="M58" i="2" s="1"/>
  <c r="L35" i="2"/>
  <c r="L58" i="2" s="1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X34" i="2"/>
  <c r="X57" i="2" s="1"/>
  <c r="W34" i="2"/>
  <c r="W57" i="2" s="1"/>
  <c r="V34" i="2"/>
  <c r="V57" i="2" s="1"/>
  <c r="U34" i="2"/>
  <c r="U57" i="2" s="1"/>
  <c r="T34" i="2"/>
  <c r="T57" i="2" s="1"/>
  <c r="S34" i="2"/>
  <c r="S57" i="2" s="1"/>
  <c r="R34" i="2"/>
  <c r="R57" i="2" s="1"/>
  <c r="Q34" i="2"/>
  <c r="Q57" i="2" s="1"/>
  <c r="P34" i="2"/>
  <c r="P57" i="2" s="1"/>
  <c r="O34" i="2"/>
  <c r="O57" i="2" s="1"/>
  <c r="N34" i="2"/>
  <c r="N57" i="2" s="1"/>
  <c r="M34" i="2"/>
  <c r="M57" i="2" s="1"/>
  <c r="L34" i="2"/>
  <c r="L57" i="2" s="1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X33" i="2"/>
  <c r="X56" i="2" s="1"/>
  <c r="W33" i="2"/>
  <c r="W56" i="2" s="1"/>
  <c r="V33" i="2"/>
  <c r="V56" i="2" s="1"/>
  <c r="U33" i="2"/>
  <c r="U56" i="2" s="1"/>
  <c r="T33" i="2"/>
  <c r="T56" i="2" s="1"/>
  <c r="S33" i="2"/>
  <c r="S56" i="2" s="1"/>
  <c r="R33" i="2"/>
  <c r="R56" i="2" s="1"/>
  <c r="Q33" i="2"/>
  <c r="Q56" i="2" s="1"/>
  <c r="P33" i="2"/>
  <c r="P56" i="2" s="1"/>
  <c r="O33" i="2"/>
  <c r="O56" i="2" s="1"/>
  <c r="N33" i="2"/>
  <c r="N56" i="2" s="1"/>
  <c r="M33" i="2"/>
  <c r="M56" i="2" s="1"/>
  <c r="L33" i="2"/>
  <c r="L56" i="2" s="1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X32" i="2"/>
  <c r="X55" i="2" s="1"/>
  <c r="W32" i="2"/>
  <c r="W55" i="2" s="1"/>
  <c r="V32" i="2"/>
  <c r="V55" i="2" s="1"/>
  <c r="U32" i="2"/>
  <c r="U55" i="2" s="1"/>
  <c r="T32" i="2"/>
  <c r="T55" i="2" s="1"/>
  <c r="S32" i="2"/>
  <c r="S55" i="2" s="1"/>
  <c r="R32" i="2"/>
  <c r="R55" i="2" s="1"/>
  <c r="Q32" i="2"/>
  <c r="Q55" i="2" s="1"/>
  <c r="P32" i="2"/>
  <c r="P55" i="2" s="1"/>
  <c r="O32" i="2"/>
  <c r="O55" i="2" s="1"/>
  <c r="N32" i="2"/>
  <c r="N55" i="2" s="1"/>
  <c r="M32" i="2"/>
  <c r="M55" i="2" s="1"/>
  <c r="L32" i="2"/>
  <c r="L55" i="2" s="1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X31" i="2"/>
  <c r="X54" i="2" s="1"/>
  <c r="W31" i="2"/>
  <c r="W54" i="2" s="1"/>
  <c r="V31" i="2"/>
  <c r="V54" i="2" s="1"/>
  <c r="U31" i="2"/>
  <c r="U54" i="2" s="1"/>
  <c r="T31" i="2"/>
  <c r="T54" i="2" s="1"/>
  <c r="S31" i="2"/>
  <c r="S54" i="2" s="1"/>
  <c r="R31" i="2"/>
  <c r="R54" i="2" s="1"/>
  <c r="Q31" i="2"/>
  <c r="Q54" i="2" s="1"/>
  <c r="P31" i="2"/>
  <c r="P54" i="2" s="1"/>
  <c r="O31" i="2"/>
  <c r="O54" i="2" s="1"/>
  <c r="N31" i="2"/>
  <c r="N54" i="2" s="1"/>
  <c r="M31" i="2"/>
  <c r="M54" i="2" s="1"/>
  <c r="L31" i="2"/>
  <c r="L54" i="2" s="1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X30" i="2"/>
  <c r="X53" i="2" s="1"/>
  <c r="W30" i="2"/>
  <c r="W53" i="2" s="1"/>
  <c r="V30" i="2"/>
  <c r="V53" i="2" s="1"/>
  <c r="U30" i="2"/>
  <c r="U53" i="2" s="1"/>
  <c r="T30" i="2"/>
  <c r="T53" i="2" s="1"/>
  <c r="S30" i="2"/>
  <c r="S53" i="2" s="1"/>
  <c r="R30" i="2"/>
  <c r="R53" i="2" s="1"/>
  <c r="Q30" i="2"/>
  <c r="Q53" i="2" s="1"/>
  <c r="P30" i="2"/>
  <c r="P53" i="2" s="1"/>
  <c r="O30" i="2"/>
  <c r="O53" i="2" s="1"/>
  <c r="N30" i="2"/>
  <c r="N53" i="2" s="1"/>
  <c r="M30" i="2"/>
  <c r="M53" i="2" s="1"/>
  <c r="L30" i="2"/>
  <c r="L53" i="2" s="1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X29" i="2"/>
  <c r="X52" i="2" s="1"/>
  <c r="W29" i="2"/>
  <c r="W52" i="2" s="1"/>
  <c r="V29" i="2"/>
  <c r="V52" i="2" s="1"/>
  <c r="U29" i="2"/>
  <c r="U52" i="2" s="1"/>
  <c r="T29" i="2"/>
  <c r="T52" i="2" s="1"/>
  <c r="S29" i="2"/>
  <c r="S52" i="2" s="1"/>
  <c r="R29" i="2"/>
  <c r="R52" i="2" s="1"/>
  <c r="Q29" i="2"/>
  <c r="Q52" i="2" s="1"/>
  <c r="P29" i="2"/>
  <c r="P52" i="2" s="1"/>
  <c r="O29" i="2"/>
  <c r="O52" i="2" s="1"/>
  <c r="N29" i="2"/>
  <c r="N52" i="2" s="1"/>
  <c r="M29" i="2"/>
  <c r="M52" i="2" s="1"/>
  <c r="L29" i="2"/>
  <c r="L52" i="2" s="1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X28" i="2"/>
  <c r="X51" i="2" s="1"/>
  <c r="W28" i="2"/>
  <c r="W51" i="2" s="1"/>
  <c r="V28" i="2"/>
  <c r="V51" i="2" s="1"/>
  <c r="U28" i="2"/>
  <c r="U51" i="2" s="1"/>
  <c r="T28" i="2"/>
  <c r="T51" i="2" s="1"/>
  <c r="S28" i="2"/>
  <c r="S51" i="2" s="1"/>
  <c r="R28" i="2"/>
  <c r="R51" i="2" s="1"/>
  <c r="Q28" i="2"/>
  <c r="Q51" i="2" s="1"/>
  <c r="P28" i="2"/>
  <c r="P51" i="2" s="1"/>
  <c r="O28" i="2"/>
  <c r="O51" i="2" s="1"/>
  <c r="N28" i="2"/>
  <c r="N51" i="2" s="1"/>
  <c r="M28" i="2"/>
  <c r="M51" i="2" s="1"/>
  <c r="L28" i="2"/>
  <c r="L51" i="2" s="1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X27" i="2"/>
  <c r="X50" i="2" s="1"/>
  <c r="W27" i="2"/>
  <c r="W50" i="2" s="1"/>
  <c r="V27" i="2"/>
  <c r="V50" i="2" s="1"/>
  <c r="U27" i="2"/>
  <c r="U50" i="2" s="1"/>
  <c r="T27" i="2"/>
  <c r="T50" i="2" s="1"/>
  <c r="S27" i="2"/>
  <c r="S50" i="2" s="1"/>
  <c r="R27" i="2"/>
  <c r="R50" i="2" s="1"/>
  <c r="Q27" i="2"/>
  <c r="Q50" i="2" s="1"/>
  <c r="P27" i="2"/>
  <c r="P50" i="2" s="1"/>
  <c r="O27" i="2"/>
  <c r="O50" i="2" s="1"/>
  <c r="N27" i="2"/>
  <c r="N50" i="2" s="1"/>
  <c r="M27" i="2"/>
  <c r="M50" i="2" s="1"/>
  <c r="L27" i="2"/>
  <c r="L50" i="2" s="1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X26" i="2"/>
  <c r="X49" i="2" s="1"/>
  <c r="W26" i="2"/>
  <c r="W49" i="2" s="1"/>
  <c r="V26" i="2"/>
  <c r="V49" i="2" s="1"/>
  <c r="U26" i="2"/>
  <c r="U49" i="2" s="1"/>
  <c r="T26" i="2"/>
  <c r="T49" i="2" s="1"/>
  <c r="S26" i="2"/>
  <c r="S49" i="2" s="1"/>
  <c r="R26" i="2"/>
  <c r="R49" i="2" s="1"/>
  <c r="Q26" i="2"/>
  <c r="Q49" i="2" s="1"/>
  <c r="P26" i="2"/>
  <c r="P49" i="2" s="1"/>
  <c r="O26" i="2"/>
  <c r="O49" i="2" s="1"/>
  <c r="N26" i="2"/>
  <c r="N49" i="2" s="1"/>
  <c r="M26" i="2"/>
  <c r="M49" i="2" s="1"/>
  <c r="L26" i="2"/>
  <c r="L49" i="2" s="1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X25" i="2"/>
  <c r="X48" i="2" s="1"/>
  <c r="W25" i="2"/>
  <c r="W48" i="2" s="1"/>
  <c r="V25" i="2"/>
  <c r="V48" i="2" s="1"/>
  <c r="U25" i="2"/>
  <c r="U48" i="2" s="1"/>
  <c r="T25" i="2"/>
  <c r="T48" i="2" s="1"/>
  <c r="S25" i="2"/>
  <c r="S48" i="2" s="1"/>
  <c r="R25" i="2"/>
  <c r="R48" i="2" s="1"/>
  <c r="Q25" i="2"/>
  <c r="Q48" i="2" s="1"/>
  <c r="P25" i="2"/>
  <c r="P48" i="2" s="1"/>
  <c r="O25" i="2"/>
  <c r="O48" i="2" s="1"/>
  <c r="N25" i="2"/>
  <c r="N48" i="2" s="1"/>
  <c r="M25" i="2"/>
  <c r="M48" i="2" s="1"/>
  <c r="L25" i="2"/>
  <c r="L48" i="2" s="1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AM19" i="2"/>
  <c r="AL19" i="2"/>
  <c r="AL38" i="2" s="1"/>
  <c r="AK19" i="2"/>
  <c r="AJ19" i="2"/>
  <c r="AI19" i="2"/>
  <c r="AH19" i="2"/>
  <c r="AG19" i="2"/>
  <c r="AF19" i="2"/>
  <c r="AE19" i="2"/>
  <c r="AD19" i="2"/>
  <c r="AC19" i="2"/>
  <c r="AB19" i="2"/>
  <c r="AA19" i="2"/>
  <c r="AM18" i="2"/>
  <c r="AL18" i="2"/>
  <c r="AK18" i="2"/>
  <c r="AJ18" i="2"/>
  <c r="AI18" i="2"/>
  <c r="AI38" i="2" s="1"/>
  <c r="AI40" i="2" s="1"/>
  <c r="AH18" i="2"/>
  <c r="AG18" i="2"/>
  <c r="AF18" i="2"/>
  <c r="AF38" i="2" s="1"/>
  <c r="AF40" i="2" s="1"/>
  <c r="AE18" i="2"/>
  <c r="AD18" i="2"/>
  <c r="AC18" i="2"/>
  <c r="AB18" i="2"/>
  <c r="AA18" i="2"/>
  <c r="AA38" i="2" s="1"/>
  <c r="AA40" i="2" s="1"/>
  <c r="AF69" i="2" l="1"/>
  <c r="AF70" i="2" s="1"/>
  <c r="AJ38" i="2"/>
  <c r="AJ40" i="2" s="1"/>
  <c r="AB38" i="2"/>
  <c r="AB40" i="2" s="1"/>
  <c r="AK38" i="2"/>
  <c r="AK40" i="2" s="1"/>
  <c r="AC38" i="2"/>
  <c r="AC40" i="2" s="1"/>
  <c r="AD38" i="2"/>
  <c r="AE38" i="2"/>
  <c r="AM38" i="2"/>
  <c r="AG38" i="2"/>
  <c r="AG40" i="2" s="1"/>
  <c r="AH38" i="2"/>
  <c r="AH40" i="2" s="1"/>
  <c r="L106" i="2"/>
  <c r="L109" i="2" s="1"/>
  <c r="Y99" i="2"/>
  <c r="AE40" i="2"/>
  <c r="N99" i="2"/>
  <c r="L107" i="2"/>
  <c r="AM40" i="2"/>
  <c r="R69" i="2"/>
  <c r="R74" i="2" s="1"/>
  <c r="S69" i="2"/>
  <c r="N69" i="5"/>
  <c r="N74" i="5" s="1"/>
  <c r="N78" i="5" s="1"/>
  <c r="AB38" i="5"/>
  <c r="AJ38" i="5"/>
  <c r="AE38" i="5"/>
  <c r="AM38" i="5"/>
  <c r="AH38" i="5"/>
  <c r="V69" i="5"/>
  <c r="V73" i="5" s="1"/>
  <c r="V77" i="5" s="1"/>
  <c r="AA38" i="5"/>
  <c r="AG38" i="5"/>
  <c r="O69" i="4"/>
  <c r="P69" i="4"/>
  <c r="N69" i="4"/>
  <c r="N74" i="4" s="1"/>
  <c r="N78" i="4" s="1"/>
  <c r="AH38" i="4"/>
  <c r="AJ38" i="4"/>
  <c r="V69" i="4"/>
  <c r="V74" i="4" s="1"/>
  <c r="V78" i="4" s="1"/>
  <c r="AC38" i="4"/>
  <c r="AK38" i="4"/>
  <c r="AA38" i="4"/>
  <c r="AI38" i="4"/>
  <c r="W69" i="4"/>
  <c r="W74" i="4" s="1"/>
  <c r="W78" i="4" s="1"/>
  <c r="AB38" i="4"/>
  <c r="T69" i="4"/>
  <c r="T74" i="4" s="1"/>
  <c r="T78" i="4" s="1"/>
  <c r="X69" i="4"/>
  <c r="X74" i="4" s="1"/>
  <c r="X78" i="4" s="1"/>
  <c r="N69" i="3"/>
  <c r="N74" i="3" s="1"/>
  <c r="N78" i="3" s="1"/>
  <c r="AD38" i="3"/>
  <c r="AB38" i="3"/>
  <c r="AH38" i="3"/>
  <c r="AI38" i="3"/>
  <c r="AJ38" i="3"/>
  <c r="X69" i="3"/>
  <c r="X73" i="3" s="1"/>
  <c r="X77" i="3" s="1"/>
  <c r="AF69" i="3"/>
  <c r="AF70" i="3" s="1"/>
  <c r="P69" i="3"/>
  <c r="P74" i="3" s="1"/>
  <c r="P78" i="3" s="1"/>
  <c r="AC38" i="3"/>
  <c r="AK38" i="3"/>
  <c r="AA38" i="3"/>
  <c r="Q69" i="3"/>
  <c r="Q73" i="3" s="1"/>
  <c r="Q77" i="3" s="1"/>
  <c r="O69" i="3"/>
  <c r="O74" i="3" s="1"/>
  <c r="O78" i="3" s="1"/>
  <c r="W69" i="3"/>
  <c r="W74" i="3" s="1"/>
  <c r="W78" i="3" s="1"/>
  <c r="V74" i="5"/>
  <c r="V78" i="5" s="1"/>
  <c r="P69" i="5"/>
  <c r="AF38" i="5"/>
  <c r="M69" i="5"/>
  <c r="O69" i="5"/>
  <c r="R69" i="5"/>
  <c r="U69" i="5"/>
  <c r="AC38" i="5"/>
  <c r="AK38" i="5"/>
  <c r="AI38" i="5"/>
  <c r="S69" i="5"/>
  <c r="AF69" i="5"/>
  <c r="AF70" i="5" s="1"/>
  <c r="AD38" i="5"/>
  <c r="AL38" i="5"/>
  <c r="L69" i="5"/>
  <c r="T69" i="5"/>
  <c r="W69" i="5"/>
  <c r="Q69" i="5"/>
  <c r="X69" i="5"/>
  <c r="O74" i="4"/>
  <c r="O78" i="4" s="1"/>
  <c r="O73" i="4"/>
  <c r="O77" i="4" s="1"/>
  <c r="W73" i="4"/>
  <c r="W77" i="4" s="1"/>
  <c r="P74" i="4"/>
  <c r="P78" i="4" s="1"/>
  <c r="P73" i="4"/>
  <c r="P77" i="4" s="1"/>
  <c r="L69" i="4"/>
  <c r="M69" i="4"/>
  <c r="AF38" i="4"/>
  <c r="Q69" i="4"/>
  <c r="AD38" i="4"/>
  <c r="AM38" i="4"/>
  <c r="U69" i="4"/>
  <c r="AG38" i="4"/>
  <c r="AF69" i="4"/>
  <c r="AF70" i="4" s="1"/>
  <c r="S69" i="4"/>
  <c r="AL38" i="4"/>
  <c r="AE38" i="4"/>
  <c r="R69" i="4"/>
  <c r="V69" i="3"/>
  <c r="S69" i="3"/>
  <c r="M69" i="3"/>
  <c r="AF38" i="3"/>
  <c r="AG38" i="3"/>
  <c r="L69" i="3"/>
  <c r="AM38" i="3"/>
  <c r="U69" i="3"/>
  <c r="AL38" i="3"/>
  <c r="T69" i="3"/>
  <c r="AE38" i="3"/>
  <c r="R69" i="3"/>
  <c r="O99" i="2"/>
  <c r="AL40" i="2"/>
  <c r="AD40" i="2"/>
  <c r="R73" i="2"/>
  <c r="L69" i="2"/>
  <c r="U69" i="2"/>
  <c r="N69" i="2"/>
  <c r="O69" i="2"/>
  <c r="P69" i="2"/>
  <c r="X69" i="2"/>
  <c r="S73" i="2"/>
  <c r="S74" i="2"/>
  <c r="T69" i="2"/>
  <c r="M69" i="2"/>
  <c r="V69" i="2"/>
  <c r="W69" i="2"/>
  <c r="Q69" i="2"/>
  <c r="AM42" i="2" l="1"/>
  <c r="N97" i="5"/>
  <c r="N98" i="5"/>
  <c r="N99" i="5"/>
  <c r="V97" i="5"/>
  <c r="V98" i="5"/>
  <c r="V99" i="5"/>
  <c r="N73" i="5"/>
  <c r="N77" i="5" s="1"/>
  <c r="P97" i="4"/>
  <c r="P99" i="4"/>
  <c r="P98" i="4"/>
  <c r="N99" i="4"/>
  <c r="N97" i="4"/>
  <c r="N98" i="4"/>
  <c r="T73" i="4"/>
  <c r="T77" i="4" s="1"/>
  <c r="O99" i="4"/>
  <c r="O98" i="4"/>
  <c r="O97" i="4"/>
  <c r="T97" i="4"/>
  <c r="T98" i="4"/>
  <c r="T99" i="4"/>
  <c r="W99" i="4"/>
  <c r="W97" i="4"/>
  <c r="W98" i="4"/>
  <c r="X97" i="4"/>
  <c r="X98" i="4"/>
  <c r="X99" i="4"/>
  <c r="V97" i="4"/>
  <c r="V98" i="4"/>
  <c r="V99" i="4"/>
  <c r="P104" i="3"/>
  <c r="P99" i="3"/>
  <c r="P98" i="3"/>
  <c r="P97" i="3"/>
  <c r="P79" i="3"/>
  <c r="N97" i="3"/>
  <c r="N98" i="3"/>
  <c r="N99" i="3"/>
  <c r="N79" i="3"/>
  <c r="Q74" i="3"/>
  <c r="Q78" i="3" s="1"/>
  <c r="W97" i="3"/>
  <c r="W98" i="3"/>
  <c r="W99" i="3"/>
  <c r="W79" i="3"/>
  <c r="O104" i="3"/>
  <c r="O97" i="3"/>
  <c r="O100" i="3" s="1"/>
  <c r="O98" i="3"/>
  <c r="O99" i="3"/>
  <c r="O79" i="3"/>
  <c r="V79" i="5"/>
  <c r="W79" i="4"/>
  <c r="V73" i="4"/>
  <c r="V77" i="4" s="1"/>
  <c r="P104" i="4"/>
  <c r="P79" i="4"/>
  <c r="O79" i="4"/>
  <c r="N79" i="5"/>
  <c r="N79" i="4"/>
  <c r="X73" i="4"/>
  <c r="X77" i="4" s="1"/>
  <c r="N73" i="4"/>
  <c r="N77" i="4" s="1"/>
  <c r="N73" i="3"/>
  <c r="N77" i="3" s="1"/>
  <c r="O73" i="3"/>
  <c r="O77" i="3" s="1"/>
  <c r="X74" i="3"/>
  <c r="X78" i="3" s="1"/>
  <c r="X79" i="4" s="1"/>
  <c r="P73" i="3"/>
  <c r="P77" i="3" s="1"/>
  <c r="W73" i="3"/>
  <c r="W77" i="3" s="1"/>
  <c r="X74" i="5"/>
  <c r="X78" i="5" s="1"/>
  <c r="X79" i="5" s="1"/>
  <c r="X73" i="5"/>
  <c r="X77" i="5" s="1"/>
  <c r="R73" i="5"/>
  <c r="R77" i="5" s="1"/>
  <c r="R74" i="5"/>
  <c r="R78" i="5" s="1"/>
  <c r="W74" i="5"/>
  <c r="W78" i="5" s="1"/>
  <c r="W73" i="5"/>
  <c r="W77" i="5" s="1"/>
  <c r="S73" i="5"/>
  <c r="S77" i="5" s="1"/>
  <c r="S74" i="5"/>
  <c r="S78" i="5" s="1"/>
  <c r="U73" i="5"/>
  <c r="U77" i="5" s="1"/>
  <c r="U74" i="5"/>
  <c r="U78" i="5" s="1"/>
  <c r="Q73" i="5"/>
  <c r="Q77" i="5" s="1"/>
  <c r="Q74" i="5"/>
  <c r="Q78" i="5" s="1"/>
  <c r="T73" i="5"/>
  <c r="T77" i="5" s="1"/>
  <c r="T74" i="5"/>
  <c r="T78" i="5" s="1"/>
  <c r="T79" i="5" s="1"/>
  <c r="O74" i="5"/>
  <c r="O78" i="5" s="1"/>
  <c r="O73" i="5"/>
  <c r="O77" i="5" s="1"/>
  <c r="P74" i="5"/>
  <c r="P78" i="5" s="1"/>
  <c r="P79" i="5" s="1"/>
  <c r="P73" i="5"/>
  <c r="P77" i="5" s="1"/>
  <c r="N103" i="5"/>
  <c r="AC39" i="5"/>
  <c r="AC40" i="5" s="1"/>
  <c r="N104" i="5"/>
  <c r="L73" i="5"/>
  <c r="L77" i="5" s="1"/>
  <c r="L74" i="5"/>
  <c r="M73" i="5"/>
  <c r="M77" i="5" s="1"/>
  <c r="M74" i="5"/>
  <c r="M78" i="5" s="1"/>
  <c r="V103" i="5"/>
  <c r="AK39" i="5"/>
  <c r="AK40" i="5" s="1"/>
  <c r="V104" i="5"/>
  <c r="S73" i="4"/>
  <c r="S77" i="4" s="1"/>
  <c r="S74" i="4"/>
  <c r="S78" i="4" s="1"/>
  <c r="O103" i="4"/>
  <c r="AD39" i="4"/>
  <c r="AD40" i="4" s="1"/>
  <c r="V104" i="4"/>
  <c r="V103" i="4"/>
  <c r="AK39" i="4"/>
  <c r="AK40" i="4" s="1"/>
  <c r="Q73" i="4"/>
  <c r="Q77" i="4" s="1"/>
  <c r="Q74" i="4"/>
  <c r="Q78" i="4" s="1"/>
  <c r="R73" i="4"/>
  <c r="R77" i="4" s="1"/>
  <c r="R74" i="4"/>
  <c r="R78" i="4" s="1"/>
  <c r="M73" i="4"/>
  <c r="M77" i="4" s="1"/>
  <c r="M74" i="4"/>
  <c r="M78" i="4" s="1"/>
  <c r="AE39" i="4"/>
  <c r="AE40" i="4" s="1"/>
  <c r="P103" i="4"/>
  <c r="L73" i="4"/>
  <c r="L77" i="4" s="1"/>
  <c r="L74" i="4"/>
  <c r="U73" i="4"/>
  <c r="U77" i="4" s="1"/>
  <c r="U74" i="4"/>
  <c r="U78" i="4" s="1"/>
  <c r="W103" i="4"/>
  <c r="AL39" i="4"/>
  <c r="W104" i="4"/>
  <c r="T103" i="4"/>
  <c r="T104" i="4"/>
  <c r="AI39" i="4"/>
  <c r="AI40" i="4" s="1"/>
  <c r="AM39" i="4"/>
  <c r="AM40" i="4" s="1"/>
  <c r="X104" i="4"/>
  <c r="X103" i="4"/>
  <c r="AL40" i="4"/>
  <c r="O104" i="4"/>
  <c r="N103" i="4"/>
  <c r="N104" i="4"/>
  <c r="AC39" i="4"/>
  <c r="AC40" i="4" s="1"/>
  <c r="V74" i="3"/>
  <c r="V78" i="3" s="1"/>
  <c r="V79" i="4" s="1"/>
  <c r="V73" i="3"/>
  <c r="V77" i="3" s="1"/>
  <c r="L73" i="3"/>
  <c r="L77" i="3" s="1"/>
  <c r="L74" i="3"/>
  <c r="T73" i="3"/>
  <c r="T77" i="3" s="1"/>
  <c r="T74" i="3"/>
  <c r="T78" i="3" s="1"/>
  <c r="T79" i="4" s="1"/>
  <c r="W103" i="3"/>
  <c r="AL39" i="3"/>
  <c r="AL40" i="3" s="1"/>
  <c r="W104" i="3"/>
  <c r="S73" i="3"/>
  <c r="S77" i="3" s="1"/>
  <c r="S74" i="3"/>
  <c r="S78" i="3" s="1"/>
  <c r="N103" i="3"/>
  <c r="AC39" i="3"/>
  <c r="AC40" i="3" s="1"/>
  <c r="N104" i="3"/>
  <c r="O103" i="3"/>
  <c r="AD39" i="3"/>
  <c r="AD40" i="3" s="1"/>
  <c r="U73" i="3"/>
  <c r="U77" i="3" s="1"/>
  <c r="U74" i="3"/>
  <c r="U78" i="3" s="1"/>
  <c r="R73" i="3"/>
  <c r="R77" i="3" s="1"/>
  <c r="R74" i="3"/>
  <c r="R78" i="3" s="1"/>
  <c r="AE39" i="3"/>
  <c r="AE40" i="3" s="1"/>
  <c r="P103" i="3"/>
  <c r="AF39" i="3"/>
  <c r="AF40" i="3" s="1"/>
  <c r="Q103" i="3"/>
  <c r="M73" i="3"/>
  <c r="M77" i="3" s="1"/>
  <c r="M74" i="3"/>
  <c r="M78" i="3" s="1"/>
  <c r="X74" i="2"/>
  <c r="X73" i="2"/>
  <c r="Q74" i="2"/>
  <c r="Q73" i="2"/>
  <c r="P74" i="2"/>
  <c r="P73" i="2"/>
  <c r="W74" i="2"/>
  <c r="W73" i="2"/>
  <c r="O74" i="2"/>
  <c r="O73" i="2"/>
  <c r="V73" i="2"/>
  <c r="V74" i="2"/>
  <c r="N73" i="2"/>
  <c r="N74" i="2"/>
  <c r="M73" i="2"/>
  <c r="M74" i="2"/>
  <c r="U73" i="2"/>
  <c r="U74" i="2"/>
  <c r="T73" i="2"/>
  <c r="T74" i="2"/>
  <c r="L73" i="2"/>
  <c r="L74" i="2"/>
  <c r="U98" i="5" l="1"/>
  <c r="U99" i="5"/>
  <c r="U97" i="5"/>
  <c r="M99" i="5"/>
  <c r="M97" i="5"/>
  <c r="M98" i="5"/>
  <c r="P99" i="5"/>
  <c r="P97" i="5"/>
  <c r="P98" i="5"/>
  <c r="X99" i="5"/>
  <c r="X97" i="5"/>
  <c r="X98" i="5"/>
  <c r="W97" i="5"/>
  <c r="W98" i="5"/>
  <c r="W99" i="5"/>
  <c r="R99" i="5"/>
  <c r="R98" i="5"/>
  <c r="R97" i="5"/>
  <c r="W79" i="5"/>
  <c r="O99" i="5"/>
  <c r="O97" i="5"/>
  <c r="O98" i="5"/>
  <c r="O79" i="5"/>
  <c r="Q98" i="5"/>
  <c r="Q99" i="5"/>
  <c r="Q97" i="5"/>
  <c r="S97" i="5"/>
  <c r="S98" i="5"/>
  <c r="S99" i="5"/>
  <c r="T98" i="5"/>
  <c r="T97" i="5"/>
  <c r="T99" i="5"/>
  <c r="U98" i="4"/>
  <c r="U99" i="4"/>
  <c r="U97" i="4"/>
  <c r="S98" i="4"/>
  <c r="S99" i="4"/>
  <c r="S97" i="4"/>
  <c r="R98" i="4"/>
  <c r="R99" i="4"/>
  <c r="R97" i="4"/>
  <c r="M99" i="4"/>
  <c r="M97" i="4"/>
  <c r="M98" i="4"/>
  <c r="Q98" i="4"/>
  <c r="Q97" i="4"/>
  <c r="Q99" i="4"/>
  <c r="P100" i="3"/>
  <c r="T98" i="3"/>
  <c r="T99" i="3"/>
  <c r="T97" i="3"/>
  <c r="T79" i="3"/>
  <c r="W100" i="3"/>
  <c r="X99" i="3"/>
  <c r="X98" i="3"/>
  <c r="X97" i="3"/>
  <c r="X79" i="3"/>
  <c r="N100" i="3"/>
  <c r="S98" i="3"/>
  <c r="S99" i="3"/>
  <c r="S97" i="3"/>
  <c r="S100" i="3" s="1"/>
  <c r="S79" i="3"/>
  <c r="M97" i="3"/>
  <c r="M100" i="3" s="1"/>
  <c r="M99" i="3"/>
  <c r="M98" i="3"/>
  <c r="M79" i="3"/>
  <c r="U98" i="3"/>
  <c r="U99" i="3"/>
  <c r="U97" i="3"/>
  <c r="U100" i="3" s="1"/>
  <c r="U79" i="3"/>
  <c r="Q104" i="3"/>
  <c r="Q98" i="3"/>
  <c r="Q99" i="3"/>
  <c r="Q97" i="3"/>
  <c r="Q100" i="3" s="1"/>
  <c r="Q79" i="3"/>
  <c r="R97" i="3"/>
  <c r="R98" i="3"/>
  <c r="R99" i="3"/>
  <c r="R79" i="3"/>
  <c r="X104" i="3"/>
  <c r="V97" i="3"/>
  <c r="V99" i="3"/>
  <c r="V98" i="3"/>
  <c r="V79" i="3"/>
  <c r="M79" i="5"/>
  <c r="M79" i="4"/>
  <c r="S79" i="4"/>
  <c r="S79" i="5"/>
  <c r="Q79" i="4"/>
  <c r="Q79" i="5"/>
  <c r="U79" i="5"/>
  <c r="U79" i="4"/>
  <c r="R79" i="4"/>
  <c r="R79" i="5"/>
  <c r="O100" i="4"/>
  <c r="N100" i="5"/>
  <c r="W100" i="4"/>
  <c r="N100" i="4"/>
  <c r="T100" i="4"/>
  <c r="V100" i="4"/>
  <c r="X103" i="3"/>
  <c r="AM39" i="3"/>
  <c r="AM40" i="3" s="1"/>
  <c r="Q103" i="5"/>
  <c r="AF39" i="5"/>
  <c r="AF40" i="5" s="1"/>
  <c r="Q104" i="5"/>
  <c r="O103" i="5"/>
  <c r="AD39" i="5"/>
  <c r="AD40" i="5" s="1"/>
  <c r="O104" i="5"/>
  <c r="T104" i="5"/>
  <c r="T103" i="5"/>
  <c r="AI39" i="5"/>
  <c r="AI40" i="5" s="1"/>
  <c r="L78" i="5"/>
  <c r="R103" i="5"/>
  <c r="AG39" i="5"/>
  <c r="AG40" i="5" s="1"/>
  <c r="R104" i="5"/>
  <c r="AE39" i="5"/>
  <c r="AE40" i="5" s="1"/>
  <c r="P103" i="5"/>
  <c r="P104" i="5"/>
  <c r="U103" i="5"/>
  <c r="AJ39" i="5"/>
  <c r="AJ40" i="5" s="1"/>
  <c r="U104" i="5"/>
  <c r="V100" i="5"/>
  <c r="M103" i="5"/>
  <c r="AB39" i="5"/>
  <c r="AB40" i="5" s="1"/>
  <c r="M104" i="5"/>
  <c r="AM39" i="5"/>
  <c r="AM40" i="5" s="1"/>
  <c r="X104" i="5"/>
  <c r="X103" i="5"/>
  <c r="W103" i="5"/>
  <c r="AL39" i="5"/>
  <c r="AL40" i="5" s="1"/>
  <c r="W104" i="5"/>
  <c r="AH39" i="5"/>
  <c r="AH40" i="5" s="1"/>
  <c r="S104" i="5"/>
  <c r="S103" i="5"/>
  <c r="L78" i="4"/>
  <c r="AG39" i="4"/>
  <c r="AG40" i="4" s="1"/>
  <c r="R103" i="4"/>
  <c r="R104" i="4"/>
  <c r="X100" i="4"/>
  <c r="P100" i="4"/>
  <c r="S103" i="4"/>
  <c r="S104" i="4"/>
  <c r="AH39" i="4"/>
  <c r="AH40" i="4" s="1"/>
  <c r="M104" i="4"/>
  <c r="M103" i="4"/>
  <c r="AB39" i="4"/>
  <c r="AB40" i="4" s="1"/>
  <c r="AJ39" i="4"/>
  <c r="AJ40" i="4" s="1"/>
  <c r="U104" i="4"/>
  <c r="U103" i="4"/>
  <c r="Q103" i="4"/>
  <c r="AF39" i="4"/>
  <c r="AF40" i="4" s="1"/>
  <c r="Q104" i="4"/>
  <c r="AG39" i="3"/>
  <c r="AG40" i="3" s="1"/>
  <c r="R103" i="3"/>
  <c r="R104" i="3"/>
  <c r="T103" i="3"/>
  <c r="T104" i="3"/>
  <c r="AI39" i="3"/>
  <c r="AI40" i="3" s="1"/>
  <c r="S104" i="3"/>
  <c r="AH39" i="3"/>
  <c r="AH40" i="3" s="1"/>
  <c r="S103" i="3"/>
  <c r="AB39" i="3"/>
  <c r="AB40" i="3" s="1"/>
  <c r="M103" i="3"/>
  <c r="M104" i="3"/>
  <c r="U103" i="3"/>
  <c r="AJ39" i="3"/>
  <c r="AJ40" i="3" s="1"/>
  <c r="U104" i="3"/>
  <c r="L78" i="3"/>
  <c r="V103" i="3"/>
  <c r="AK39" i="3"/>
  <c r="AK40" i="3" s="1"/>
  <c r="V104" i="3"/>
  <c r="P100" i="5" l="1"/>
  <c r="L99" i="5"/>
  <c r="L97" i="5"/>
  <c r="L98" i="5"/>
  <c r="Y98" i="5" s="1"/>
  <c r="L98" i="4"/>
  <c r="Y98" i="4" s="1"/>
  <c r="L97" i="4"/>
  <c r="L99" i="4"/>
  <c r="R100" i="3"/>
  <c r="T100" i="3"/>
  <c r="L99" i="3"/>
  <c r="Y99" i="3" s="1"/>
  <c r="L98" i="3"/>
  <c r="Y98" i="3" s="1"/>
  <c r="L97" i="3"/>
  <c r="L79" i="3"/>
  <c r="V100" i="3"/>
  <c r="X100" i="3"/>
  <c r="L79" i="4"/>
  <c r="L79" i="5"/>
  <c r="Q100" i="4"/>
  <c r="U100" i="4"/>
  <c r="M100" i="5"/>
  <c r="R100" i="5"/>
  <c r="O100" i="5"/>
  <c r="Q100" i="5"/>
  <c r="T100" i="5"/>
  <c r="Y99" i="5"/>
  <c r="L104" i="5"/>
  <c r="L108" i="5" s="1"/>
  <c r="D4" i="6" s="1"/>
  <c r="L103" i="5"/>
  <c r="L107" i="5" s="1"/>
  <c r="C4" i="6" s="1"/>
  <c r="Y78" i="5"/>
  <c r="AA39" i="5"/>
  <c r="S100" i="5"/>
  <c r="W100" i="5"/>
  <c r="X100" i="5"/>
  <c r="U100" i="5"/>
  <c r="S100" i="4"/>
  <c r="R100" i="4"/>
  <c r="M100" i="4"/>
  <c r="L103" i="4"/>
  <c r="L107" i="4" s="1"/>
  <c r="Y78" i="4"/>
  <c r="AA39" i="4"/>
  <c r="L104" i="4"/>
  <c r="L108" i="4" s="1"/>
  <c r="Y99" i="4"/>
  <c r="L103" i="3"/>
  <c r="L107" i="3" s="1"/>
  <c r="AA39" i="3"/>
  <c r="Y78" i="3"/>
  <c r="Y79" i="3" s="1"/>
  <c r="L104" i="3"/>
  <c r="L108" i="3" s="1"/>
  <c r="L110" i="3" s="1"/>
  <c r="AA40" i="5" l="1"/>
  <c r="AM42" i="5"/>
  <c r="L110" i="5"/>
  <c r="F4" i="6" s="1"/>
  <c r="L110" i="4"/>
  <c r="L100" i="4"/>
  <c r="AA40" i="3"/>
  <c r="AM42" i="3"/>
  <c r="Y97" i="3"/>
  <c r="Y100" i="3" s="1"/>
  <c r="L100" i="3"/>
  <c r="AA40" i="4"/>
  <c r="AM42" i="4"/>
  <c r="Y79" i="4"/>
  <c r="Y79" i="5"/>
  <c r="L100" i="5"/>
  <c r="Y97" i="5"/>
  <c r="Y100" i="5" s="1"/>
  <c r="Y97" i="4"/>
  <c r="Y100" i="4" s="1"/>
  <c r="AF50" i="1" l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49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M34" i="1"/>
  <c r="AB34" i="1"/>
  <c r="AC34" i="1"/>
  <c r="AD34" i="1"/>
  <c r="AE34" i="1"/>
  <c r="AF34" i="1"/>
  <c r="AG34" i="1"/>
  <c r="AH34" i="1"/>
  <c r="AI34" i="1"/>
  <c r="AJ34" i="1"/>
  <c r="AK34" i="1"/>
  <c r="AL34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K38" i="1" l="1"/>
  <c r="AF38" i="1"/>
  <c r="AJ38" i="1"/>
  <c r="AF69" i="1"/>
  <c r="AF70" i="1" s="1"/>
  <c r="AM38" i="1"/>
  <c r="AE38" i="1"/>
  <c r="AC38" i="1"/>
  <c r="AL38" i="1"/>
  <c r="AA38" i="1"/>
  <c r="AB38" i="1"/>
  <c r="AI38" i="1"/>
  <c r="AD38" i="1"/>
  <c r="AG38" i="1"/>
  <c r="AH38" i="1"/>
  <c r="M71" i="1"/>
  <c r="N71" i="1"/>
  <c r="O71" i="1"/>
  <c r="P71" i="1"/>
  <c r="Q71" i="1"/>
  <c r="R71" i="1"/>
  <c r="S71" i="1"/>
  <c r="T71" i="1"/>
  <c r="U71" i="1"/>
  <c r="V71" i="1"/>
  <c r="W71" i="1"/>
  <c r="X71" i="1"/>
  <c r="M70" i="1"/>
  <c r="N70" i="1"/>
  <c r="O70" i="1"/>
  <c r="P70" i="1"/>
  <c r="Q70" i="1"/>
  <c r="R70" i="1"/>
  <c r="S70" i="1"/>
  <c r="T70" i="1"/>
  <c r="U70" i="1"/>
  <c r="V70" i="1"/>
  <c r="W70" i="1"/>
  <c r="X70" i="1"/>
  <c r="L71" i="1"/>
  <c r="L70" i="1"/>
  <c r="X44" i="1" l="1"/>
  <c r="X67" i="1" s="1"/>
  <c r="W44" i="1"/>
  <c r="W67" i="1" s="1"/>
  <c r="V44" i="1"/>
  <c r="V67" i="1" s="1"/>
  <c r="U44" i="1"/>
  <c r="U67" i="1" s="1"/>
  <c r="T44" i="1"/>
  <c r="T67" i="1" s="1"/>
  <c r="S44" i="1"/>
  <c r="S67" i="1" s="1"/>
  <c r="R44" i="1"/>
  <c r="R67" i="1" s="1"/>
  <c r="Q44" i="1"/>
  <c r="Q67" i="1" s="1"/>
  <c r="P44" i="1"/>
  <c r="P67" i="1" s="1"/>
  <c r="O44" i="1"/>
  <c r="O67" i="1" s="1"/>
  <c r="N44" i="1"/>
  <c r="N67" i="1" s="1"/>
  <c r="M44" i="1"/>
  <c r="M67" i="1" s="1"/>
  <c r="L44" i="1"/>
  <c r="L67" i="1" s="1"/>
  <c r="X43" i="1"/>
  <c r="X66" i="1" s="1"/>
  <c r="W43" i="1"/>
  <c r="W66" i="1" s="1"/>
  <c r="V43" i="1"/>
  <c r="V66" i="1" s="1"/>
  <c r="U43" i="1"/>
  <c r="U66" i="1" s="1"/>
  <c r="T43" i="1"/>
  <c r="T66" i="1" s="1"/>
  <c r="S43" i="1"/>
  <c r="S66" i="1" s="1"/>
  <c r="R43" i="1"/>
  <c r="R66" i="1" s="1"/>
  <c r="Q43" i="1"/>
  <c r="Q66" i="1" s="1"/>
  <c r="P43" i="1"/>
  <c r="P66" i="1" s="1"/>
  <c r="O43" i="1"/>
  <c r="O66" i="1" s="1"/>
  <c r="N43" i="1"/>
  <c r="N66" i="1" s="1"/>
  <c r="M43" i="1"/>
  <c r="M66" i="1" s="1"/>
  <c r="L43" i="1"/>
  <c r="L66" i="1" s="1"/>
  <c r="X42" i="1"/>
  <c r="X65" i="1" s="1"/>
  <c r="W42" i="1"/>
  <c r="W65" i="1" s="1"/>
  <c r="V42" i="1"/>
  <c r="V65" i="1" s="1"/>
  <c r="U42" i="1"/>
  <c r="U65" i="1" s="1"/>
  <c r="T42" i="1"/>
  <c r="T65" i="1" s="1"/>
  <c r="S42" i="1"/>
  <c r="S65" i="1" s="1"/>
  <c r="R42" i="1"/>
  <c r="R65" i="1" s="1"/>
  <c r="Q42" i="1"/>
  <c r="Q65" i="1" s="1"/>
  <c r="P42" i="1"/>
  <c r="P65" i="1" s="1"/>
  <c r="O42" i="1"/>
  <c r="O65" i="1" s="1"/>
  <c r="N42" i="1"/>
  <c r="N65" i="1" s="1"/>
  <c r="M42" i="1"/>
  <c r="M65" i="1" s="1"/>
  <c r="L42" i="1"/>
  <c r="L65" i="1" s="1"/>
  <c r="X41" i="1"/>
  <c r="X64" i="1" s="1"/>
  <c r="W41" i="1"/>
  <c r="W64" i="1" s="1"/>
  <c r="V41" i="1"/>
  <c r="V64" i="1" s="1"/>
  <c r="U41" i="1"/>
  <c r="U64" i="1" s="1"/>
  <c r="T41" i="1"/>
  <c r="T64" i="1" s="1"/>
  <c r="S41" i="1"/>
  <c r="S64" i="1" s="1"/>
  <c r="R41" i="1"/>
  <c r="R64" i="1" s="1"/>
  <c r="Q41" i="1"/>
  <c r="Q64" i="1" s="1"/>
  <c r="P41" i="1"/>
  <c r="P64" i="1" s="1"/>
  <c r="O41" i="1"/>
  <c r="O64" i="1" s="1"/>
  <c r="N41" i="1"/>
  <c r="N64" i="1" s="1"/>
  <c r="M41" i="1"/>
  <c r="M64" i="1" s="1"/>
  <c r="L41" i="1"/>
  <c r="L64" i="1" s="1"/>
  <c r="X40" i="1"/>
  <c r="X63" i="1" s="1"/>
  <c r="W40" i="1"/>
  <c r="W63" i="1" s="1"/>
  <c r="V40" i="1"/>
  <c r="V63" i="1" s="1"/>
  <c r="U40" i="1"/>
  <c r="U63" i="1" s="1"/>
  <c r="T40" i="1"/>
  <c r="T63" i="1" s="1"/>
  <c r="S40" i="1"/>
  <c r="S63" i="1" s="1"/>
  <c r="R40" i="1"/>
  <c r="R63" i="1" s="1"/>
  <c r="Q40" i="1"/>
  <c r="Q63" i="1" s="1"/>
  <c r="P40" i="1"/>
  <c r="P63" i="1" s="1"/>
  <c r="O40" i="1"/>
  <c r="O63" i="1" s="1"/>
  <c r="N40" i="1"/>
  <c r="N63" i="1" s="1"/>
  <c r="M40" i="1"/>
  <c r="M63" i="1" s="1"/>
  <c r="L40" i="1"/>
  <c r="L63" i="1" s="1"/>
  <c r="X39" i="1"/>
  <c r="X62" i="1" s="1"/>
  <c r="W39" i="1"/>
  <c r="W62" i="1" s="1"/>
  <c r="V39" i="1"/>
  <c r="V62" i="1" s="1"/>
  <c r="U39" i="1"/>
  <c r="U62" i="1" s="1"/>
  <c r="T39" i="1"/>
  <c r="T62" i="1" s="1"/>
  <c r="S39" i="1"/>
  <c r="S62" i="1" s="1"/>
  <c r="R39" i="1"/>
  <c r="R62" i="1" s="1"/>
  <c r="Q39" i="1"/>
  <c r="Q62" i="1" s="1"/>
  <c r="P39" i="1"/>
  <c r="P62" i="1" s="1"/>
  <c r="O39" i="1"/>
  <c r="O62" i="1" s="1"/>
  <c r="N39" i="1"/>
  <c r="N62" i="1" s="1"/>
  <c r="M39" i="1"/>
  <c r="M62" i="1" s="1"/>
  <c r="L39" i="1"/>
  <c r="L62" i="1" s="1"/>
  <c r="X38" i="1"/>
  <c r="X61" i="1" s="1"/>
  <c r="W38" i="1"/>
  <c r="W61" i="1" s="1"/>
  <c r="V38" i="1"/>
  <c r="V61" i="1" s="1"/>
  <c r="U38" i="1"/>
  <c r="U61" i="1" s="1"/>
  <c r="T38" i="1"/>
  <c r="T61" i="1" s="1"/>
  <c r="S38" i="1"/>
  <c r="S61" i="1" s="1"/>
  <c r="R38" i="1"/>
  <c r="R61" i="1" s="1"/>
  <c r="Q38" i="1"/>
  <c r="Q61" i="1" s="1"/>
  <c r="P38" i="1"/>
  <c r="P61" i="1" s="1"/>
  <c r="O38" i="1"/>
  <c r="O61" i="1" s="1"/>
  <c r="N38" i="1"/>
  <c r="N61" i="1" s="1"/>
  <c r="M38" i="1"/>
  <c r="M61" i="1" s="1"/>
  <c r="L38" i="1"/>
  <c r="L61" i="1" s="1"/>
  <c r="X37" i="1"/>
  <c r="X60" i="1" s="1"/>
  <c r="W37" i="1"/>
  <c r="W60" i="1" s="1"/>
  <c r="V37" i="1"/>
  <c r="V60" i="1" s="1"/>
  <c r="U37" i="1"/>
  <c r="U60" i="1" s="1"/>
  <c r="T37" i="1"/>
  <c r="T60" i="1" s="1"/>
  <c r="S37" i="1"/>
  <c r="S60" i="1" s="1"/>
  <c r="R37" i="1"/>
  <c r="R60" i="1" s="1"/>
  <c r="Q37" i="1"/>
  <c r="Q60" i="1" s="1"/>
  <c r="P37" i="1"/>
  <c r="P60" i="1" s="1"/>
  <c r="O37" i="1"/>
  <c r="O60" i="1" s="1"/>
  <c r="N37" i="1"/>
  <c r="N60" i="1" s="1"/>
  <c r="M37" i="1"/>
  <c r="M60" i="1" s="1"/>
  <c r="L37" i="1"/>
  <c r="L60" i="1" s="1"/>
  <c r="X36" i="1"/>
  <c r="X59" i="1" s="1"/>
  <c r="W36" i="1"/>
  <c r="W59" i="1" s="1"/>
  <c r="V36" i="1"/>
  <c r="V59" i="1" s="1"/>
  <c r="U36" i="1"/>
  <c r="U59" i="1" s="1"/>
  <c r="T36" i="1"/>
  <c r="T59" i="1" s="1"/>
  <c r="S36" i="1"/>
  <c r="S59" i="1" s="1"/>
  <c r="R36" i="1"/>
  <c r="R59" i="1" s="1"/>
  <c r="Q36" i="1"/>
  <c r="Q59" i="1" s="1"/>
  <c r="P36" i="1"/>
  <c r="P59" i="1" s="1"/>
  <c r="O36" i="1"/>
  <c r="O59" i="1" s="1"/>
  <c r="N36" i="1"/>
  <c r="N59" i="1" s="1"/>
  <c r="M36" i="1"/>
  <c r="M59" i="1" s="1"/>
  <c r="L36" i="1"/>
  <c r="L59" i="1" s="1"/>
  <c r="X35" i="1"/>
  <c r="X58" i="1" s="1"/>
  <c r="W35" i="1"/>
  <c r="W58" i="1" s="1"/>
  <c r="V35" i="1"/>
  <c r="V58" i="1" s="1"/>
  <c r="U35" i="1"/>
  <c r="U58" i="1" s="1"/>
  <c r="T35" i="1"/>
  <c r="T58" i="1" s="1"/>
  <c r="S35" i="1"/>
  <c r="S58" i="1" s="1"/>
  <c r="R35" i="1"/>
  <c r="R58" i="1" s="1"/>
  <c r="Q35" i="1"/>
  <c r="Q58" i="1" s="1"/>
  <c r="P35" i="1"/>
  <c r="P58" i="1" s="1"/>
  <c r="O35" i="1"/>
  <c r="O58" i="1" s="1"/>
  <c r="N35" i="1"/>
  <c r="N58" i="1" s="1"/>
  <c r="M35" i="1"/>
  <c r="M58" i="1" s="1"/>
  <c r="L35" i="1"/>
  <c r="L58" i="1" s="1"/>
  <c r="X34" i="1"/>
  <c r="X57" i="1" s="1"/>
  <c r="W34" i="1"/>
  <c r="W57" i="1" s="1"/>
  <c r="V34" i="1"/>
  <c r="V57" i="1" s="1"/>
  <c r="U34" i="1"/>
  <c r="U57" i="1" s="1"/>
  <c r="T34" i="1"/>
  <c r="T57" i="1" s="1"/>
  <c r="S34" i="1"/>
  <c r="S57" i="1" s="1"/>
  <c r="R34" i="1"/>
  <c r="R57" i="1" s="1"/>
  <c r="Q34" i="1"/>
  <c r="Q57" i="1" s="1"/>
  <c r="P34" i="1"/>
  <c r="P57" i="1" s="1"/>
  <c r="O34" i="1"/>
  <c r="O57" i="1" s="1"/>
  <c r="N34" i="1"/>
  <c r="N57" i="1" s="1"/>
  <c r="M34" i="1"/>
  <c r="M57" i="1" s="1"/>
  <c r="L34" i="1"/>
  <c r="L57" i="1" s="1"/>
  <c r="X33" i="1"/>
  <c r="X56" i="1" s="1"/>
  <c r="W33" i="1"/>
  <c r="W56" i="1" s="1"/>
  <c r="V33" i="1"/>
  <c r="V56" i="1" s="1"/>
  <c r="U33" i="1"/>
  <c r="U56" i="1" s="1"/>
  <c r="T33" i="1"/>
  <c r="T56" i="1" s="1"/>
  <c r="S33" i="1"/>
  <c r="S56" i="1" s="1"/>
  <c r="R33" i="1"/>
  <c r="R56" i="1" s="1"/>
  <c r="Q33" i="1"/>
  <c r="Q56" i="1" s="1"/>
  <c r="P33" i="1"/>
  <c r="P56" i="1" s="1"/>
  <c r="O33" i="1"/>
  <c r="O56" i="1" s="1"/>
  <c r="N33" i="1"/>
  <c r="N56" i="1" s="1"/>
  <c r="M33" i="1"/>
  <c r="M56" i="1" s="1"/>
  <c r="L33" i="1"/>
  <c r="L56" i="1" s="1"/>
  <c r="X32" i="1"/>
  <c r="X55" i="1" s="1"/>
  <c r="W32" i="1"/>
  <c r="W55" i="1" s="1"/>
  <c r="V32" i="1"/>
  <c r="V55" i="1" s="1"/>
  <c r="U32" i="1"/>
  <c r="U55" i="1" s="1"/>
  <c r="T32" i="1"/>
  <c r="T55" i="1" s="1"/>
  <c r="S32" i="1"/>
  <c r="S55" i="1" s="1"/>
  <c r="R32" i="1"/>
  <c r="R55" i="1" s="1"/>
  <c r="Q32" i="1"/>
  <c r="Q55" i="1" s="1"/>
  <c r="P32" i="1"/>
  <c r="P55" i="1" s="1"/>
  <c r="O32" i="1"/>
  <c r="O55" i="1" s="1"/>
  <c r="N32" i="1"/>
  <c r="N55" i="1" s="1"/>
  <c r="M32" i="1"/>
  <c r="M55" i="1" s="1"/>
  <c r="L32" i="1"/>
  <c r="L55" i="1" s="1"/>
  <c r="X31" i="1"/>
  <c r="X54" i="1" s="1"/>
  <c r="W31" i="1"/>
  <c r="W54" i="1" s="1"/>
  <c r="V31" i="1"/>
  <c r="V54" i="1" s="1"/>
  <c r="U31" i="1"/>
  <c r="U54" i="1" s="1"/>
  <c r="T31" i="1"/>
  <c r="T54" i="1" s="1"/>
  <c r="S31" i="1"/>
  <c r="S54" i="1" s="1"/>
  <c r="R31" i="1"/>
  <c r="R54" i="1" s="1"/>
  <c r="Q31" i="1"/>
  <c r="Q54" i="1" s="1"/>
  <c r="P31" i="1"/>
  <c r="P54" i="1" s="1"/>
  <c r="O31" i="1"/>
  <c r="O54" i="1" s="1"/>
  <c r="N31" i="1"/>
  <c r="N54" i="1" s="1"/>
  <c r="M31" i="1"/>
  <c r="M54" i="1" s="1"/>
  <c r="L31" i="1"/>
  <c r="L54" i="1" s="1"/>
  <c r="X30" i="1"/>
  <c r="X53" i="1" s="1"/>
  <c r="W30" i="1"/>
  <c r="W53" i="1" s="1"/>
  <c r="V30" i="1"/>
  <c r="V53" i="1" s="1"/>
  <c r="U30" i="1"/>
  <c r="U53" i="1" s="1"/>
  <c r="T30" i="1"/>
  <c r="T53" i="1" s="1"/>
  <c r="S30" i="1"/>
  <c r="S53" i="1" s="1"/>
  <c r="R30" i="1"/>
  <c r="R53" i="1" s="1"/>
  <c r="Q30" i="1"/>
  <c r="Q53" i="1" s="1"/>
  <c r="P30" i="1"/>
  <c r="P53" i="1" s="1"/>
  <c r="O30" i="1"/>
  <c r="O53" i="1" s="1"/>
  <c r="N30" i="1"/>
  <c r="N53" i="1" s="1"/>
  <c r="M30" i="1"/>
  <c r="M53" i="1" s="1"/>
  <c r="L30" i="1"/>
  <c r="L53" i="1" s="1"/>
  <c r="X29" i="1"/>
  <c r="X52" i="1" s="1"/>
  <c r="W29" i="1"/>
  <c r="W52" i="1" s="1"/>
  <c r="V29" i="1"/>
  <c r="V52" i="1" s="1"/>
  <c r="U29" i="1"/>
  <c r="U52" i="1" s="1"/>
  <c r="T29" i="1"/>
  <c r="T52" i="1" s="1"/>
  <c r="S29" i="1"/>
  <c r="S52" i="1" s="1"/>
  <c r="R29" i="1"/>
  <c r="R52" i="1" s="1"/>
  <c r="Q29" i="1"/>
  <c r="Q52" i="1" s="1"/>
  <c r="P29" i="1"/>
  <c r="P52" i="1" s="1"/>
  <c r="O29" i="1"/>
  <c r="O52" i="1" s="1"/>
  <c r="N29" i="1"/>
  <c r="N52" i="1" s="1"/>
  <c r="M29" i="1"/>
  <c r="M52" i="1" s="1"/>
  <c r="L29" i="1"/>
  <c r="L52" i="1" s="1"/>
  <c r="X28" i="1"/>
  <c r="X51" i="1" s="1"/>
  <c r="W28" i="1"/>
  <c r="W51" i="1" s="1"/>
  <c r="V28" i="1"/>
  <c r="V51" i="1" s="1"/>
  <c r="U28" i="1"/>
  <c r="U51" i="1" s="1"/>
  <c r="T28" i="1"/>
  <c r="T51" i="1" s="1"/>
  <c r="S28" i="1"/>
  <c r="S51" i="1" s="1"/>
  <c r="R28" i="1"/>
  <c r="R51" i="1" s="1"/>
  <c r="Q28" i="1"/>
  <c r="Q51" i="1" s="1"/>
  <c r="P28" i="1"/>
  <c r="P51" i="1" s="1"/>
  <c r="O28" i="1"/>
  <c r="O51" i="1" s="1"/>
  <c r="N28" i="1"/>
  <c r="N51" i="1" s="1"/>
  <c r="M28" i="1"/>
  <c r="M51" i="1" s="1"/>
  <c r="L28" i="1"/>
  <c r="L51" i="1" s="1"/>
  <c r="X27" i="1"/>
  <c r="X50" i="1" s="1"/>
  <c r="W27" i="1"/>
  <c r="W50" i="1" s="1"/>
  <c r="V27" i="1"/>
  <c r="V50" i="1" s="1"/>
  <c r="U27" i="1"/>
  <c r="U50" i="1" s="1"/>
  <c r="T27" i="1"/>
  <c r="T50" i="1" s="1"/>
  <c r="S27" i="1"/>
  <c r="S50" i="1" s="1"/>
  <c r="R27" i="1"/>
  <c r="R50" i="1" s="1"/>
  <c r="Q27" i="1"/>
  <c r="Q50" i="1" s="1"/>
  <c r="P27" i="1"/>
  <c r="P50" i="1" s="1"/>
  <c r="O27" i="1"/>
  <c r="O50" i="1" s="1"/>
  <c r="N27" i="1"/>
  <c r="N50" i="1" s="1"/>
  <c r="M27" i="1"/>
  <c r="M50" i="1" s="1"/>
  <c r="L27" i="1"/>
  <c r="L50" i="1" s="1"/>
  <c r="X26" i="1"/>
  <c r="X49" i="1" s="1"/>
  <c r="W26" i="1"/>
  <c r="W49" i="1" s="1"/>
  <c r="V26" i="1"/>
  <c r="V49" i="1" s="1"/>
  <c r="U26" i="1"/>
  <c r="U49" i="1" s="1"/>
  <c r="T26" i="1"/>
  <c r="T49" i="1" s="1"/>
  <c r="S26" i="1"/>
  <c r="S49" i="1" s="1"/>
  <c r="R26" i="1"/>
  <c r="R49" i="1" s="1"/>
  <c r="Q26" i="1"/>
  <c r="Q49" i="1" s="1"/>
  <c r="P26" i="1"/>
  <c r="P49" i="1" s="1"/>
  <c r="O26" i="1"/>
  <c r="O49" i="1" s="1"/>
  <c r="N26" i="1"/>
  <c r="N49" i="1" s="1"/>
  <c r="M26" i="1"/>
  <c r="M49" i="1" s="1"/>
  <c r="L26" i="1"/>
  <c r="L49" i="1" s="1"/>
  <c r="X25" i="1"/>
  <c r="X48" i="1" s="1"/>
  <c r="W25" i="1"/>
  <c r="W48" i="1" s="1"/>
  <c r="V25" i="1"/>
  <c r="V48" i="1" s="1"/>
  <c r="U25" i="1"/>
  <c r="U48" i="1" s="1"/>
  <c r="T25" i="1"/>
  <c r="T48" i="1" s="1"/>
  <c r="S25" i="1"/>
  <c r="S48" i="1" s="1"/>
  <c r="R25" i="1"/>
  <c r="R48" i="1" s="1"/>
  <c r="Q25" i="1"/>
  <c r="Q48" i="1" s="1"/>
  <c r="P25" i="1"/>
  <c r="P48" i="1" s="1"/>
  <c r="O25" i="1"/>
  <c r="O48" i="1" s="1"/>
  <c r="N25" i="1"/>
  <c r="N48" i="1" s="1"/>
  <c r="M25" i="1"/>
  <c r="M48" i="1" s="1"/>
  <c r="L25" i="1"/>
  <c r="L48" i="1" s="1"/>
  <c r="Q86" i="1"/>
  <c r="R86" i="1"/>
  <c r="P86" i="1"/>
  <c r="M86" i="1"/>
  <c r="N86" i="1"/>
  <c r="O86" i="1"/>
  <c r="L86" i="1"/>
  <c r="S69" i="1" l="1"/>
  <c r="S74" i="1" s="1"/>
  <c r="S78" i="1" s="1"/>
  <c r="X69" i="1"/>
  <c r="X73" i="1" s="1"/>
  <c r="X77" i="1" s="1"/>
  <c r="P69" i="1"/>
  <c r="P74" i="1" s="1"/>
  <c r="P78" i="1" s="1"/>
  <c r="V69" i="1"/>
  <c r="V74" i="1" s="1"/>
  <c r="V78" i="1" s="1"/>
  <c r="T69" i="1"/>
  <c r="T74" i="1" s="1"/>
  <c r="T78" i="1" s="1"/>
  <c r="Q69" i="1"/>
  <c r="Q74" i="1" s="1"/>
  <c r="Q78" i="1" s="1"/>
  <c r="W69" i="1"/>
  <c r="W73" i="1" s="1"/>
  <c r="W77" i="1" s="1"/>
  <c r="R69" i="1"/>
  <c r="R73" i="1" s="1"/>
  <c r="R77" i="1" s="1"/>
  <c r="M69" i="1"/>
  <c r="M73" i="1" s="1"/>
  <c r="M77" i="1" s="1"/>
  <c r="U69" i="1"/>
  <c r="U73" i="1" s="1"/>
  <c r="U77" i="1" s="1"/>
  <c r="N69" i="1"/>
  <c r="N74" i="1" s="1"/>
  <c r="N78" i="1" s="1"/>
  <c r="L69" i="1"/>
  <c r="L73" i="1" s="1"/>
  <c r="L77" i="1" s="1"/>
  <c r="O69" i="1"/>
  <c r="O73" i="1" s="1"/>
  <c r="O77" i="1" s="1"/>
  <c r="S97" i="1" l="1"/>
  <c r="S99" i="1"/>
  <c r="S98" i="1"/>
  <c r="S79" i="1"/>
  <c r="Q104" i="1"/>
  <c r="Q99" i="1"/>
  <c r="Q98" i="1"/>
  <c r="Q97" i="1"/>
  <c r="Q79" i="1"/>
  <c r="T97" i="1"/>
  <c r="T98" i="1"/>
  <c r="T99" i="1"/>
  <c r="T79" i="1"/>
  <c r="V99" i="1"/>
  <c r="V97" i="1"/>
  <c r="V98" i="1"/>
  <c r="V79" i="1"/>
  <c r="N98" i="1"/>
  <c r="N97" i="1"/>
  <c r="N99" i="1"/>
  <c r="N79" i="1"/>
  <c r="P104" i="1"/>
  <c r="P97" i="1"/>
  <c r="P99" i="1"/>
  <c r="P98" i="1"/>
  <c r="P79" i="1"/>
  <c r="X74" i="1"/>
  <c r="X78" i="1" s="1"/>
  <c r="R74" i="1"/>
  <c r="R78" i="1" s="1"/>
  <c r="R104" i="1" s="1"/>
  <c r="L74" i="1"/>
  <c r="L78" i="1" s="1"/>
  <c r="W74" i="1"/>
  <c r="W78" i="1" s="1"/>
  <c r="Q73" i="1"/>
  <c r="Q77" i="1" s="1"/>
  <c r="AC39" i="1"/>
  <c r="AC40" i="1" s="1"/>
  <c r="N103" i="1"/>
  <c r="S104" i="1"/>
  <c r="S103" i="1"/>
  <c r="AH39" i="1"/>
  <c r="AH40" i="1" s="1"/>
  <c r="X104" i="1"/>
  <c r="AM39" i="1"/>
  <c r="AM40" i="1" s="1"/>
  <c r="T103" i="1"/>
  <c r="AI39" i="1"/>
  <c r="AI40" i="1" s="1"/>
  <c r="T104" i="1"/>
  <c r="S73" i="1"/>
  <c r="S77" i="1" s="1"/>
  <c r="V104" i="1"/>
  <c r="V103" i="1"/>
  <c r="AK39" i="1"/>
  <c r="AK40" i="1" s="1"/>
  <c r="P103" i="1"/>
  <c r="AE39" i="1"/>
  <c r="AE40" i="1" s="1"/>
  <c r="N104" i="1"/>
  <c r="AF39" i="1"/>
  <c r="AF40" i="1" s="1"/>
  <c r="Q103" i="1"/>
  <c r="M74" i="1"/>
  <c r="M78" i="1" s="1"/>
  <c r="O74" i="1"/>
  <c r="O78" i="1" s="1"/>
  <c r="N73" i="1"/>
  <c r="N77" i="1" s="1"/>
  <c r="V73" i="1"/>
  <c r="V77" i="1" s="1"/>
  <c r="P73" i="1"/>
  <c r="P77" i="1" s="1"/>
  <c r="U74" i="1"/>
  <c r="T73" i="1"/>
  <c r="T77" i="1" s="1"/>
  <c r="AG39" i="1" l="1"/>
  <c r="AG40" i="1" s="1"/>
  <c r="O98" i="1"/>
  <c r="O97" i="1"/>
  <c r="O99" i="1"/>
  <c r="O79" i="1"/>
  <c r="M98" i="1"/>
  <c r="M97" i="1"/>
  <c r="M99" i="1"/>
  <c r="M79" i="1"/>
  <c r="W99" i="1"/>
  <c r="W97" i="1"/>
  <c r="W98" i="1"/>
  <c r="W79" i="1"/>
  <c r="L103" i="1"/>
  <c r="L97" i="1"/>
  <c r="L99" i="1"/>
  <c r="L98" i="1"/>
  <c r="L79" i="1"/>
  <c r="R103" i="1"/>
  <c r="R99" i="1"/>
  <c r="R98" i="1"/>
  <c r="R97" i="1"/>
  <c r="R100" i="1" s="1"/>
  <c r="R79" i="1"/>
  <c r="X103" i="1"/>
  <c r="X97" i="1"/>
  <c r="X99" i="1"/>
  <c r="X98" i="1"/>
  <c r="X79" i="1"/>
  <c r="L104" i="1"/>
  <c r="V100" i="1"/>
  <c r="W104" i="1"/>
  <c r="AL39" i="1"/>
  <c r="AL40" i="1" s="1"/>
  <c r="W103" i="1"/>
  <c r="AA39" i="1"/>
  <c r="T100" i="1"/>
  <c r="P100" i="1"/>
  <c r="O103" i="1"/>
  <c r="AD39" i="1"/>
  <c r="AD40" i="1" s="1"/>
  <c r="O104" i="1"/>
  <c r="M103" i="1"/>
  <c r="AB39" i="1"/>
  <c r="AB40" i="1" s="1"/>
  <c r="M104" i="1"/>
  <c r="N100" i="1"/>
  <c r="U78" i="1"/>
  <c r="Q100" i="1"/>
  <c r="S100" i="1"/>
  <c r="L100" i="1" l="1"/>
  <c r="X100" i="1"/>
  <c r="W100" i="1"/>
  <c r="AA40" i="1"/>
  <c r="Y78" i="1"/>
  <c r="Y79" i="1" s="1"/>
  <c r="U98" i="1"/>
  <c r="Y98" i="1" s="1"/>
  <c r="U99" i="1"/>
  <c r="Y99" i="1" s="1"/>
  <c r="U97" i="1"/>
  <c r="U79" i="1"/>
  <c r="O100" i="1"/>
  <c r="M100" i="1"/>
  <c r="U104" i="1"/>
  <c r="L108" i="1" s="1"/>
  <c r="AJ39" i="1"/>
  <c r="AJ40" i="1" s="1"/>
  <c r="U103" i="1"/>
  <c r="L107" i="1" s="1"/>
  <c r="L110" i="1" l="1"/>
  <c r="AM42" i="1"/>
  <c r="U100" i="1"/>
  <c r="Y97" i="1"/>
  <c r="Y100" i="1" s="1"/>
</calcChain>
</file>

<file path=xl/sharedStrings.xml><?xml version="1.0" encoding="utf-8"?>
<sst xmlns="http://schemas.openxmlformats.org/spreadsheetml/2006/main" count="1762" uniqueCount="129">
  <si>
    <t>Part</t>
  </si>
  <si>
    <t>Total_Minutes_Per_Unit</t>
  </si>
  <si>
    <t xml:space="preserve">Time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</si>
  <si>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</si>
  <si>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</si>
  <si>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</si>
  <si>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</si>
  <si>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</si>
  <si>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</si>
  <si>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</si>
  <si>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</si>
  <si>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</si>
  <si>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</si>
  <si>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</si>
  <si>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</si>
  <si>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</si>
  <si>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</si>
  <si>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</si>
  <si>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</si>
  <si>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</si>
  <si>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</si>
  <si>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</si>
  <si>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</si>
  <si>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</si>
  <si>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</si>
  <si>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</si>
  <si>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</si>
  <si>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</si>
  <si>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</si>
  <si>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</si>
  <si>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</si>
  <si>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</si>
  <si>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</si>
  <si>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</si>
  <si>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</si>
  <si>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</si>
  <si>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Proportion</t>
  </si>
  <si>
    <t>SUM(minutes)</t>
  </si>
  <si>
    <t>Total Time(1 shift)</t>
  </si>
  <si>
    <t>Total Time(2 shifts)</t>
  </si>
  <si>
    <t># of machines(1 shift)</t>
  </si>
  <si>
    <t># of machines(2 shift)</t>
  </si>
  <si>
    <t>rounded ans</t>
    <phoneticPr fontId="18" type="noConversion"/>
  </si>
  <si>
    <t>Operators hourly cost/each machine</t>
    <phoneticPr fontId="18" type="noConversion"/>
  </si>
  <si>
    <t>Installed price</t>
    <phoneticPr fontId="18" type="noConversion"/>
  </si>
  <si>
    <t>C1</t>
    <phoneticPr fontId="18" type="noConversion"/>
  </si>
  <si>
    <t>C2</t>
    <phoneticPr fontId="18" type="noConversion"/>
  </si>
  <si>
    <t>C3</t>
    <phoneticPr fontId="18" type="noConversion"/>
  </si>
  <si>
    <t>inner size</t>
    <phoneticPr fontId="18" type="noConversion"/>
  </si>
  <si>
    <t>outer size</t>
    <phoneticPr fontId="18" type="noConversion"/>
  </si>
  <si>
    <t># of personnel/each machine</t>
    <phoneticPr fontId="18" type="noConversion"/>
  </si>
  <si>
    <t>Total # of personnel</t>
    <phoneticPr fontId="18" type="noConversion"/>
  </si>
  <si>
    <t>SUM</t>
    <phoneticPr fontId="18" type="noConversion"/>
  </si>
  <si>
    <t>Center-specific total</t>
    <phoneticPr fontId="18" type="noConversion"/>
  </si>
  <si>
    <t>Weekly_Robust_Demand_99p5_Units</t>
  </si>
  <si>
    <t>Weekly_Demand_StdDev_Units</t>
  </si>
  <si>
    <t>Weekly_Robust_Net_Minutes</t>
  </si>
  <si>
    <t>Weekly_Robust_Gross_Minutes</t>
  </si>
  <si>
    <t>A</t>
    <phoneticPr fontId="18" type="noConversion"/>
  </si>
  <si>
    <t>B</t>
    <phoneticPr fontId="18" type="noConversion"/>
  </si>
  <si>
    <t>C</t>
    <phoneticPr fontId="18" type="noConversion"/>
  </si>
  <si>
    <t>D</t>
    <phoneticPr fontId="18" type="noConversion"/>
  </si>
  <si>
    <t>E</t>
    <phoneticPr fontId="18" type="noConversion"/>
  </si>
  <si>
    <t>F</t>
    <phoneticPr fontId="18" type="noConversion"/>
  </si>
  <si>
    <t>G</t>
    <phoneticPr fontId="18" type="noConversion"/>
  </si>
  <si>
    <t>H</t>
    <phoneticPr fontId="18" type="noConversion"/>
  </si>
  <si>
    <t>I</t>
    <phoneticPr fontId="18" type="noConversion"/>
  </si>
  <si>
    <t>J</t>
    <phoneticPr fontId="18" type="noConversion"/>
  </si>
  <si>
    <t>K</t>
    <phoneticPr fontId="18" type="noConversion"/>
  </si>
  <si>
    <t>L</t>
    <phoneticPr fontId="18" type="noConversion"/>
  </si>
  <si>
    <t>M</t>
    <phoneticPr fontId="18" type="noConversion"/>
  </si>
  <si>
    <t>Total working hours( 2 shifts, 49 weeks)</t>
    <phoneticPr fontId="18" type="noConversion"/>
  </si>
  <si>
    <t>Distance</t>
    <phoneticPr fontId="18" type="noConversion"/>
  </si>
  <si>
    <t>Capacity</t>
    <phoneticPr fontId="18" type="noConversion"/>
  </si>
  <si>
    <t>Sum</t>
    <phoneticPr fontId="18" type="noConversion"/>
  </si>
  <si>
    <t>Sum Capacity</t>
    <phoneticPr fontId="18" type="noConversion"/>
  </si>
  <si>
    <t>Utilization</t>
    <phoneticPr fontId="18" type="noConversion"/>
  </si>
  <si>
    <t>Dimensions</t>
  </si>
  <si>
    <t>Materials</t>
  </si>
  <si>
    <t>Identifier</t>
  </si>
  <si>
    <t>X (in.)</t>
  </si>
  <si>
    <t>Y (in.)</t>
  </si>
  <si>
    <t>Z (in.)</t>
  </si>
  <si>
    <t>Weight (lbs)</t>
  </si>
  <si>
    <t>Price/unit</t>
  </si>
  <si>
    <t>Weekly material cost</t>
    <phoneticPr fontId="18" type="noConversion"/>
  </si>
  <si>
    <t>Total Land Fee</t>
    <phoneticPr fontId="18" type="noConversion"/>
  </si>
  <si>
    <t>Total operator cost</t>
    <phoneticPr fontId="18" type="noConversion"/>
  </si>
  <si>
    <t>Total Cost</t>
    <phoneticPr fontId="18" type="noConversion"/>
  </si>
  <si>
    <t>Annual_Demand_Mean_Units</t>
  </si>
  <si>
    <t>Total</t>
    <phoneticPr fontId="18" type="noConversion"/>
  </si>
  <si>
    <t>Avg_Annual_Demand_Units</t>
  </si>
  <si>
    <t># of new machines</t>
    <phoneticPr fontId="18" type="noConversion"/>
  </si>
  <si>
    <t>Yearly material cost</t>
    <phoneticPr fontId="18" type="noConversion"/>
  </si>
  <si>
    <t>Overall utilization</t>
    <phoneticPr fontId="18" type="noConversion"/>
  </si>
  <si>
    <t xml:space="preserve">Process Time </t>
    <phoneticPr fontId="18" type="noConversion"/>
  </si>
  <si>
    <t>Proportion</t>
    <phoneticPr fontId="18" type="noConversion"/>
  </si>
  <si>
    <t>Weekly_capacity_minutes</t>
    <phoneticPr fontId="18" type="noConversion"/>
  </si>
  <si>
    <t>Annual Installed fee</t>
    <phoneticPr fontId="18" type="noConversion"/>
  </si>
  <si>
    <t>Annual operator cost</t>
    <phoneticPr fontId="18" type="noConversion"/>
  </si>
  <si>
    <t>Total Installed cost</t>
    <phoneticPr fontId="18" type="noConversion"/>
  </si>
  <si>
    <t>Material cost by part</t>
    <phoneticPr fontId="18" type="noConversion"/>
  </si>
  <si>
    <t>Cost</t>
    <phoneticPr fontId="18" type="noConversion"/>
  </si>
  <si>
    <t>Weekly_Robust_Demand_99p5_Units</t>
    <phoneticPr fontId="18" type="noConversion"/>
  </si>
  <si>
    <t>Total_Minutes_Per_Unit</t>
    <phoneticPr fontId="18" type="noConversion"/>
  </si>
  <si>
    <t>Year</t>
    <phoneticPr fontId="18" type="noConversion"/>
  </si>
  <si>
    <t>1-U</t>
    <phoneticPr fontId="18" type="noConversion"/>
  </si>
  <si>
    <t># of new personnel</t>
    <phoneticPr fontId="18" type="noConversion"/>
  </si>
  <si>
    <t>Step 1</t>
  </si>
  <si>
    <t>Step 2</t>
  </si>
  <si>
    <t>Step 3</t>
  </si>
  <si>
    <t>Step 4</t>
  </si>
  <si>
    <t>Step 5</t>
  </si>
  <si>
    <t>Step 6</t>
  </si>
  <si>
    <t>Step 7</t>
  </si>
  <si>
    <t>1--2</t>
  </si>
  <si>
    <t>2--3</t>
  </si>
  <si>
    <t>3--4</t>
  </si>
  <si>
    <t>4--5</t>
  </si>
  <si>
    <t>5--6</t>
  </si>
  <si>
    <t>6--7</t>
  </si>
  <si>
    <t>from process</t>
  </si>
  <si>
    <t>to process</t>
  </si>
  <si>
    <t>flow/week/center</t>
  </si>
  <si>
    <t>flow/hour/center</t>
  </si>
  <si>
    <t>Year 1</t>
  </si>
  <si>
    <t>/10 one center</t>
  </si>
  <si>
    <t>hour/center</t>
  </si>
  <si>
    <t>Traffic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</si>
</sst>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$&quot;#,##0_);[Red]\(&quot;$&quot;#,##0\)"/>
    <numFmt numFmtId="177" formatCode="&quot;$&quot;#,##0"/>
    <numFmt numFmtId="178" formatCode="#,##0_ 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2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5" borderId="10" xfId="0" applyFill="1" applyBorder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  <xf numFmtId="44" fontId="0" fillId="35" borderId="0" xfId="0" applyNumberFormat="1" applyFill="1">
      <alignment vertical="center"/>
    </xf>
    <xf numFmtId="44" fontId="0" fillId="0" borderId="0" xfId="0" applyNumberFormat="1">
      <alignment vertical="center"/>
    </xf>
    <xf numFmtId="0" fontId="0" fillId="0" borderId="10" xfId="0" applyBorder="1">
      <alignment vertical="center"/>
    </xf>
    <xf numFmtId="0" fontId="20" fillId="37" borderId="13" xfId="0" applyFont="1" applyFill="1" applyBorder="1" applyAlignment="1">
      <alignment horizontal="center"/>
    </xf>
    <xf numFmtId="0" fontId="0" fillId="37" borderId="13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19" xfId="0" applyFill="1" applyBorder="1" applyAlignment="1">
      <alignment horizontal="center"/>
    </xf>
    <xf numFmtId="42" fontId="0" fillId="33" borderId="13" xfId="44" applyNumberFormat="1" applyFont="1" applyFill="1" applyBorder="1"/>
    <xf numFmtId="42" fontId="0" fillId="33" borderId="11" xfId="44" applyNumberFormat="1" applyFont="1" applyFill="1" applyBorder="1" applyAlignment="1">
      <alignment horizontal="center"/>
    </xf>
    <xf numFmtId="42" fontId="0" fillId="33" borderId="11" xfId="44" applyNumberFormat="1" applyFont="1" applyFill="1" applyBorder="1"/>
    <xf numFmtId="0" fontId="0" fillId="33" borderId="10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42" fontId="0" fillId="33" borderId="12" xfId="44" applyNumberFormat="1" applyFont="1" applyFill="1" applyBorder="1"/>
    <xf numFmtId="177" fontId="0" fillId="0" borderId="0" xfId="0" applyNumberFormat="1">
      <alignment vertical="center"/>
    </xf>
    <xf numFmtId="0" fontId="0" fillId="36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10" fontId="0" fillId="38" borderId="0" xfId="0" applyNumberFormat="1" applyFill="1">
      <alignment vertical="center"/>
    </xf>
    <xf numFmtId="44" fontId="0" fillId="38" borderId="11" xfId="0" applyNumberFormat="1" applyFill="1" applyBorder="1">
      <alignment vertical="center"/>
    </xf>
    <xf numFmtId="44" fontId="0" fillId="38" borderId="12" xfId="0" applyNumberFormat="1" applyFill="1" applyBorder="1">
      <alignment vertical="center"/>
    </xf>
    <xf numFmtId="44" fontId="0" fillId="35" borderId="20" xfId="0" applyNumberFormat="1" applyFill="1" applyBorder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21" xfId="0" applyBorder="1">
      <alignment vertical="center"/>
    </xf>
    <xf numFmtId="0" fontId="0" fillId="0" borderId="19" xfId="0" applyBorder="1">
      <alignment vertical="center"/>
    </xf>
    <xf numFmtId="0" fontId="0" fillId="35" borderId="17" xfId="0" applyFill="1" applyBorder="1">
      <alignment vertical="center"/>
    </xf>
    <xf numFmtId="0" fontId="0" fillId="35" borderId="18" xfId="0" applyFill="1" applyBorder="1">
      <alignment vertical="center"/>
    </xf>
    <xf numFmtId="0" fontId="21" fillId="34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2" fillId="36" borderId="0" xfId="0" applyFont="1" applyFill="1">
      <alignment vertical="center"/>
    </xf>
    <xf numFmtId="0" fontId="22" fillId="0" borderId="0" xfId="0" applyFont="1">
      <alignment vertical="center"/>
    </xf>
    <xf numFmtId="178" fontId="0" fillId="0" borderId="0" xfId="0" applyNumberFormat="1">
      <alignment vertical="center"/>
    </xf>
    <xf numFmtId="0" fontId="21" fillId="40" borderId="0" xfId="0" applyFont="1" applyFill="1" applyAlignment="1">
      <alignment horizontal="center" vertical="center"/>
    </xf>
    <xf numFmtId="0" fontId="0" fillId="37" borderId="14" xfId="0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0" fillId="35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0" borderId="0" xfId="0" applyAlignment="1"/>
    <xf numFmtId="16" fontId="0" fillId="0" borderId="0" xfId="0" applyNumberFormat="1" applyAlignment="1"/>
    <xf numFmtId="0" fontId="0" fillId="0" borderId="0" xfId="0" applyAlignment="1">
      <alignment wrapText="1"/>
    </xf>
    <xf numFmtId="0" fontId="23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</cellXfs>
  <cellStyles count="46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Normal 2" xfId="42" xr:uid="{92A1F830-B990-4BB0-942F-DBCD14D7F07D}"/>
    <cellStyle name="一般" xfId="0" builtinId="0"/>
    <cellStyle name="千分位 2" xfId="43" xr:uid="{B271B9C4-C8B5-44CD-954B-EFAC26586D80}"/>
    <cellStyle name="中等" xfId="8" builtinId="28" customBuiltin="1"/>
    <cellStyle name="合計" xfId="17" builtinId="25" customBuiltin="1"/>
    <cellStyle name="好" xfId="6" builtinId="26" customBuiltin="1"/>
    <cellStyle name="百分比 2" xfId="45" xr:uid="{82F67FEB-446A-48F0-B6C6-DD56891C1462}"/>
    <cellStyle name="計算方式" xfId="11" builtinId="22" customBuiltin="1"/>
    <cellStyle name="貨幣 2" xfId="44" xr:uid="{BB2DA86E-9574-4C1F-81C9-1FC60471740D}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Overall</a:t>
            </a:r>
            <a:r>
              <a:rPr lang="en-US" altLang="zh-TW" baseline="0"/>
              <a:t> Utilization for year 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C8-4B5D-8245-B3A5E9EBD8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C8-4B5D-8245-B3A5E9EBD8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'Y1(Task3)'!$AK$42:$AL$43</c:f>
              <c:strCache>
                <c:ptCount val="2"/>
                <c:pt idx="0">
                  <c:v>Overall utilization</c:v>
                </c:pt>
                <c:pt idx="1">
                  <c:v>1-U</c:v>
                </c:pt>
              </c:strCache>
            </c:strRef>
          </c:cat>
          <c:val>
            <c:numRef>
              <c:f>'Y1(Task3)'!$AM$42:$AM$43</c:f>
              <c:numCache>
                <c:formatCode>0.00%</c:formatCode>
                <c:ptCount val="2"/>
                <c:pt idx="0">
                  <c:v>0.87017616828432465</c:v>
                </c:pt>
                <c:pt idx="1">
                  <c:v>0.12982383171567535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B-4ECF-BFF5-DE8D937EF4C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'Y1(Task3)'!$Z$40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'Y1(Task3)'!$AA$17:$AM$17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'Y1(Task3)'!$AA$40:$AM$40</c:f>
              <c:numCache>
                <c:formatCode>0.00%</c:formatCode>
                <c:ptCount val="13"/>
                <c:pt idx="0">
                  <c:v>0.83821747146139713</c:v>
                </c:pt>
                <c:pt idx="1">
                  <c:v>0.87168955903044876</c:v>
                </c:pt>
                <c:pt idx="2">
                  <c:v>0.82982700892485128</c:v>
                </c:pt>
                <c:pt idx="3">
                  <c:v>0.87973929520262573</c:v>
                </c:pt>
                <c:pt idx="4">
                  <c:v>0.86116119130523971</c:v>
                </c:pt>
                <c:pt idx="5">
                  <c:v>0.8707245054527244</c:v>
                </c:pt>
                <c:pt idx="6">
                  <c:v>0.83803728834077384</c:v>
                </c:pt>
                <c:pt idx="7">
                  <c:v>0.87398938307291674</c:v>
                </c:pt>
                <c:pt idx="8">
                  <c:v>0.86715326048573382</c:v>
                </c:pt>
                <c:pt idx="9">
                  <c:v>0.87470518459179691</c:v>
                </c:pt>
                <c:pt idx="10">
                  <c:v>0.81877503993371215</c:v>
                </c:pt>
                <c:pt idx="11">
                  <c:v>0.87879026438124996</c:v>
                </c:pt>
                <c:pt idx="12">
                  <c:v>0.87990384609505223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2-4A80-9A79-165397374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577439"/>
        <c:axId val="1700579359"/>
      </c:barChart>
      <c:catAx>
        <c:axId val="170057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Function</a:t>
                </a:r>
                <a:r>
                  <a:rPr lang="en-US" altLang="zh-TW" baseline="0"/>
                  <a:t> center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00579359"/>
        <c:crosses val="autoZero"/>
        <c:auto val="1"/>
        <c:lblAlgn val="ctr"/>
        <c:lblOffset val="100"/>
        <c:noMultiLvlLbl val="0"/>
      </c:catAx>
      <c:valAx>
        <c:axId val="170057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Utilization</a:t>
                </a:r>
                <a:r>
                  <a:rPr lang="en-US" altLang="zh-TW" baseline="0"/>
                  <a:t> rate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0057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Utilization for year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'Y2'!$Z$40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'Y2'!$AA$17:$AM$17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'Y2'!$AA$40:$AM$40</c:f>
              <c:numCache>
                <c:formatCode>0.00%</c:formatCode>
                <c:ptCount val="13"/>
                <c:pt idx="0">
                  <c:v>0.87782764528508761</c:v>
                </c:pt>
                <c:pt idx="1">
                  <c:v>0.88190541936063216</c:v>
                </c:pt>
                <c:pt idx="2">
                  <c:v>0.83155664062500001</c:v>
                </c:pt>
                <c:pt idx="3">
                  <c:v>0.87222163318452384</c:v>
                </c:pt>
                <c:pt idx="4">
                  <c:v>0.85997662927350427</c:v>
                </c:pt>
                <c:pt idx="5">
                  <c:v>0.87903323271780309</c:v>
                </c:pt>
                <c:pt idx="6">
                  <c:v>0.85273600260416671</c:v>
                </c:pt>
                <c:pt idx="7">
                  <c:v>0.88134793526785704</c:v>
                </c:pt>
                <c:pt idx="8">
                  <c:v>0.86833581466194976</c:v>
                </c:pt>
                <c:pt idx="9">
                  <c:v>0.88194461899909427</c:v>
                </c:pt>
                <c:pt idx="10">
                  <c:v>0.83811478365384606</c:v>
                </c:pt>
                <c:pt idx="11">
                  <c:v>0.88062865497076037</c:v>
                </c:pt>
                <c:pt idx="12">
                  <c:v>0.88081550045289858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1-43FA-8DFF-8E8737A8C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681200"/>
        <c:axId val="981680240"/>
      </c:barChart>
      <c:catAx>
        <c:axId val="981681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Function</a:t>
                </a:r>
                <a:r>
                  <a:rPr lang="en-US" altLang="zh-TW" baseline="0"/>
                  <a:t> center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81680240"/>
        <c:crosses val="autoZero"/>
        <c:auto val="1"/>
        <c:lblAlgn val="ctr"/>
        <c:lblOffset val="100"/>
        <c:noMultiLvlLbl val="0"/>
      </c:catAx>
      <c:valAx>
        <c:axId val="98168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Utilization</a:t>
                </a:r>
                <a:r>
                  <a:rPr lang="en-US" altLang="zh-TW" baseline="0"/>
                  <a:t> rate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8168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Utilization for year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'Y3'!$Z$40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'Y3'!$AA$17:$AM$17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'Y3'!$AA$40:$AM$40</c:f>
              <c:numCache>
                <c:formatCode>0.00%</c:formatCode>
                <c:ptCount val="13"/>
                <c:pt idx="0">
                  <c:v>0.84246510416666665</c:v>
                </c:pt>
                <c:pt idx="1">
                  <c:v>0.87866323784722222</c:v>
                </c:pt>
                <c:pt idx="2">
                  <c:v>0.83668115234375007</c:v>
                </c:pt>
                <c:pt idx="3">
                  <c:v>0.87856305803571433</c:v>
                </c:pt>
                <c:pt idx="4">
                  <c:v>0.86507545405982911</c:v>
                </c:pt>
                <c:pt idx="5">
                  <c:v>0.86314938446969713</c:v>
                </c:pt>
                <c:pt idx="6">
                  <c:v>0.84598958333333329</c:v>
                </c:pt>
                <c:pt idx="7">
                  <c:v>0.88186896929824565</c:v>
                </c:pt>
                <c:pt idx="8">
                  <c:v>0.88186325668238996</c:v>
                </c:pt>
                <c:pt idx="9">
                  <c:v>0.88090916218637982</c:v>
                </c:pt>
                <c:pt idx="10">
                  <c:v>0.82751081730769238</c:v>
                </c:pt>
                <c:pt idx="11">
                  <c:v>0.86735756532485864</c:v>
                </c:pt>
                <c:pt idx="12">
                  <c:v>0.87449215979609918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2-4FFE-8B84-6E272BCB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5762688"/>
        <c:axId val="1205761728"/>
      </c:barChart>
      <c:catAx>
        <c:axId val="120576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Function</a:t>
                </a:r>
                <a:r>
                  <a:rPr lang="en-US" altLang="zh-TW" baseline="0"/>
                  <a:t> center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05761728"/>
        <c:crosses val="autoZero"/>
        <c:auto val="1"/>
        <c:lblAlgn val="ctr"/>
        <c:lblOffset val="100"/>
        <c:noMultiLvlLbl val="0"/>
      </c:catAx>
      <c:valAx>
        <c:axId val="120576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Utilization rate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0576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Utilization for year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'Y4'!$Z$40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'Y4'!$AA$17:$AM$17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'Y4'!$AA$40:$AM$40</c:f>
              <c:numCache>
                <c:formatCode>0.00%</c:formatCode>
                <c:ptCount val="13"/>
                <c:pt idx="0">
                  <c:v>0.85099394531249994</c:v>
                </c:pt>
                <c:pt idx="1">
                  <c:v>0.87563022933467738</c:v>
                </c:pt>
                <c:pt idx="2">
                  <c:v>0.8418056640624999</c:v>
                </c:pt>
                <c:pt idx="3">
                  <c:v>0.87449384191176471</c:v>
                </c:pt>
                <c:pt idx="4">
                  <c:v>0.87017427884615384</c:v>
                </c:pt>
                <c:pt idx="5">
                  <c:v>0.86696938590116279</c:v>
                </c:pt>
                <c:pt idx="6">
                  <c:v>0.83924316406249977</c:v>
                </c:pt>
                <c:pt idx="7">
                  <c:v>0.86741657838983055</c:v>
                </c:pt>
                <c:pt idx="8">
                  <c:v>0.87880938946759268</c:v>
                </c:pt>
                <c:pt idx="9">
                  <c:v>0.87989573636968099</c:v>
                </c:pt>
                <c:pt idx="10">
                  <c:v>0.81690685096153837</c:v>
                </c:pt>
                <c:pt idx="11">
                  <c:v>0.86920598958333317</c:v>
                </c:pt>
                <c:pt idx="12">
                  <c:v>0.87757368421052617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A-446C-A194-77FF6B847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713248"/>
        <c:axId val="1174714208"/>
      </c:barChart>
      <c:catAx>
        <c:axId val="117471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Function</a:t>
                </a:r>
                <a:r>
                  <a:rPr lang="en-US" altLang="zh-TW" baseline="0"/>
                  <a:t> center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74714208"/>
        <c:crosses val="autoZero"/>
        <c:auto val="1"/>
        <c:lblAlgn val="ctr"/>
        <c:lblOffset val="100"/>
        <c:noMultiLvlLbl val="0"/>
      </c:catAx>
      <c:valAx>
        <c:axId val="117471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Utilization</a:t>
                </a:r>
                <a:r>
                  <a:rPr lang="en-US" altLang="zh-TW" baseline="0"/>
                  <a:t> rate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7471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Utilization for year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'Y5'!$Z$40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'Y5'!$AA$17:$AM$17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'Y5'!$AA$40:$AM$40</c:f>
              <c:numCache>
                <c:formatCode>0.00%</c:formatCode>
                <c:ptCount val="13"/>
                <c:pt idx="0">
                  <c:v>0.84977571614583336</c:v>
                </c:pt>
                <c:pt idx="1">
                  <c:v>0.86996645100911452</c:v>
                </c:pt>
                <c:pt idx="2">
                  <c:v>0.84151513671874989</c:v>
                </c:pt>
                <c:pt idx="3">
                  <c:v>0.87549427083333331</c:v>
                </c:pt>
                <c:pt idx="4">
                  <c:v>0.86564636752136748</c:v>
                </c:pt>
                <c:pt idx="5">
                  <c:v>0.86392314608134924</c:v>
                </c:pt>
                <c:pt idx="6">
                  <c:v>0.87836979166666662</c:v>
                </c:pt>
                <c:pt idx="7">
                  <c:v>0.87845259533898301</c:v>
                </c:pt>
                <c:pt idx="8">
                  <c:v>0.86917161458333336</c:v>
                </c:pt>
                <c:pt idx="9">
                  <c:v>0.88018873282358157</c:v>
                </c:pt>
                <c:pt idx="10">
                  <c:v>0.85785134548611119</c:v>
                </c:pt>
                <c:pt idx="11">
                  <c:v>0.88021566840277776</c:v>
                </c:pt>
                <c:pt idx="12">
                  <c:v>0.87397262912326379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4-4C58-B6D1-3BAE6485F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167456"/>
        <c:axId val="1055168416"/>
      </c:barChart>
      <c:catAx>
        <c:axId val="1055167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Function</a:t>
                </a:r>
                <a:r>
                  <a:rPr lang="en-US" altLang="zh-TW" baseline="0"/>
                  <a:t> center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5168416"/>
        <c:crosses val="autoZero"/>
        <c:auto val="1"/>
        <c:lblAlgn val="ctr"/>
        <c:lblOffset val="100"/>
        <c:noMultiLvlLbl val="0"/>
      </c:catAx>
      <c:valAx>
        <c:axId val="105516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Utilization</a:t>
                </a:r>
                <a:r>
                  <a:rPr lang="en-US" altLang="zh-TW" baseline="0"/>
                  <a:t> rate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516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23970603674540683"/>
          <c:y val="0.17171296296296296"/>
          <c:w val="0.72973840769903764"/>
          <c:h val="0.54959062408865555"/>
        </c:manualLayout>
      </c:layout>
      <c:lineChart>
        <c:grouping val="standard"/>
        <c:varyColors val="0"/>
        <c:ser>
          <c:idx val="5"/>
          <c:order val="5"/>
          <c:tx>
            <c:strRef>
              <c:f>Comparison!$F$1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Comparison!$A$2:$A$5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Comparison!$F$2:$F$5</c:f>
              <c:numCache>
                <c:formatCode>"$"#,##0</c:formatCode>
                <c:ptCount val="4"/>
                <c:pt idx="0">
                  <c:v>241631566.66666666</c:v>
                </c:pt>
                <c:pt idx="1">
                  <c:v>243431266.66666666</c:v>
                </c:pt>
                <c:pt idx="2">
                  <c:v>245875216.66666666</c:v>
                </c:pt>
                <c:pt idx="3">
                  <c:v>246178400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1D-4C26-958D-0CFBF396A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521008"/>
        <c:axId val="15865214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Comparison!$A$1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Comparison!$A$2:$A$5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Comparison!$A$2:$A$5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21D-4C26-958D-0CFBF396AC9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Comparison!$B$1</c15:sqref>
                        </c15:formulaRef>
                      </c:ext>
                    </c:extLst>
                    <c:strCache>
                      <c:ptCount val="1"/>
                      <c:pt idx="0">
                        <c:v>Weekly_Robust_Demand_99p5_Units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Comparison!$B$2:$B$5</c15:sqref>
                        </c15:formulaRef>
                      </c:ext>
                    </c:extLst>
                    <c:numCache>
                      <c:formatCode>#,##0_ </c:formatCode>
                      <c:ptCount val="4"/>
                      <c:pt idx="0">
                        <c:v>333058.77500000002</c:v>
                      </c:pt>
                      <c:pt idx="1">
                        <c:v>336238.15</c:v>
                      </c:pt>
                      <c:pt idx="2">
                        <c:v>339417.52499999997</c:v>
                      </c:pt>
                      <c:pt idx="3">
                        <c:v>339685.77499999997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21D-4C26-958D-0CFBF396AC9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Comparison!$C$1</c15:sqref>
                        </c15:formulaRef>
                      </c:ext>
                    </c:extLst>
                    <c:strCache>
                      <c:ptCount val="1"/>
                      <c:pt idx="0">
                        <c:v>Total Installed cost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Comparison!$C$2:$C$5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18309166.666666668</c:v>
                      </c:pt>
                      <c:pt idx="1">
                        <c:v>18501666.666666664</c:v>
                      </c:pt>
                      <c:pt idx="2">
                        <c:v>18750416.666666668</c:v>
                      </c:pt>
                      <c:pt idx="3">
                        <c:v>18740000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21D-4C26-958D-0CFBF396AC9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Comparison!$D$1</c15:sqref>
                        </c15:formulaRef>
                      </c:ext>
                    </c:extLst>
                    <c:strCache>
                      <c:ptCount val="1"/>
                      <c:pt idx="0">
                        <c:v>Total operator cost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Comparison!$D$2:$D$5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147470400</c:v>
                      </c:pt>
                      <c:pt idx="1">
                        <c:v>149077600</c:v>
                      </c:pt>
                      <c:pt idx="2">
                        <c:v>151272800</c:v>
                      </c:pt>
                      <c:pt idx="3">
                        <c:v>151586400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21D-4C26-958D-0CFBF396AC9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Comparison!$E$1</c15:sqref>
                        </c15:formulaRef>
                      </c:ext>
                    </c:extLst>
                    <c:strCache>
                      <c:ptCount val="1"/>
                      <c:pt idx="0">
                        <c:v>Total Land Fee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Comparison!$E$2:$E$5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75852000</c:v>
                      </c:pt>
                      <c:pt idx="1">
                        <c:v>75852000</c:v>
                      </c:pt>
                      <c:pt idx="2">
                        <c:v>75852000</c:v>
                      </c:pt>
                      <c:pt idx="3">
                        <c:v>75852000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21D-4C26-958D-0CFBF396AC9A}"/>
                  </c:ext>
                </c:extLst>
              </c15:ser>
            </c15:filteredLineSeries>
          </c:ext>
        </c:extLst>
      </c:lineChart>
      <c:catAx>
        <c:axId val="158652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Year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521488"/>
        <c:crosses val="autoZero"/>
        <c:auto val="1"/>
        <c:lblAlgn val="ctr"/>
        <c:lblOffset val="100"/>
        <c:noMultiLvlLbl val="0"/>
      </c:catAx>
      <c:valAx>
        <c:axId val="158652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Total cost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52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20677559055118114"/>
          <c:y val="0.19949074074074077"/>
          <c:w val="0.76266885389326333"/>
          <c:h val="0.52181284631087776"/>
        </c:manualLayout>
      </c:layout>
      <c:lineChart>
        <c:grouping val="standard"/>
        <c:varyColors val="0"/>
        <c:ser>
          <c:idx val="0"/>
          <c:order val="0"/>
          <c:tx>
            <c:strRef>
              <c:f>Comparison!$B$1</c:f>
              <c:strCache>
                <c:ptCount val="1"/>
                <c:pt idx="0">
                  <c:v>Weekly_Robust_Demand_99p5_Units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Comparison!$A$2:$A$5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Comparison!$B$2:$B$5</c:f>
              <c:numCache>
                <c:formatCode>#,##0_ </c:formatCode>
                <c:ptCount val="4"/>
                <c:pt idx="0">
                  <c:v>333058.77500000002</c:v>
                </c:pt>
                <c:pt idx="1">
                  <c:v>336238.15</c:v>
                </c:pt>
                <c:pt idx="2">
                  <c:v>339417.52499999997</c:v>
                </c:pt>
                <c:pt idx="3">
                  <c:v>339685.77499999997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B6-4D32-AD40-D2DF202C8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039952"/>
        <c:axId val="1645039472"/>
      </c:lineChart>
      <c:catAx>
        <c:axId val="164503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Year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5039472"/>
        <c:crosses val="autoZero"/>
        <c:auto val="1"/>
        <c:lblAlgn val="ctr"/>
        <c:lblOffset val="100"/>
        <c:noMultiLvlLbl val="0"/>
      </c:catAx>
      <c:valAx>
        <c:axId val="164503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503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22703937007874014"/>
          <c:y val="0.17171296296296296"/>
          <c:w val="0.73758377077865267"/>
          <c:h val="0.53975320793234183"/>
        </c:manualLayout>
      </c:layout>
      <c:lineChart>
        <c:grouping val="standard"/>
        <c:varyColors val="0"/>
        <c:ser>
          <c:idx val="0"/>
          <c:order val="0"/>
          <c:tx>
            <c:strRef>
              <c:f>Comparison!$C$1</c:f>
              <c:strCache>
                <c:ptCount val="1"/>
                <c:pt idx="0">
                  <c:v>Total Installed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Comparison!$A$2:$A$5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Comparison!$C$2:$C$5</c:f>
              <c:numCache>
                <c:formatCode>"$"#,##0</c:formatCode>
                <c:ptCount val="4"/>
                <c:pt idx="0">
                  <c:v>18309166.666666668</c:v>
                </c:pt>
                <c:pt idx="1">
                  <c:v>18501666.666666664</c:v>
                </c:pt>
                <c:pt idx="2">
                  <c:v>18750416.666666668</c:v>
                </c:pt>
                <c:pt idx="3">
                  <c:v>18740000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0-4CF0-8900-F51452127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9167616"/>
        <c:axId val="1589166176"/>
      </c:lineChart>
      <c:catAx>
        <c:axId val="158916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Year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9166176"/>
        <c:crosses val="autoZero"/>
        <c:auto val="1"/>
        <c:lblAlgn val="ctr"/>
        <c:lblOffset val="100"/>
        <c:noMultiLvlLbl val="0"/>
      </c:catAx>
      <c:valAx>
        <c:axId val="15891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Total</a:t>
                </a:r>
                <a:r>
                  <a:rPr lang="en-US" altLang="zh-TW" baseline="0"/>
                  <a:t> installed cost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TW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916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851202974628173"/>
          <c:y val="0.87318241469816271"/>
          <c:w val="0.27142177706005644"/>
          <c:h val="7.86477146496478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24191426071741032"/>
          <c:y val="0.17171296296296296"/>
          <c:w val="0.73230621172353461"/>
          <c:h val="0.54996172353455819"/>
        </c:manualLayout>
      </c:layout>
      <c:lineChart>
        <c:grouping val="standard"/>
        <c:varyColors val="0"/>
        <c:ser>
          <c:idx val="0"/>
          <c:order val="0"/>
          <c:tx>
            <c:strRef>
              <c:f>Comparison!$D$1</c:f>
              <c:strCache>
                <c:ptCount val="1"/>
                <c:pt idx="0">
                  <c:v>Total operator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Comparison!$A$2:$A$5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Comparison!$D$2:$D$5</c:f>
              <c:numCache>
                <c:formatCode>"$"#,##0</c:formatCode>
                <c:ptCount val="4"/>
                <c:pt idx="0">
                  <c:v>147470400</c:v>
                </c:pt>
                <c:pt idx="1">
                  <c:v>149077600</c:v>
                </c:pt>
                <c:pt idx="2">
                  <c:v>151272800</c:v>
                </c:pt>
                <c:pt idx="3">
                  <c:v>151586400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8-40CE-931C-CB8AB7E90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880384"/>
        <c:axId val="1913881344"/>
      </c:lineChart>
      <c:catAx>
        <c:axId val="191388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Year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881344"/>
        <c:crosses val="autoZero"/>
        <c:auto val="1"/>
        <c:lblAlgn val="ctr"/>
        <c:lblOffset val="100"/>
        <c:noMultiLvlLbl val="0"/>
      </c:catAx>
      <c:valAx>
        <c:axId val="191388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Total</a:t>
                </a:r>
                <a:r>
                  <a:rPr lang="en-US" altLang="zh-TW" baseline="0"/>
                  <a:t> operator cost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8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9644269466316712"/>
          <c:y val="0.88707130358705144"/>
          <c:w val="0.26917353582105874"/>
          <c:h val="7.86477146496478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# of</a:t>
            </a:r>
            <a:r>
              <a:rPr lang="en-US" altLang="zh-TW" baseline="0"/>
              <a:t> machines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129753819815686E-2"/>
          <c:y val="8.7620994885376474E-2"/>
          <c:w val="0.94138593754309752"/>
          <c:h val="0.79621247986436228"/>
        </c:manualLayout>
      </c:layout>
      <c:lineChart>
        <c:grouping val="standard"/>
        <c:varyColors val="0"/>
        <c:ser>
          <c:idx val="1"/>
          <c:order val="1"/>
          <c:tx>
            <c:strRef>
              <c:f>Comparison!$B$37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Comparison!$B$38:$B$41</c:f>
              <c:numCache>
                <c:formatCode>General</c:formatCode>
                <c:ptCount val="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2-437A-978F-B044CAB4EDC9}"/>
            </c:ext>
          </c:extLst>
        </c:ser>
        <c:ser>
          <c:idx val="2"/>
          <c:order val="2"/>
          <c:tx>
            <c:strRef>
              <c:f>Comparison!$C$37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Comparison!$C$38:$C$41</c:f>
              <c:numCache>
                <c:formatCode>General</c:formatCode>
                <c:ptCount val="4"/>
                <c:pt idx="0">
                  <c:v>58</c:v>
                </c:pt>
                <c:pt idx="1">
                  <c:v>60</c:v>
                </c:pt>
                <c:pt idx="2">
                  <c:v>62</c:v>
                </c:pt>
                <c:pt idx="3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12-437A-978F-B044CAB4EDC9}"/>
            </c:ext>
          </c:extLst>
        </c:ser>
        <c:ser>
          <c:idx val="3"/>
          <c:order val="3"/>
          <c:tx>
            <c:strRef>
              <c:f>Comparison!$D$37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Comparison!$D$38:$D$41</c:f>
              <c:numCache>
                <c:formatCode>General</c:formatCode>
                <c:ptCount val="4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12-437A-978F-B044CAB4EDC9}"/>
            </c:ext>
          </c:extLst>
        </c:ser>
        <c:ser>
          <c:idx val="4"/>
          <c:order val="4"/>
          <c:tx>
            <c:strRef>
              <c:f>Comparison!$E$37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Comparison!$E$38:$E$41</c:f>
              <c:numCache>
                <c:formatCode>General</c:formatCode>
                <c:ptCount val="4"/>
                <c:pt idx="0">
                  <c:v>84</c:v>
                </c:pt>
                <c:pt idx="1">
                  <c:v>84</c:v>
                </c:pt>
                <c:pt idx="2">
                  <c:v>85</c:v>
                </c:pt>
                <c:pt idx="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12-437A-978F-B044CAB4EDC9}"/>
            </c:ext>
          </c:extLst>
        </c:ser>
        <c:ser>
          <c:idx val="5"/>
          <c:order val="5"/>
          <c:tx>
            <c:strRef>
              <c:f>Comparison!$F$37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Comparison!$F$38:$F$41</c:f>
              <c:numCache>
                <c:formatCode>General</c:formatCode>
                <c:ptCount val="4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12-437A-978F-B044CAB4EDC9}"/>
            </c:ext>
          </c:extLst>
        </c:ser>
        <c:ser>
          <c:idx val="6"/>
          <c:order val="6"/>
          <c:tx>
            <c:strRef>
              <c:f>Comparison!$G$37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Comparison!$G$38:$G$41</c:f>
              <c:numCache>
                <c:formatCode>General</c:formatCode>
                <c:ptCount val="4"/>
                <c:pt idx="0">
                  <c:v>44</c:v>
                </c:pt>
                <c:pt idx="1">
                  <c:v>44</c:v>
                </c:pt>
                <c:pt idx="2">
                  <c:v>43</c:v>
                </c:pt>
                <c:pt idx="3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12-437A-978F-B044CAB4EDC9}"/>
            </c:ext>
          </c:extLst>
        </c:ser>
        <c:ser>
          <c:idx val="7"/>
          <c:order val="7"/>
          <c:tx>
            <c:strRef>
              <c:f>Comparison!$H$37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Comparison!$H$38:$H$41</c:f>
              <c:numCache>
                <c:formatCode>General</c:formatCode>
                <c:ptCount val="4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12-437A-978F-B044CAB4EDC9}"/>
            </c:ext>
          </c:extLst>
        </c:ser>
        <c:ser>
          <c:idx val="8"/>
          <c:order val="8"/>
          <c:tx>
            <c:strRef>
              <c:f>Comparison!$I$37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Comparison!$I$38:$I$41</c:f>
              <c:numCache>
                <c:formatCode>General</c:formatCode>
                <c:ptCount val="4"/>
                <c:pt idx="0">
                  <c:v>56</c:v>
                </c:pt>
                <c:pt idx="1">
                  <c:v>57</c:v>
                </c:pt>
                <c:pt idx="2">
                  <c:v>59</c:v>
                </c:pt>
                <c:pt idx="3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12-437A-978F-B044CAB4EDC9}"/>
            </c:ext>
          </c:extLst>
        </c:ser>
        <c:ser>
          <c:idx val="9"/>
          <c:order val="9"/>
          <c:tx>
            <c:strRef>
              <c:f>Comparison!$J$37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Comparison!$J$38:$J$41</c:f>
              <c:numCache>
                <c:formatCode>General</c:formatCode>
                <c:ptCount val="4"/>
                <c:pt idx="0">
                  <c:v>53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12-437A-978F-B044CAB4EDC9}"/>
            </c:ext>
          </c:extLst>
        </c:ser>
        <c:ser>
          <c:idx val="10"/>
          <c:order val="10"/>
          <c:tx>
            <c:strRef>
              <c:f>Comparison!$K$37</c:f>
              <c:strCache>
                <c:ptCount val="1"/>
                <c:pt idx="0">
                  <c:v>J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Comparison!$K$38:$K$41</c:f>
              <c:numCache>
                <c:formatCode>General</c:formatCode>
                <c:ptCount val="4"/>
                <c:pt idx="0">
                  <c:v>92</c:v>
                </c:pt>
                <c:pt idx="1">
                  <c:v>93</c:v>
                </c:pt>
                <c:pt idx="2">
                  <c:v>94</c:v>
                </c:pt>
                <c:pt idx="3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12-437A-978F-B044CAB4EDC9}"/>
            </c:ext>
          </c:extLst>
        </c:ser>
        <c:ser>
          <c:idx val="11"/>
          <c:order val="11"/>
          <c:tx>
            <c:strRef>
              <c:f>Comparison!$L$37</c:f>
              <c:strCache>
                <c:ptCount val="1"/>
                <c:pt idx="0">
                  <c:v>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Comparison!$L$38:$L$41</c:f>
              <c:numCache>
                <c:formatCode>General</c:formatCode>
                <c:ptCount val="4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C12-437A-978F-B044CAB4EDC9}"/>
            </c:ext>
          </c:extLst>
        </c:ser>
        <c:ser>
          <c:idx val="12"/>
          <c:order val="12"/>
          <c:tx>
            <c:strRef>
              <c:f>Comparison!$M$37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Comparison!$M$38:$M$41</c:f>
              <c:numCache>
                <c:formatCode>General</c:formatCode>
                <c:ptCount val="4"/>
                <c:pt idx="0">
                  <c:v>57</c:v>
                </c:pt>
                <c:pt idx="1">
                  <c:v>59</c:v>
                </c:pt>
                <c:pt idx="2">
                  <c:v>60</c:v>
                </c:pt>
                <c:pt idx="3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12-437A-978F-B044CAB4EDC9}"/>
            </c:ext>
          </c:extLst>
        </c:ser>
        <c:ser>
          <c:idx val="13"/>
          <c:order val="13"/>
          <c:tx>
            <c:strRef>
              <c:f>Comparison!$N$37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Comparison!$A$38:$A$41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Comparison!$N$38:$N$41</c:f>
              <c:numCache>
                <c:formatCode>General</c:formatCode>
                <c:ptCount val="4"/>
                <c:pt idx="0">
                  <c:v>92</c:v>
                </c:pt>
                <c:pt idx="1">
                  <c:v>94</c:v>
                </c:pt>
                <c:pt idx="2">
                  <c:v>95</c:v>
                </c:pt>
                <c:pt idx="3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C12-437A-978F-B044CAB4E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832896"/>
        <c:axId val="1590830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Comparison!$A$37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Comparison!$A$38:$A$41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Comparison!$A$38:$A$41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C12-437A-978F-B044CAB4EDC9}"/>
                  </c:ext>
                </c:extLst>
              </c15:ser>
            </c15:filteredLineSeries>
          </c:ext>
        </c:extLst>
      </c:lineChart>
      <c:catAx>
        <c:axId val="15908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0830496"/>
        <c:crosses val="autoZero"/>
        <c:auto val="1"/>
        <c:lblAlgn val="ctr"/>
        <c:lblOffset val="100"/>
        <c:noMultiLvlLbl val="0"/>
      </c:catAx>
      <c:valAx>
        <c:axId val="1590830496"/>
        <c:scaling>
          <c:orientation val="minMax"/>
          <c:max val="102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08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000"/>
              <a:t>Number of new machines for group A-B-C-D</a:t>
            </a:r>
            <a:endParaRPr lang="zh-TW" altLang="en-US" sz="2000"/>
          </a:p>
        </c:rich>
      </c:tx>
      <c:layout>
        <c:manualLayout>
          <c:xMode val="edge"/>
          <c:yMode val="edge"/>
          <c:x val="0.2233232437700427"/>
          <c:y val="4.37734098533357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94175587624019E-2"/>
          <c:y val="0.14011363650187397"/>
          <c:w val="0.91319574365650014"/>
          <c:h val="0.68685670422515788"/>
        </c:manualLayout>
      </c:layout>
      <c:lineChart>
        <c:grouping val="standard"/>
        <c:varyColors val="0"/>
        <c:ser>
          <c:idx val="1"/>
          <c:order val="1"/>
          <c:tx>
            <c:strRef>
              <c:f>Comparison!$B$44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Comparison!$B$45:$B$48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D-4AD8-938B-5A3D034B0486}"/>
            </c:ext>
          </c:extLst>
        </c:ser>
        <c:ser>
          <c:idx val="2"/>
          <c:order val="2"/>
          <c:tx>
            <c:strRef>
              <c:f>Comparison!$C$44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Comparison!$C$45:$C$48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3D-4AD8-938B-5A3D034B0486}"/>
            </c:ext>
          </c:extLst>
        </c:ser>
        <c:ser>
          <c:idx val="3"/>
          <c:order val="3"/>
          <c:tx>
            <c:strRef>
              <c:f>Comparison!$D$44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Comparison!$D$45:$D$48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3D-4AD8-938B-5A3D034B0486}"/>
            </c:ext>
          </c:extLst>
        </c:ser>
        <c:ser>
          <c:idx val="4"/>
          <c:order val="4"/>
          <c:tx>
            <c:strRef>
              <c:f>Comparison!$E$44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Comparison!$E$45:$E$48</c:f>
              <c:numCache>
                <c:formatCode>General</c:formatCode>
                <c:ptCount val="4"/>
                <c:pt idx="0">
                  <c:v>11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3D-4AD8-938B-5A3D034B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200832"/>
        <c:axId val="1900249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Comparison!$A$44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3D-4AD8-938B-5A3D034B048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Comparison!$F$44</c15:sqref>
                        </c15:formulaRef>
                      </c:ext>
                    </c:extLst>
                    <c:strCache>
                      <c:ptCount val="1"/>
                      <c:pt idx="0">
                        <c:v>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Comparison!$F$45:$F$48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73D-4AD8-938B-5A3D034B048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Comparison!$G$44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Comparison!$G$45:$G$48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</c:v>
                      </c:pt>
                      <c:pt idx="1">
                        <c:v>0</c:v>
                      </c:pt>
                      <c:pt idx="2">
                        <c:v>-1</c:v>
                      </c:pt>
                      <c:pt idx="3">
                        <c:v>-1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73D-4AD8-938B-5A3D034B048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Comparison!$H$44</c15:sqref>
                        </c15:formulaRef>
                      </c:ext>
                    </c:extLst>
                    <c:strCache>
                      <c:ptCount val="1"/>
                      <c:pt idx="0">
                        <c:v>G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Comparison!$H$45:$H$48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73D-4AD8-938B-5A3D034B048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Comparison!$I$44</c15:sqref>
                        </c15:formulaRef>
                      </c:ext>
                    </c:extLst>
                    <c:strCache>
                      <c:ptCount val="1"/>
                      <c:pt idx="0">
                        <c:v>H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Comparison!$I$45:$I$48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73D-4AD8-938B-5A3D034B048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Comparison!$J$44</c15:sqref>
                        </c15:formulaRef>
                      </c:ext>
                    </c:extLst>
                    <c:strCache>
                      <c:ptCount val="1"/>
                      <c:pt idx="0">
                        <c:v>I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Comparison!$J$45:$J$48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73D-4AD8-938B-5A3D034B048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Comparison!$K$44</c15:sqref>
                        </c15:formulaRef>
                      </c:ext>
                    </c:extLst>
                    <c:strCache>
                      <c:ptCount val="1"/>
                      <c:pt idx="0">
                        <c:v>J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Comparison!$K$45:$K$48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73D-4AD8-938B-5A3D034B0486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Comparison!$L$44</c15:sqref>
                        </c15:formulaRef>
                      </c:ext>
                    </c:extLst>
                    <c:strCache>
                      <c:ptCount val="1"/>
                      <c:pt idx="0">
                        <c:v>K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Comparison!$L$45:$L$48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73D-4AD8-938B-5A3D034B0486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Comparison!$M$44</c15:sqref>
                        </c15:formulaRef>
                      </c:ext>
                    </c:extLst>
                    <c:strCache>
                      <c:ptCount val="1"/>
                      <c:pt idx="0">
                        <c:v>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Comparison!$M$45:$M$48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73D-4AD8-938B-5A3D034B0486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Comparison!$N$44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Comparison!$N$45:$N$48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12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73D-4AD8-938B-5A3D034B0486}"/>
                  </c:ext>
                </c:extLst>
              </c15:ser>
            </c15:filteredLineSeries>
          </c:ext>
        </c:extLst>
      </c:lineChart>
      <c:catAx>
        <c:axId val="169720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Year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8600070079936958"/>
              <c:y val="0.8772432868968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0249792"/>
        <c:crosses val="autoZero"/>
        <c:auto val="1"/>
        <c:lblAlgn val="ctr"/>
        <c:lblOffset val="100"/>
        <c:noMultiLvlLbl val="0"/>
      </c:catAx>
      <c:valAx>
        <c:axId val="19002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#</a:t>
                </a:r>
                <a:r>
                  <a:rPr lang="en-US" altLang="zh-TW" baseline="0"/>
                  <a:t> of new machines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72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000"/>
              <a:t>Number of new machines for group E-F-G</a:t>
            </a:r>
            <a:endParaRPr lang="zh-TW" altLang="en-US" sz="2000"/>
          </a:p>
        </c:rich>
      </c:tx>
      <c:layout>
        <c:manualLayout>
          <c:xMode val="edge"/>
          <c:yMode val="edge"/>
          <c:x val="0.2233232437700427"/>
          <c:y val="4.377340985333576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794175587624019E-2"/>
          <c:y val="0.14011363650187397"/>
          <c:w val="0.91319574365650014"/>
          <c:h val="0.68685670422515788"/>
        </c:manualLayout>
      </c:layout>
      <c:lineChart>
        <c:grouping val="standard"/>
        <c:varyColors val="0"/>
        <c:ser>
          <c:idx val="5"/>
          <c:order val="5"/>
          <c:tx>
            <c:strRef>
              <c:f>Comparison!$F$44</c:f>
              <c:strCache>
                <c:ptCount val="1"/>
                <c:pt idx="0">
                  <c:v>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  <c:extLst xmlns:c15="http://schemas.microsoft.com/office/drawing/2012/chart"/>
            </c:numRef>
          </c:cat>
          <c:val>
            <c:numRef>
              <c:f>Comparison!$F$45:$F$48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33-184D-4B5B-8A32-75E03B802D3C}"/>
            </c:ext>
          </c:extLst>
        </c:ser>
        <c:ser>
          <c:idx val="6"/>
          <c:order val="6"/>
          <c:tx>
            <c:strRef>
              <c:f>Comparison!$G$44</c:f>
              <c:strCache>
                <c:ptCount val="1"/>
                <c:pt idx="0">
                  <c:v>F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  <c:extLst xmlns:c15="http://schemas.microsoft.com/office/drawing/2012/chart"/>
            </c:numRef>
          </c:cat>
          <c:val>
            <c:numRef>
              <c:f>Comparison!$G$45:$G$48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-1</c:v>
                </c:pt>
                <c:pt idx="3">
                  <c:v>-1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35-184D-4B5B-8A32-75E03B802D3C}"/>
            </c:ext>
          </c:extLst>
        </c:ser>
        <c:ser>
          <c:idx val="7"/>
          <c:order val="7"/>
          <c:tx>
            <c:strRef>
              <c:f>Comparison!$H$44</c:f>
              <c:strCache>
                <c:ptCount val="1"/>
                <c:pt idx="0">
                  <c:v>G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  <c:extLst xmlns:c15="http://schemas.microsoft.com/office/drawing/2012/chart"/>
            </c:numRef>
          </c:cat>
          <c:val>
            <c:numRef>
              <c:f>Comparison!$H$45:$H$48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-1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37-184D-4B5B-8A32-75E03B80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200832"/>
        <c:axId val="1900249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Comparison!$A$44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1-184D-4B5B-8A32-75E03B802D3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Comparison!$B$44</c15:sqref>
                        </c15:formulaRef>
                      </c:ext>
                    </c:extLst>
                    <c:strCache>
                      <c:ptCount val="1"/>
                      <c:pt idx="0">
                        <c:v>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Comparison!$B$45:$B$48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184D-4B5B-8A32-75E03B802D3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Comparison!$C$44</c15:sqref>
                        </c15:formulaRef>
                      </c:ext>
                    </c:extLst>
                    <c:strCache>
                      <c:ptCount val="1"/>
                      <c:pt idx="0">
                        <c:v>B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Comparison!$C$45:$C$48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184D-4B5B-8A32-75E03B802D3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Comparison!$D$44</c15:sqref>
                        </c15:formulaRef>
                      </c:ext>
                    </c:extLst>
                    <c:strCache>
                      <c:ptCount val="1"/>
                      <c:pt idx="0">
                        <c:v>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Comparison!$D$45:$D$48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184D-4B5B-8A32-75E03B802D3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Comparison!$E$44</c15:sqref>
                        </c15:formulaRef>
                      </c:ext>
                    </c:extLst>
                    <c:strCache>
                      <c:ptCount val="1"/>
                      <c:pt idx="0">
                        <c:v>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Comparison!$E$45:$E$48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184D-4B5B-8A32-75E03B802D3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Comparison!$I$44</c15:sqref>
                        </c15:formulaRef>
                      </c:ext>
                    </c:extLst>
                    <c:strCache>
                      <c:ptCount val="1"/>
                      <c:pt idx="0">
                        <c:v>H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Comparison!$I$45:$I$48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184D-4B5B-8A32-75E03B802D3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Comparison!$J$44</c15:sqref>
                        </c15:formulaRef>
                      </c:ext>
                    </c:extLst>
                    <c:strCache>
                      <c:ptCount val="1"/>
                      <c:pt idx="0">
                        <c:v>I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Comparison!$J$45:$J$48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184D-4B5B-8A32-75E03B802D3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Comparison!$K$44</c15:sqref>
                        </c15:formulaRef>
                      </c:ext>
                    </c:extLst>
                    <c:strCache>
                      <c:ptCount val="1"/>
                      <c:pt idx="0">
                        <c:v>J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Comparison!$K$45:$K$48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184D-4B5B-8A32-75E03B802D3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Comparison!$L$44</c15:sqref>
                        </c15:formulaRef>
                      </c:ext>
                    </c:extLst>
                    <c:strCache>
                      <c:ptCount val="1"/>
                      <c:pt idx="0">
                        <c:v>K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Comparison!$L$45:$L$48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184D-4B5B-8A32-75E03B802D3C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Comparison!$M$44</c15:sqref>
                        </c15:formulaRef>
                      </c:ext>
                    </c:extLst>
                    <c:strCache>
                      <c:ptCount val="1"/>
                      <c:pt idx="0">
                        <c:v>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Comparison!$M$45:$M$48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184D-4B5B-8A32-75E03B802D3C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Comparison!$N$44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Comparison!$N$45:$N$48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12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3-184D-4B5B-8A32-75E03B802D3C}"/>
                  </c:ext>
                </c:extLst>
              </c15:ser>
            </c15:filteredLineSeries>
          </c:ext>
        </c:extLst>
      </c:lineChart>
      <c:catAx>
        <c:axId val="169720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Year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8600070079936958"/>
              <c:y val="0.877243286896830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0249792"/>
        <c:crosses val="autoZero"/>
        <c:auto val="1"/>
        <c:lblAlgn val="ctr"/>
        <c:lblOffset val="100"/>
        <c:noMultiLvlLbl val="0"/>
      </c:catAx>
      <c:valAx>
        <c:axId val="19002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#</a:t>
                </a:r>
                <a:r>
                  <a:rPr lang="en-US" altLang="zh-TW" baseline="0"/>
                  <a:t> of new machines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720083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000"/>
              <a:t>Number of new machines for group H-I-J</a:t>
            </a:r>
            <a:endParaRPr lang="zh-TW" altLang="en-US" sz="2000"/>
          </a:p>
        </c:rich>
      </c:tx>
      <c:layout>
        <c:manualLayout>
          <c:xMode val="edge"/>
          <c:yMode val="edge"/>
          <c:x val="0.2233232437700427"/>
          <c:y val="4.377340985333576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794175587624019E-2"/>
          <c:y val="0.14011363650187397"/>
          <c:w val="0.91319574365650014"/>
          <c:h val="0.68685670422515788"/>
        </c:manualLayout>
      </c:layout>
      <c:lineChart>
        <c:grouping val="standard"/>
        <c:varyColors val="0"/>
        <c:ser>
          <c:idx val="8"/>
          <c:order val="8"/>
          <c:tx>
            <c:strRef>
              <c:f>Comparison!$I$44</c:f>
              <c:strCache>
                <c:ptCount val="1"/>
                <c:pt idx="0">
                  <c:v>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  <c:extLst xmlns:c15="http://schemas.microsoft.com/office/drawing/2012/chart"/>
            </c:numRef>
          </c:cat>
          <c:val>
            <c:numRef>
              <c:f>Comparison!$I$45:$I$48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2D-9B3C-4B31-A694-5C955253A33D}"/>
            </c:ext>
          </c:extLst>
        </c:ser>
        <c:ser>
          <c:idx val="9"/>
          <c:order val="9"/>
          <c:tx>
            <c:strRef>
              <c:f>Comparison!$J$44</c:f>
              <c:strCache>
                <c:ptCount val="1"/>
                <c:pt idx="0">
                  <c:v>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  <c:extLst xmlns:c15="http://schemas.microsoft.com/office/drawing/2012/chart"/>
            </c:numRef>
          </c:cat>
          <c:val>
            <c:numRef>
              <c:f>Comparison!$J$45:$J$48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2F-9B3C-4B31-A694-5C955253A33D}"/>
            </c:ext>
          </c:extLst>
        </c:ser>
        <c:ser>
          <c:idx val="10"/>
          <c:order val="10"/>
          <c:tx>
            <c:strRef>
              <c:f>Comparison!$K$44</c:f>
              <c:strCache>
                <c:ptCount val="1"/>
                <c:pt idx="0">
                  <c:v>J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  <c:extLst xmlns:c15="http://schemas.microsoft.com/office/drawing/2012/chart"/>
            </c:numRef>
          </c:cat>
          <c:val>
            <c:numRef>
              <c:f>Comparison!$K$45:$K$48</c:f>
              <c:numCache>
                <c:formatCode>General</c:formatCode>
                <c:ptCount val="4"/>
                <c:pt idx="0">
                  <c:v>12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31-9B3C-4B31-A694-5C955253A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200832"/>
        <c:axId val="1900249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Comparison!$A$44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5-9B3C-4B31-A694-5C955253A33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Comparison!$B$44</c15:sqref>
                        </c15:formulaRef>
                      </c:ext>
                    </c:extLst>
                    <c:strCache>
                      <c:ptCount val="1"/>
                      <c:pt idx="0">
                        <c:v>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Comparison!$B$45:$B$48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9B3C-4B31-A694-5C955253A33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Comparison!$C$44</c15:sqref>
                        </c15:formulaRef>
                      </c:ext>
                    </c:extLst>
                    <c:strCache>
                      <c:ptCount val="1"/>
                      <c:pt idx="0">
                        <c:v>B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Comparison!$C$45:$C$48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9B3C-4B31-A694-5C955253A33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Comparison!$D$44</c15:sqref>
                        </c15:formulaRef>
                      </c:ext>
                    </c:extLst>
                    <c:strCache>
                      <c:ptCount val="1"/>
                      <c:pt idx="0">
                        <c:v>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Comparison!$D$45:$D$48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9B3C-4B31-A694-5C955253A33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Comparison!$E$44</c15:sqref>
                        </c15:formulaRef>
                      </c:ext>
                    </c:extLst>
                    <c:strCache>
                      <c:ptCount val="1"/>
                      <c:pt idx="0">
                        <c:v>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Comparison!$E$45:$E$48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9B3C-4B31-A694-5C955253A33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Comparison!$F$44</c15:sqref>
                        </c15:formulaRef>
                      </c:ext>
                    </c:extLst>
                    <c:strCache>
                      <c:ptCount val="1"/>
                      <c:pt idx="0">
                        <c:v>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Comparison!$F$45:$F$48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9B3C-4B31-A694-5C955253A33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Comparison!$G$44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Comparison!$G$45:$G$48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</c:v>
                      </c:pt>
                      <c:pt idx="1">
                        <c:v>0</c:v>
                      </c:pt>
                      <c:pt idx="2">
                        <c:v>-1</c:v>
                      </c:pt>
                      <c:pt idx="3">
                        <c:v>-1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9B3C-4B31-A694-5C955253A33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Comparison!$H$44</c15:sqref>
                        </c15:formulaRef>
                      </c:ext>
                    </c:extLst>
                    <c:strCache>
                      <c:ptCount val="1"/>
                      <c:pt idx="0">
                        <c:v>G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Comparison!$H$45:$H$48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9B3C-4B31-A694-5C955253A33D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Comparison!$L$44</c15:sqref>
                        </c15:formulaRef>
                      </c:ext>
                    </c:extLst>
                    <c:strCache>
                      <c:ptCount val="1"/>
                      <c:pt idx="0">
                        <c:v>K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Comparison!$L$45:$L$48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9B3C-4B31-A694-5C955253A33D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Comparison!$M$44</c15:sqref>
                        </c15:formulaRef>
                      </c:ext>
                    </c:extLst>
                    <c:strCache>
                      <c:ptCount val="1"/>
                      <c:pt idx="0">
                        <c:v>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Comparison!$M$45:$M$48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9B3C-4B31-A694-5C955253A33D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Comparison!$N$44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Comparison!$N$45:$N$48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12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9B3C-4B31-A694-5C955253A33D}"/>
                  </c:ext>
                </c:extLst>
              </c15:ser>
            </c15:filteredLineSeries>
          </c:ext>
        </c:extLst>
      </c:lineChart>
      <c:catAx>
        <c:axId val="169720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Year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8600070079936958"/>
              <c:y val="0.877243286896830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0249792"/>
        <c:crosses val="autoZero"/>
        <c:auto val="1"/>
        <c:lblAlgn val="ctr"/>
        <c:lblOffset val="100"/>
        <c:noMultiLvlLbl val="0"/>
      </c:catAx>
      <c:valAx>
        <c:axId val="19002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#</a:t>
                </a:r>
                <a:r>
                  <a:rPr lang="en-US" altLang="zh-TW" baseline="0"/>
                  <a:t> of new machines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720083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000"/>
              <a:t>Number of new machines for group K-L-M</a:t>
            </a:r>
            <a:endParaRPr lang="zh-TW" altLang="en-US" sz="2000"/>
          </a:p>
        </c:rich>
      </c:tx>
      <c:layout>
        <c:manualLayout>
          <c:xMode val="edge"/>
          <c:yMode val="edge"/>
          <c:x val="0.2233232437700427"/>
          <c:y val="4.377340985333576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794175587624019E-2"/>
          <c:y val="0.14011363650187397"/>
          <c:w val="0.91319574365650014"/>
          <c:h val="0.68685670422515788"/>
        </c:manualLayout>
      </c:layout>
      <c:lineChart>
        <c:grouping val="standard"/>
        <c:varyColors val="0"/>
        <c:ser>
          <c:idx val="11"/>
          <c:order val="11"/>
          <c:tx>
            <c:strRef>
              <c:f>Comparison!$L$44</c:f>
              <c:strCache>
                <c:ptCount val="1"/>
                <c:pt idx="0">
                  <c:v>K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  <c:extLst xmlns:c15="http://schemas.microsoft.com/office/drawing/2012/chart"/>
            </c:numRef>
          </c:cat>
          <c:val>
            <c:numRef>
              <c:f>Comparison!$L$45:$L$48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-1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17-CD77-4244-B1D7-ADBF2C673920}"/>
            </c:ext>
          </c:extLst>
        </c:ser>
        <c:ser>
          <c:idx val="12"/>
          <c:order val="12"/>
          <c:tx>
            <c:strRef>
              <c:f>Comparison!$M$44</c:f>
              <c:strCache>
                <c:ptCount val="1"/>
                <c:pt idx="0">
                  <c:v>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  <c:extLst xmlns:c15="http://schemas.microsoft.com/office/drawing/2012/chart"/>
            </c:numRef>
          </c:cat>
          <c:val>
            <c:numRef>
              <c:f>Comparison!$M$45:$M$48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19-CD77-4244-B1D7-ADBF2C673920}"/>
            </c:ext>
          </c:extLst>
        </c:ser>
        <c:ser>
          <c:idx val="13"/>
          <c:order val="13"/>
          <c:tx>
            <c:strRef>
              <c:f>Comparison!$N$44</c:f>
              <c:strCache>
                <c:ptCount val="1"/>
                <c:pt idx="0">
                  <c:v>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  <c:extLst xmlns:c15="http://schemas.microsoft.com/office/drawing/2012/chart"/>
            </c:numRef>
          </c:cat>
          <c:val>
            <c:numRef>
              <c:f>Comparison!$N$45:$N$48</c:f>
              <c:numCache>
                <c:formatCode>General</c:formatCode>
                <c:ptCount val="4"/>
                <c:pt idx="0">
                  <c:v>12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1B-CD77-4244-B1D7-ADBF2C673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200832"/>
        <c:axId val="1900249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Comparison!$A$44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CD77-4244-B1D7-ADBF2C67392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Comparison!$B$44</c15:sqref>
                        </c15:formulaRef>
                      </c:ext>
                    </c:extLst>
                    <c:strCache>
                      <c:ptCount val="1"/>
                      <c:pt idx="0">
                        <c:v>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Comparison!$B$45:$B$48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D77-4244-B1D7-ADBF2C67392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Comparison!$C$44</c15:sqref>
                        </c15:formulaRef>
                      </c:ext>
                    </c:extLst>
                    <c:strCache>
                      <c:ptCount val="1"/>
                      <c:pt idx="0">
                        <c:v>B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Comparison!$C$45:$C$48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D77-4244-B1D7-ADBF2C6739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Comparison!$D$44</c15:sqref>
                        </c15:formulaRef>
                      </c:ext>
                    </c:extLst>
                    <c:strCache>
                      <c:ptCount val="1"/>
                      <c:pt idx="0">
                        <c:v>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Comparison!$D$45:$D$48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D77-4244-B1D7-ADBF2C67392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Comparison!$E$44</c15:sqref>
                        </c15:formulaRef>
                      </c:ext>
                    </c:extLst>
                    <c:strCache>
                      <c:ptCount val="1"/>
                      <c:pt idx="0">
                        <c:v>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Comparison!$E$45:$E$48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D77-4244-B1D7-ADBF2C67392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Comparison!$F$44</c15:sqref>
                        </c15:formulaRef>
                      </c:ext>
                    </c:extLst>
                    <c:strCache>
                      <c:ptCount val="1"/>
                      <c:pt idx="0">
                        <c:v>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Comparison!$F$45:$F$48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D77-4244-B1D7-ADBF2C67392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Comparison!$G$44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Comparison!$G$45:$G$48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</c:v>
                      </c:pt>
                      <c:pt idx="1">
                        <c:v>0</c:v>
                      </c:pt>
                      <c:pt idx="2">
                        <c:v>-1</c:v>
                      </c:pt>
                      <c:pt idx="3">
                        <c:v>-1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D77-4244-B1D7-ADBF2C67392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Comparison!$H$44</c15:sqref>
                        </c15:formulaRef>
                      </c:ext>
                    </c:extLst>
                    <c:strCache>
                      <c:ptCount val="1"/>
                      <c:pt idx="0">
                        <c:v>G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Comparison!$H$45:$H$48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D77-4244-B1D7-ADBF2C67392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Comparison!$I$44</c15:sqref>
                        </c15:formulaRef>
                      </c:ext>
                    </c:extLst>
                    <c:strCache>
                      <c:ptCount val="1"/>
                      <c:pt idx="0">
                        <c:v>H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Comparison!$I$45:$I$48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D77-4244-B1D7-ADBF2C67392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Comparison!$J$44</c15:sqref>
                        </c15:formulaRef>
                      </c:ext>
                    </c:extLst>
                    <c:strCache>
                      <c:ptCount val="1"/>
                      <c:pt idx="0">
                        <c:v>I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Comparison!$J$45:$J$48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D77-4244-B1D7-ADBF2C67392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Comparison!$K$44</c15:sqref>
                        </c15:formulaRef>
                      </c:ext>
                    </c:extLst>
                    <c:strCache>
                      <c:ptCount val="1"/>
                      <c:pt idx="0">
                        <c:v>J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Comparison!$A$45:$A$48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Comparison!$K$45:$K$48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D77-4244-B1D7-ADBF2C673920}"/>
                  </c:ext>
                </c:extLst>
              </c15:ser>
            </c15:filteredLineSeries>
          </c:ext>
        </c:extLst>
      </c:lineChart>
      <c:catAx>
        <c:axId val="169720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Year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8600070079936958"/>
              <c:y val="0.877243286896830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0249792"/>
        <c:crosses val="autoZero"/>
        <c:auto val="1"/>
        <c:lblAlgn val="ctr"/>
        <c:lblOffset val="100"/>
        <c:noMultiLvlLbl val="0"/>
      </c:catAx>
      <c:valAx>
        <c:axId val="19002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#</a:t>
                </a:r>
                <a:r>
                  <a:rPr lang="en-US" altLang="zh-TW" baseline="0"/>
                  <a:t> of new machines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720083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264458</xdr:colOff>
      <xdr:row>25</xdr:row>
      <xdr:rowOff>112059</xdr:rowOff>
    </xdr:from>
    <xdr:to>
      <xdr:col>46</xdr:col>
      <xdr:colOff>569258</xdr:colOff>
      <xdr:row>38</xdr:row>
      <xdr:rowOff>174812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DF3B242-F099-C82C-5BFF-A3D494BB4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165846</xdr:colOff>
      <xdr:row>44</xdr:row>
      <xdr:rowOff>183775</xdr:rowOff>
    </xdr:from>
    <xdr:to>
      <xdr:col>44</xdr:col>
      <xdr:colOff>470646</xdr:colOff>
      <xdr:row>58</xdr:row>
      <xdr:rowOff>40339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8D3D9D6-EB81-FFB4-A74C-70F22F49A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304801</xdr:colOff>
      <xdr:row>22</xdr:row>
      <xdr:rowOff>43542</xdr:rowOff>
    </xdr:from>
    <xdr:to>
      <xdr:col>47</xdr:col>
      <xdr:colOff>1</xdr:colOff>
      <xdr:row>35</xdr:row>
      <xdr:rowOff>97971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DD00672-42C7-F678-B770-AA849857A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277678</xdr:colOff>
      <xdr:row>25</xdr:row>
      <xdr:rowOff>184688</xdr:rowOff>
    </xdr:from>
    <xdr:to>
      <xdr:col>46</xdr:col>
      <xdr:colOff>600559</xdr:colOff>
      <xdr:row>39</xdr:row>
      <xdr:rowOff>34871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EDB5F2F-B087-1A58-5738-C6B31A588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137160</xdr:colOff>
      <xdr:row>20</xdr:row>
      <xdr:rowOff>53340</xdr:rowOff>
    </xdr:from>
    <xdr:to>
      <xdr:col>47</xdr:col>
      <xdr:colOff>441960</xdr:colOff>
      <xdr:row>33</xdr:row>
      <xdr:rowOff>22860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55F7562-7A7E-C566-D9B8-808F627C3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429491</xdr:colOff>
      <xdr:row>21</xdr:row>
      <xdr:rowOff>96982</xdr:rowOff>
    </xdr:from>
    <xdr:to>
      <xdr:col>47</xdr:col>
      <xdr:colOff>124691</xdr:colOff>
      <xdr:row>34</xdr:row>
      <xdr:rowOff>138546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8619019-3A6D-68E2-BE52-E18D487DE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701040</xdr:colOff>
      <xdr:row>7</xdr:row>
      <xdr:rowOff>72390</xdr:rowOff>
    </xdr:from>
    <xdr:to>
      <xdr:col>4</xdr:col>
      <xdr:colOff>441960</xdr:colOff>
      <xdr:row>20</xdr:row>
      <xdr:rowOff>140970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52DB9BF-7EFA-8BD1-A5AE-31C939188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464820</xdr:colOff>
      <xdr:row>7</xdr:row>
      <xdr:rowOff>72390</xdr:rowOff>
    </xdr:from>
    <xdr:to>
      <xdr:col>11</xdr:col>
      <xdr:colOff>129540</xdr:colOff>
      <xdr:row>20</xdr:row>
      <xdr:rowOff>140970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7397BB8-9BBF-957B-5709-11FC7EB6D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708660</xdr:colOff>
      <xdr:row>20</xdr:row>
      <xdr:rowOff>156210</xdr:rowOff>
    </xdr:from>
    <xdr:to>
      <xdr:col>4</xdr:col>
      <xdr:colOff>449580</xdr:colOff>
      <xdr:row>34</xdr:row>
      <xdr:rowOff>19050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79A81D8D-93B9-E22B-1AE7-250EAC04C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472440</xdr:colOff>
      <xdr:row>20</xdr:row>
      <xdr:rowOff>163830</xdr:rowOff>
    </xdr:from>
    <xdr:to>
      <xdr:col>11</xdr:col>
      <xdr:colOff>137160</xdr:colOff>
      <xdr:row>34</xdr:row>
      <xdr:rowOff>26670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929C169-4BAC-E81F-526A-CE027148D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345621</xdr:colOff>
      <xdr:row>14</xdr:row>
      <xdr:rowOff>141512</xdr:rowOff>
    </xdr:from>
    <xdr:to>
      <xdr:col>25</xdr:col>
      <xdr:colOff>127907</xdr:colOff>
      <xdr:row>35</xdr:row>
      <xdr:rowOff>-1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BE128210-6FB5-251E-E086-5A3535817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549482</xdr:colOff>
      <xdr:row>36</xdr:row>
      <xdr:rowOff>87579</xdr:rowOff>
    </xdr:from>
    <xdr:to>
      <xdr:col>31</xdr:col>
      <xdr:colOff>303741</xdr:colOff>
      <xdr:row>60</xdr:row>
      <xdr:rowOff>141674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268F63B4-0473-FC5A-8EB7-5B2181018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547254</xdr:colOff>
      <xdr:row>36</xdr:row>
      <xdr:rowOff>109105</xdr:rowOff>
    </xdr:from>
    <xdr:to>
      <xdr:col>45</xdr:col>
      <xdr:colOff>292854</xdr:colOff>
      <xdr:row>60</xdr:row>
      <xdr:rowOff>161468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11EBF211-5982-7756-53BF-32F0D14DD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552450</xdr:colOff>
      <xdr:row>62</xdr:row>
      <xdr:rowOff>93516</xdr:rowOff>
    </xdr:from>
    <xdr:to>
      <xdr:col>31</xdr:col>
      <xdr:colOff>306709</xdr:colOff>
      <xdr:row>86</xdr:row>
      <xdr:rowOff>147611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AE183C91-283E-B990-10A8-9287CB462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533401</xdr:colOff>
      <xdr:row>62</xdr:row>
      <xdr:rowOff>95251</xdr:rowOff>
    </xdr:from>
    <xdr:to>
      <xdr:col>45</xdr:col>
      <xdr:colOff>279001</xdr:colOff>
      <xdr:row>86</xdr:row>
      <xdr:rowOff>147614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A197BFF2-499D-CB73-106D-9B230781D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BE79-5A57-478D-B49F-6CFC44F29728}">
  <dimension ref="A1:AM109"/>
  <sheetViews>
    <sheetView topLeftCell="V1" zoomScale="85" zoomScaleNormal="85" workbookViewId="0">
      <selection activeCell="AO22" sqref="AO22"/>
    </sheetView>
  </sheetViews>
  <sheetFormatPr defaultRowHeight="16.2" x14ac:dyDescent="0.3"/>
  <cols>
    <col min="3" max="3" width="30.77734375" bestFit="1" customWidth="1"/>
    <col min="4" max="4" width="33.5546875" customWidth="1"/>
    <col min="7" max="7" width="30.44140625" bestFit="1" customWidth="1"/>
    <col min="11" max="11" width="23.88671875" bestFit="1" customWidth="1"/>
    <col min="12" max="12" width="13.6640625" bestFit="1" customWidth="1"/>
    <col min="13" max="24" width="12.77734375" bestFit="1" customWidth="1"/>
    <col min="25" max="25" width="13.6640625" bestFit="1" customWidth="1"/>
    <col min="26" max="26" width="13.44140625" bestFit="1" customWidth="1"/>
    <col min="27" max="27" width="12.88671875" bestFit="1" customWidth="1"/>
    <col min="32" max="32" width="17.21875" bestFit="1" customWidth="1"/>
  </cols>
  <sheetData>
    <row r="1" spans="1:39" x14ac:dyDescent="0.3">
      <c r="A1" t="s">
        <v>0</v>
      </c>
      <c r="B1" t="s">
        <v>91</v>
      </c>
      <c r="C1" t="s">
        <v>55</v>
      </c>
      <c r="D1" t="s">
        <v>54</v>
      </c>
      <c r="E1" t="s">
        <v>1</v>
      </c>
      <c r="F1" t="s">
        <v>56</v>
      </c>
      <c r="G1" t="s">
        <v>57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Z1" s="45" t="s">
        <v>72</v>
      </c>
      <c r="AA1" s="45" t="s">
        <v>3</v>
      </c>
      <c r="AB1" s="45" t="s">
        <v>4</v>
      </c>
      <c r="AC1" s="45" t="s">
        <v>5</v>
      </c>
      <c r="AD1" s="45" t="s">
        <v>6</v>
      </c>
      <c r="AE1" s="45" t="s">
        <v>7</v>
      </c>
      <c r="AF1" s="45" t="s">
        <v>8</v>
      </c>
      <c r="AG1" s="45" t="s">
        <v>9</v>
      </c>
      <c r="AH1" s="45" t="s">
        <v>10</v>
      </c>
      <c r="AI1" s="45" t="s">
        <v>11</v>
      </c>
      <c r="AJ1" s="45" t="s">
        <v>12</v>
      </c>
      <c r="AK1" s="45" t="s">
        <v>13</v>
      </c>
      <c r="AL1" s="45" t="s">
        <v>14</v>
      </c>
      <c r="AM1" s="45" t="s">
        <v>15</v>
      </c>
    </row>
    <row r="2" spans="1:39" x14ac:dyDescent="0.3">
      <c r="A2" t="s">
        <v>16</v>
      </c>
      <c r="B2">
        <v>1090000</v>
      </c>
      <c r="C2">
        <v>1503.32963783729</v>
      </c>
      <c r="D2">
        <v>30602.932690000001</v>
      </c>
      <c r="E2">
        <v>12.75</v>
      </c>
      <c r="F2">
        <v>316631.70219355897</v>
      </c>
      <c r="G2">
        <v>442389.33309999999</v>
      </c>
      <c r="K2" s="1" t="s">
        <v>16</v>
      </c>
      <c r="L2">
        <v>1</v>
      </c>
      <c r="M2">
        <v>5</v>
      </c>
      <c r="N2">
        <v>0.5</v>
      </c>
      <c r="O2">
        <v>2.5</v>
      </c>
      <c r="P2">
        <v>0</v>
      </c>
      <c r="Q2">
        <v>0</v>
      </c>
      <c r="R2">
        <v>0</v>
      </c>
      <c r="S2">
        <v>0</v>
      </c>
      <c r="T2">
        <v>1.25</v>
      </c>
      <c r="U2">
        <v>2.5</v>
      </c>
      <c r="V2">
        <v>0</v>
      </c>
      <c r="W2">
        <v>0</v>
      </c>
      <c r="X2">
        <v>0</v>
      </c>
      <c r="Z2" s="45" t="s">
        <v>58</v>
      </c>
      <c r="AA2" s="50">
        <v>0</v>
      </c>
      <c r="AB2" s="50">
        <v>146</v>
      </c>
      <c r="AC2" s="50">
        <v>280</v>
      </c>
      <c r="AD2" s="50">
        <v>0</v>
      </c>
      <c r="AE2" s="50">
        <v>0</v>
      </c>
      <c r="AF2" s="50">
        <v>0</v>
      </c>
      <c r="AG2" s="50">
        <v>0</v>
      </c>
      <c r="AH2" s="50">
        <v>0</v>
      </c>
      <c r="AI2" s="50">
        <v>0</v>
      </c>
      <c r="AJ2" s="50">
        <v>0</v>
      </c>
      <c r="AK2" s="50">
        <v>0</v>
      </c>
      <c r="AL2" s="50">
        <v>0</v>
      </c>
      <c r="AM2" s="50">
        <v>0</v>
      </c>
    </row>
    <row r="3" spans="1:39" x14ac:dyDescent="0.3">
      <c r="A3" t="s">
        <v>17</v>
      </c>
      <c r="B3">
        <v>580000</v>
      </c>
      <c r="C3">
        <v>824.62112512353201</v>
      </c>
      <c r="D3">
        <v>15927.5</v>
      </c>
      <c r="E3">
        <v>7.75</v>
      </c>
      <c r="F3">
        <v>102903.95294505201</v>
      </c>
      <c r="G3">
        <v>139952.5227</v>
      </c>
      <c r="K3" s="1" t="s">
        <v>17</v>
      </c>
      <c r="L3">
        <v>1.25</v>
      </c>
      <c r="M3">
        <v>0</v>
      </c>
      <c r="N3">
        <v>0.5</v>
      </c>
      <c r="O3">
        <v>2.5</v>
      </c>
      <c r="P3">
        <v>0</v>
      </c>
      <c r="Q3">
        <v>0</v>
      </c>
      <c r="R3">
        <v>0</v>
      </c>
      <c r="S3">
        <v>1</v>
      </c>
      <c r="T3">
        <v>0</v>
      </c>
      <c r="U3">
        <v>2.5</v>
      </c>
      <c r="V3">
        <v>0</v>
      </c>
      <c r="W3">
        <v>0</v>
      </c>
      <c r="X3">
        <v>0</v>
      </c>
      <c r="Z3" s="45" t="s">
        <v>59</v>
      </c>
      <c r="AA3" s="50">
        <v>146</v>
      </c>
      <c r="AB3" s="50">
        <v>0</v>
      </c>
      <c r="AC3" s="50">
        <v>134</v>
      </c>
      <c r="AD3" s="50">
        <v>307</v>
      </c>
      <c r="AE3" s="50">
        <v>0</v>
      </c>
      <c r="AF3" s="50">
        <v>0</v>
      </c>
      <c r="AG3" s="50">
        <v>0</v>
      </c>
      <c r="AH3" s="50">
        <v>0</v>
      </c>
      <c r="AI3" s="50">
        <v>0</v>
      </c>
      <c r="AJ3" s="50">
        <v>0</v>
      </c>
      <c r="AK3" s="50">
        <v>0</v>
      </c>
      <c r="AL3" s="50">
        <v>0</v>
      </c>
      <c r="AM3" s="50">
        <v>0</v>
      </c>
    </row>
    <row r="4" spans="1:39" x14ac:dyDescent="0.3">
      <c r="A4" t="s">
        <v>18</v>
      </c>
      <c r="B4">
        <v>320000</v>
      </c>
      <c r="C4">
        <v>806.22577482985503</v>
      </c>
      <c r="D4">
        <v>8293.0769230000005</v>
      </c>
      <c r="E4">
        <v>9.5</v>
      </c>
      <c r="F4">
        <v>78190.188234328394</v>
      </c>
      <c r="G4">
        <v>89324.524680000002</v>
      </c>
      <c r="K4" s="1" t="s">
        <v>18</v>
      </c>
      <c r="L4">
        <v>0</v>
      </c>
      <c r="M4">
        <v>1.75</v>
      </c>
      <c r="N4">
        <v>0.75</v>
      </c>
      <c r="O4">
        <v>3</v>
      </c>
      <c r="P4">
        <v>0</v>
      </c>
      <c r="Q4">
        <v>0</v>
      </c>
      <c r="R4">
        <v>0</v>
      </c>
      <c r="S4">
        <v>0</v>
      </c>
      <c r="T4">
        <v>1.5</v>
      </c>
      <c r="U4">
        <v>2.5</v>
      </c>
      <c r="V4">
        <v>0</v>
      </c>
      <c r="W4">
        <v>0</v>
      </c>
      <c r="X4">
        <v>0</v>
      </c>
      <c r="Z4" s="45" t="s">
        <v>60</v>
      </c>
      <c r="AA4" s="50">
        <v>0</v>
      </c>
      <c r="AB4" s="50">
        <v>0</v>
      </c>
      <c r="AC4" s="50">
        <v>0</v>
      </c>
      <c r="AD4" s="50">
        <v>172</v>
      </c>
      <c r="AE4" s="50">
        <v>0</v>
      </c>
      <c r="AF4" s="50">
        <v>0</v>
      </c>
      <c r="AG4" s="50">
        <v>0</v>
      </c>
      <c r="AH4" s="50">
        <v>0</v>
      </c>
      <c r="AI4" s="50">
        <f>227+268</f>
        <v>495</v>
      </c>
      <c r="AJ4" s="50">
        <v>0</v>
      </c>
      <c r="AK4" s="50">
        <v>0</v>
      </c>
      <c r="AL4" s="50">
        <v>0</v>
      </c>
      <c r="AM4" s="50">
        <v>0</v>
      </c>
    </row>
    <row r="5" spans="1:39" x14ac:dyDescent="0.3">
      <c r="A5" t="s">
        <v>19</v>
      </c>
      <c r="B5">
        <v>480000</v>
      </c>
      <c r="C5">
        <v>748.33147735478803</v>
      </c>
      <c r="D5">
        <v>13509.23077</v>
      </c>
      <c r="E5">
        <v>7.5</v>
      </c>
      <c r="F5">
        <v>83687.575341807998</v>
      </c>
      <c r="G5">
        <v>114874.41130000001</v>
      </c>
      <c r="K5" s="1" t="s">
        <v>19</v>
      </c>
      <c r="L5">
        <v>1</v>
      </c>
      <c r="M5">
        <v>2</v>
      </c>
      <c r="N5">
        <v>0</v>
      </c>
      <c r="O5">
        <v>3</v>
      </c>
      <c r="P5">
        <v>0</v>
      </c>
      <c r="Q5">
        <v>0</v>
      </c>
      <c r="R5">
        <v>0.25</v>
      </c>
      <c r="S5">
        <v>1.25</v>
      </c>
      <c r="T5">
        <v>0</v>
      </c>
      <c r="U5">
        <v>0</v>
      </c>
      <c r="V5">
        <v>0</v>
      </c>
      <c r="W5">
        <v>0</v>
      </c>
      <c r="X5">
        <v>0</v>
      </c>
      <c r="Z5" s="45" t="s">
        <v>61</v>
      </c>
      <c r="AA5" s="50">
        <v>0</v>
      </c>
      <c r="AB5" s="50">
        <v>0</v>
      </c>
      <c r="AC5" s="50">
        <v>172</v>
      </c>
      <c r="AD5" s="50">
        <v>0</v>
      </c>
      <c r="AE5" s="50">
        <v>0</v>
      </c>
      <c r="AF5" s="50">
        <v>0</v>
      </c>
      <c r="AG5" s="50">
        <f>163+114</f>
        <v>277</v>
      </c>
      <c r="AH5" s="50">
        <v>114</v>
      </c>
      <c r="AI5" s="50">
        <f>401+268</f>
        <v>669</v>
      </c>
      <c r="AJ5" s="50">
        <v>0</v>
      </c>
      <c r="AK5" s="50">
        <v>0</v>
      </c>
      <c r="AL5" s="50">
        <v>0</v>
      </c>
      <c r="AM5" s="50">
        <v>0</v>
      </c>
    </row>
    <row r="6" spans="1:39" x14ac:dyDescent="0.3">
      <c r="A6" t="s">
        <v>20</v>
      </c>
      <c r="B6">
        <v>360000</v>
      </c>
      <c r="C6">
        <v>632.45553203367501</v>
      </c>
      <c r="D6">
        <v>10488.46154</v>
      </c>
      <c r="E6">
        <v>7.5</v>
      </c>
      <c r="F6">
        <v>64141.308117606502</v>
      </c>
      <c r="G6">
        <v>89187.598119999995</v>
      </c>
      <c r="K6" s="1" t="s">
        <v>20</v>
      </c>
      <c r="L6">
        <v>0</v>
      </c>
      <c r="M6">
        <v>1.5</v>
      </c>
      <c r="N6">
        <v>0.75</v>
      </c>
      <c r="O6">
        <v>3.5</v>
      </c>
      <c r="P6">
        <v>0</v>
      </c>
      <c r="Q6">
        <v>0</v>
      </c>
      <c r="R6">
        <v>0</v>
      </c>
      <c r="S6">
        <v>0</v>
      </c>
      <c r="T6">
        <v>1.75</v>
      </c>
      <c r="U6">
        <v>0</v>
      </c>
      <c r="V6">
        <v>0</v>
      </c>
      <c r="W6">
        <v>0</v>
      </c>
      <c r="X6">
        <v>0</v>
      </c>
      <c r="Z6" s="45" t="s">
        <v>62</v>
      </c>
      <c r="AA6" s="50">
        <v>0</v>
      </c>
      <c r="AB6" s="50">
        <v>0</v>
      </c>
      <c r="AC6" s="50">
        <v>0</v>
      </c>
      <c r="AD6" s="50">
        <v>0</v>
      </c>
      <c r="AE6" s="50">
        <v>0</v>
      </c>
      <c r="AF6" s="50">
        <v>152</v>
      </c>
      <c r="AG6" s="50">
        <v>267</v>
      </c>
      <c r="AH6" s="50">
        <v>445</v>
      </c>
      <c r="AI6" s="50">
        <v>0</v>
      </c>
      <c r="AJ6" s="50">
        <v>0</v>
      </c>
      <c r="AK6" s="50">
        <v>0</v>
      </c>
      <c r="AL6" s="50">
        <v>0</v>
      </c>
      <c r="AM6" s="50">
        <v>0</v>
      </c>
    </row>
    <row r="7" spans="1:39" x14ac:dyDescent="0.3">
      <c r="A7" t="s">
        <v>21</v>
      </c>
      <c r="B7">
        <v>210000</v>
      </c>
      <c r="C7">
        <v>223.606797749978</v>
      </c>
      <c r="D7">
        <v>5836.0096149999999</v>
      </c>
      <c r="E7">
        <v>10.5</v>
      </c>
      <c r="F7">
        <v>48451.562046075996</v>
      </c>
      <c r="G7">
        <v>69476.304950000005</v>
      </c>
      <c r="K7" s="1" t="s">
        <v>21</v>
      </c>
      <c r="L7">
        <v>0.75</v>
      </c>
      <c r="M7">
        <v>1.25</v>
      </c>
      <c r="N7">
        <v>0.5</v>
      </c>
      <c r="O7">
        <v>3</v>
      </c>
      <c r="P7">
        <v>0</v>
      </c>
      <c r="Q7">
        <v>0</v>
      </c>
      <c r="R7">
        <v>0</v>
      </c>
      <c r="S7">
        <v>1</v>
      </c>
      <c r="T7">
        <v>1.25</v>
      </c>
      <c r="U7">
        <v>2.75</v>
      </c>
      <c r="V7">
        <v>0</v>
      </c>
      <c r="W7">
        <v>0</v>
      </c>
      <c r="X7">
        <v>0</v>
      </c>
      <c r="Z7" s="45" t="s">
        <v>63</v>
      </c>
      <c r="AA7" s="50">
        <v>0</v>
      </c>
      <c r="AB7" s="50">
        <v>0</v>
      </c>
      <c r="AC7" s="50">
        <f>105+113</f>
        <v>218</v>
      </c>
      <c r="AD7" s="50">
        <v>0</v>
      </c>
      <c r="AE7" s="50">
        <v>0</v>
      </c>
      <c r="AF7" s="50">
        <v>0</v>
      </c>
      <c r="AG7" s="50">
        <v>114</v>
      </c>
      <c r="AH7" s="50">
        <v>293</v>
      </c>
      <c r="AI7" s="50">
        <f>112+156</f>
        <v>268</v>
      </c>
      <c r="AJ7" s="50">
        <v>0</v>
      </c>
      <c r="AK7" s="50">
        <v>0</v>
      </c>
      <c r="AL7" s="50">
        <v>0</v>
      </c>
      <c r="AM7" s="50">
        <v>0</v>
      </c>
    </row>
    <row r="8" spans="1:39" x14ac:dyDescent="0.3">
      <c r="A8" t="s">
        <v>22</v>
      </c>
      <c r="B8">
        <v>720000</v>
      </c>
      <c r="C8">
        <v>894.42719099991496</v>
      </c>
      <c r="D8">
        <v>20660</v>
      </c>
      <c r="E8">
        <v>10</v>
      </c>
      <c r="F8">
        <v>161500.456146223</v>
      </c>
      <c r="G8">
        <v>234240.3628</v>
      </c>
      <c r="K8" s="1" t="s">
        <v>22</v>
      </c>
      <c r="L8">
        <v>0</v>
      </c>
      <c r="M8">
        <v>0</v>
      </c>
      <c r="N8">
        <v>0.75</v>
      </c>
      <c r="O8">
        <v>3.5</v>
      </c>
      <c r="P8">
        <v>1</v>
      </c>
      <c r="Q8">
        <v>1.5</v>
      </c>
      <c r="R8">
        <v>0</v>
      </c>
      <c r="S8">
        <v>0</v>
      </c>
      <c r="T8">
        <v>1.25</v>
      </c>
      <c r="U8">
        <v>2</v>
      </c>
      <c r="V8">
        <v>0</v>
      </c>
      <c r="W8">
        <v>0</v>
      </c>
      <c r="X8">
        <v>0</v>
      </c>
      <c r="Z8" s="45" t="s">
        <v>64</v>
      </c>
      <c r="AA8" s="50">
        <v>0</v>
      </c>
      <c r="AB8" s="50">
        <v>0</v>
      </c>
      <c r="AC8" s="50">
        <v>0</v>
      </c>
      <c r="AD8" s="50">
        <v>0</v>
      </c>
      <c r="AE8" s="50">
        <v>266</v>
      </c>
      <c r="AF8" s="50">
        <v>114</v>
      </c>
      <c r="AG8" s="50">
        <v>0</v>
      </c>
      <c r="AH8" s="50">
        <v>178</v>
      </c>
      <c r="AI8" s="50">
        <f>236+150</f>
        <v>386</v>
      </c>
      <c r="AJ8" s="50">
        <v>0</v>
      </c>
      <c r="AK8" s="50">
        <v>0</v>
      </c>
      <c r="AL8" s="50">
        <v>0</v>
      </c>
      <c r="AM8" s="50">
        <v>0</v>
      </c>
    </row>
    <row r="9" spans="1:39" x14ac:dyDescent="0.3">
      <c r="A9" t="s">
        <v>23</v>
      </c>
      <c r="B9">
        <v>240000</v>
      </c>
      <c r="C9">
        <v>800</v>
      </c>
      <c r="D9">
        <v>6041.5384620000004</v>
      </c>
      <c r="E9">
        <v>4.75</v>
      </c>
      <c r="F9">
        <v>31711.228276562699</v>
      </c>
      <c r="G9">
        <v>32536.63004</v>
      </c>
      <c r="K9" s="1" t="s">
        <v>23</v>
      </c>
      <c r="L9">
        <v>0</v>
      </c>
      <c r="M9">
        <v>0</v>
      </c>
      <c r="N9">
        <v>0</v>
      </c>
      <c r="O9">
        <v>0</v>
      </c>
      <c r="P9">
        <v>1.25</v>
      </c>
      <c r="Q9">
        <v>0</v>
      </c>
      <c r="R9">
        <v>0</v>
      </c>
      <c r="S9">
        <v>2</v>
      </c>
      <c r="T9">
        <v>1</v>
      </c>
      <c r="U9">
        <v>0.5</v>
      </c>
      <c r="V9">
        <v>0</v>
      </c>
      <c r="W9">
        <v>0</v>
      </c>
      <c r="X9">
        <v>0</v>
      </c>
      <c r="Z9" s="45" t="s">
        <v>65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f>147+417</f>
        <v>564</v>
      </c>
      <c r="AJ9" s="50">
        <f>150+158</f>
        <v>308</v>
      </c>
      <c r="AK9" s="50">
        <v>0</v>
      </c>
      <c r="AL9" s="50">
        <v>0</v>
      </c>
      <c r="AM9" s="50">
        <v>0</v>
      </c>
    </row>
    <row r="10" spans="1:39" x14ac:dyDescent="0.3">
      <c r="A10" t="s">
        <v>24</v>
      </c>
      <c r="B10">
        <v>460000</v>
      </c>
      <c r="C10">
        <v>721.11025509279705</v>
      </c>
      <c r="D10">
        <v>13401.92308</v>
      </c>
      <c r="E10">
        <v>8.5</v>
      </c>
      <c r="F10">
        <v>90980.691564647699</v>
      </c>
      <c r="G10">
        <v>129156.855</v>
      </c>
      <c r="K10" s="1" t="s">
        <v>24</v>
      </c>
      <c r="L10">
        <v>0</v>
      </c>
      <c r="M10">
        <v>0</v>
      </c>
      <c r="N10">
        <v>0</v>
      </c>
      <c r="O10">
        <v>0</v>
      </c>
      <c r="P10">
        <v>1.25</v>
      </c>
      <c r="Q10">
        <v>1.75</v>
      </c>
      <c r="R10">
        <v>1.25</v>
      </c>
      <c r="S10">
        <v>0</v>
      </c>
      <c r="T10">
        <v>1.25</v>
      </c>
      <c r="U10">
        <v>3</v>
      </c>
      <c r="V10">
        <v>0</v>
      </c>
      <c r="W10">
        <v>0</v>
      </c>
      <c r="X10">
        <v>0</v>
      </c>
      <c r="Z10" s="45" t="s">
        <v>66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265</v>
      </c>
      <c r="AK10" s="50">
        <v>0</v>
      </c>
      <c r="AL10" s="50">
        <v>0</v>
      </c>
      <c r="AM10" s="50">
        <v>0</v>
      </c>
    </row>
    <row r="11" spans="1:39" x14ac:dyDescent="0.3">
      <c r="A11" t="s">
        <v>25</v>
      </c>
      <c r="B11">
        <v>240000</v>
      </c>
      <c r="C11">
        <v>374.16573867739402</v>
      </c>
      <c r="D11">
        <v>6630.8173079999997</v>
      </c>
      <c r="E11">
        <v>6.5</v>
      </c>
      <c r="F11">
        <v>36264.615981450101</v>
      </c>
      <c r="G11">
        <v>48866.567459999998</v>
      </c>
      <c r="K11" s="1" t="s">
        <v>25</v>
      </c>
      <c r="L11">
        <v>0</v>
      </c>
      <c r="M11">
        <v>0</v>
      </c>
      <c r="N11">
        <v>0</v>
      </c>
      <c r="O11">
        <v>0</v>
      </c>
      <c r="P11">
        <v>1.5</v>
      </c>
      <c r="Q11">
        <v>1.75</v>
      </c>
      <c r="R11">
        <v>0</v>
      </c>
      <c r="S11">
        <v>0</v>
      </c>
      <c r="T11">
        <v>1.25</v>
      </c>
      <c r="U11">
        <v>2</v>
      </c>
      <c r="V11">
        <v>0</v>
      </c>
      <c r="W11">
        <v>0</v>
      </c>
      <c r="X11">
        <v>0</v>
      </c>
      <c r="Z11" s="45" t="s">
        <v>67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265</v>
      </c>
      <c r="AJ11" s="50">
        <v>0</v>
      </c>
      <c r="AK11" s="50">
        <v>0</v>
      </c>
      <c r="AL11" s="50">
        <v>0</v>
      </c>
      <c r="AM11" s="50">
        <v>0</v>
      </c>
    </row>
    <row r="12" spans="1:39" x14ac:dyDescent="0.3">
      <c r="A12" t="s">
        <v>26</v>
      </c>
      <c r="B12">
        <v>420000</v>
      </c>
      <c r="C12">
        <v>447.21359549995702</v>
      </c>
      <c r="D12">
        <v>11672.01923</v>
      </c>
      <c r="E12">
        <v>4</v>
      </c>
      <c r="F12">
        <v>36915.475844629298</v>
      </c>
      <c r="G12">
        <v>52934.327579999997</v>
      </c>
      <c r="K12" s="1" t="s">
        <v>26</v>
      </c>
      <c r="L12">
        <v>0</v>
      </c>
      <c r="M12">
        <v>0</v>
      </c>
      <c r="N12">
        <v>0</v>
      </c>
      <c r="O12">
        <v>0</v>
      </c>
      <c r="P12">
        <v>2.5</v>
      </c>
      <c r="Q12">
        <v>0</v>
      </c>
      <c r="R12">
        <v>0.75</v>
      </c>
      <c r="S12">
        <v>0</v>
      </c>
      <c r="T12">
        <v>0.75</v>
      </c>
      <c r="U12">
        <v>0</v>
      </c>
      <c r="V12">
        <v>0</v>
      </c>
      <c r="W12">
        <v>0</v>
      </c>
      <c r="X12">
        <v>0</v>
      </c>
      <c r="Z12" s="45" t="s">
        <v>68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83</v>
      </c>
      <c r="AM12" s="50">
        <v>86</v>
      </c>
    </row>
    <row r="13" spans="1:39" x14ac:dyDescent="0.3">
      <c r="A13" t="s">
        <v>27</v>
      </c>
      <c r="B13">
        <v>520000</v>
      </c>
      <c r="C13">
        <v>565.68542494923804</v>
      </c>
      <c r="D13">
        <v>14337.884620000001</v>
      </c>
      <c r="E13">
        <v>6</v>
      </c>
      <c r="F13">
        <v>68742.654565048506</v>
      </c>
      <c r="G13">
        <v>97536.630040000004</v>
      </c>
      <c r="K13" s="1" t="s">
        <v>27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0.5</v>
      </c>
      <c r="S13">
        <v>0</v>
      </c>
      <c r="T13">
        <v>1.25</v>
      </c>
      <c r="U13">
        <v>2.25</v>
      </c>
      <c r="V13">
        <v>0</v>
      </c>
      <c r="W13">
        <v>0</v>
      </c>
      <c r="X13">
        <v>0</v>
      </c>
      <c r="Z13" s="45" t="s">
        <v>69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83</v>
      </c>
      <c r="AL13" s="50">
        <v>0</v>
      </c>
      <c r="AM13" s="50">
        <v>86</v>
      </c>
    </row>
    <row r="14" spans="1:39" x14ac:dyDescent="0.3">
      <c r="A14" t="s">
        <v>28</v>
      </c>
      <c r="B14">
        <v>260000</v>
      </c>
      <c r="C14">
        <v>282.84271247461902</v>
      </c>
      <c r="D14">
        <v>7168.9423079999997</v>
      </c>
      <c r="E14">
        <v>7.5</v>
      </c>
      <c r="F14">
        <v>42964.159103155303</v>
      </c>
      <c r="G14">
        <v>60960.393770000002</v>
      </c>
      <c r="K14" s="1" t="s">
        <v>28</v>
      </c>
      <c r="L14">
        <v>0</v>
      </c>
      <c r="M14">
        <v>0</v>
      </c>
      <c r="N14">
        <v>0</v>
      </c>
      <c r="O14">
        <v>0</v>
      </c>
      <c r="P14">
        <v>1.25</v>
      </c>
      <c r="Q14">
        <v>2.25</v>
      </c>
      <c r="R14">
        <v>0.75</v>
      </c>
      <c r="S14">
        <v>2</v>
      </c>
      <c r="T14">
        <v>1.25</v>
      </c>
      <c r="U14">
        <v>0</v>
      </c>
      <c r="V14">
        <v>0</v>
      </c>
      <c r="W14">
        <v>0</v>
      </c>
      <c r="X14">
        <v>0</v>
      </c>
      <c r="Z14" s="45" t="s">
        <v>70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86</v>
      </c>
      <c r="AM14" s="50">
        <v>0</v>
      </c>
    </row>
    <row r="15" spans="1:39" x14ac:dyDescent="0.3">
      <c r="A15" t="s">
        <v>29</v>
      </c>
      <c r="B15">
        <v>940000</v>
      </c>
      <c r="C15">
        <v>1095.44511501033</v>
      </c>
      <c r="D15">
        <v>26752.692309999999</v>
      </c>
      <c r="E15">
        <v>4.75</v>
      </c>
      <c r="F15">
        <v>99268.362846831893</v>
      </c>
      <c r="G15">
        <v>144076.29079999999</v>
      </c>
      <c r="K15" s="1" t="s">
        <v>29</v>
      </c>
      <c r="L15">
        <v>0</v>
      </c>
      <c r="M15">
        <v>0</v>
      </c>
      <c r="N15">
        <v>0</v>
      </c>
      <c r="O15">
        <v>0</v>
      </c>
      <c r="P15">
        <v>1</v>
      </c>
      <c r="Q15">
        <v>1.5</v>
      </c>
      <c r="R15">
        <v>0.5</v>
      </c>
      <c r="S15">
        <v>1.75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39" x14ac:dyDescent="0.3">
      <c r="A16" t="s">
        <v>30</v>
      </c>
      <c r="B16">
        <v>120000</v>
      </c>
      <c r="C16">
        <v>400</v>
      </c>
      <c r="D16">
        <v>3020.7692310000002</v>
      </c>
      <c r="E16">
        <v>7.5</v>
      </c>
      <c r="F16">
        <v>25035.180218338999</v>
      </c>
      <c r="G16">
        <v>25686.813190000001</v>
      </c>
      <c r="K16" s="1" t="s">
        <v>30</v>
      </c>
      <c r="L16">
        <v>0</v>
      </c>
      <c r="M16">
        <v>0</v>
      </c>
      <c r="N16">
        <v>0</v>
      </c>
      <c r="O16">
        <v>0</v>
      </c>
      <c r="P16">
        <v>0.75</v>
      </c>
      <c r="Q16">
        <v>1.25</v>
      </c>
      <c r="R16">
        <v>0.5</v>
      </c>
      <c r="S16">
        <v>2.5</v>
      </c>
      <c r="T16">
        <v>0</v>
      </c>
      <c r="U16">
        <v>2.5</v>
      </c>
      <c r="V16">
        <v>0</v>
      </c>
      <c r="W16">
        <v>0</v>
      </c>
      <c r="X16">
        <v>0</v>
      </c>
    </row>
    <row r="17" spans="1:39" x14ac:dyDescent="0.3">
      <c r="A17" t="s">
        <v>31</v>
      </c>
      <c r="B17">
        <v>620000</v>
      </c>
      <c r="C17">
        <v>1216.5525060596401</v>
      </c>
      <c r="D17">
        <v>18063.46154</v>
      </c>
      <c r="E17">
        <v>10</v>
      </c>
      <c r="F17">
        <v>150567.085174912</v>
      </c>
      <c r="G17">
        <v>204801.15119999999</v>
      </c>
      <c r="K17" s="1" t="s">
        <v>31</v>
      </c>
      <c r="L17">
        <v>0</v>
      </c>
      <c r="M17">
        <v>0</v>
      </c>
      <c r="N17">
        <v>0</v>
      </c>
      <c r="O17">
        <v>0</v>
      </c>
      <c r="P17">
        <v>0</v>
      </c>
      <c r="Q17">
        <v>1.25</v>
      </c>
      <c r="R17">
        <v>0</v>
      </c>
      <c r="S17">
        <v>5</v>
      </c>
      <c r="T17">
        <v>1.25</v>
      </c>
      <c r="U17">
        <v>2.5</v>
      </c>
      <c r="V17">
        <v>0</v>
      </c>
      <c r="W17">
        <v>0</v>
      </c>
      <c r="X17">
        <v>0</v>
      </c>
      <c r="Z17" s="2" t="s">
        <v>73</v>
      </c>
      <c r="AA17" s="2" t="s">
        <v>3</v>
      </c>
      <c r="AB17" s="2" t="s">
        <v>4</v>
      </c>
      <c r="AC17" s="2" t="s">
        <v>5</v>
      </c>
      <c r="AD17" s="2" t="s">
        <v>6</v>
      </c>
      <c r="AE17" s="2" t="s">
        <v>7</v>
      </c>
      <c r="AF17" s="2" t="s">
        <v>8</v>
      </c>
      <c r="AG17" s="2" t="s">
        <v>9</v>
      </c>
      <c r="AH17" s="2" t="s">
        <v>10</v>
      </c>
      <c r="AI17" s="2" t="s">
        <v>11</v>
      </c>
      <c r="AJ17" s="2" t="s">
        <v>12</v>
      </c>
      <c r="AK17" s="2" t="s">
        <v>13</v>
      </c>
      <c r="AL17" s="2" t="s">
        <v>14</v>
      </c>
      <c r="AM17" s="2" t="s">
        <v>15</v>
      </c>
    </row>
    <row r="18" spans="1:39" x14ac:dyDescent="0.3">
      <c r="A18" t="s">
        <v>32</v>
      </c>
      <c r="B18">
        <v>260000</v>
      </c>
      <c r="C18">
        <v>282.84271247461902</v>
      </c>
      <c r="D18">
        <v>7168.9423079999997</v>
      </c>
      <c r="E18">
        <v>7.25</v>
      </c>
      <c r="F18">
        <v>41532.020466383503</v>
      </c>
      <c r="G18">
        <v>58928.380649999999</v>
      </c>
      <c r="K18" s="1" t="s">
        <v>32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0.75</v>
      </c>
      <c r="W18">
        <v>3</v>
      </c>
      <c r="X18">
        <v>3.5</v>
      </c>
      <c r="Z18" s="1" t="s">
        <v>16</v>
      </c>
      <c r="AA18">
        <f>L2*$D$2</f>
        <v>30602.932690000001</v>
      </c>
      <c r="AB18">
        <f t="shared" ref="AB18:AM18" si="0">M2*$D$2</f>
        <v>153014.66344999999</v>
      </c>
      <c r="AC18">
        <f t="shared" si="0"/>
        <v>15301.466345000001</v>
      </c>
      <c r="AD18">
        <f t="shared" si="0"/>
        <v>76507.331724999996</v>
      </c>
      <c r="AE18">
        <f t="shared" si="0"/>
        <v>0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38253.665862499998</v>
      </c>
      <c r="AJ18">
        <f t="shared" si="0"/>
        <v>76507.331724999996</v>
      </c>
      <c r="AK18">
        <f t="shared" si="0"/>
        <v>0</v>
      </c>
      <c r="AL18">
        <f t="shared" si="0"/>
        <v>0</v>
      </c>
      <c r="AM18">
        <f t="shared" si="0"/>
        <v>0</v>
      </c>
    </row>
    <row r="19" spans="1:39" x14ac:dyDescent="0.3">
      <c r="A19" t="s">
        <v>33</v>
      </c>
      <c r="B19">
        <v>620000</v>
      </c>
      <c r="C19">
        <v>600</v>
      </c>
      <c r="D19">
        <v>17251.346150000001</v>
      </c>
      <c r="E19">
        <v>6.25</v>
      </c>
      <c r="F19">
        <v>84178.590657539098</v>
      </c>
      <c r="G19">
        <v>122245.9336</v>
      </c>
      <c r="K19" s="1" t="s">
        <v>33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1.25</v>
      </c>
      <c r="W19">
        <v>1.25</v>
      </c>
      <c r="X19">
        <v>3.75</v>
      </c>
      <c r="Z19" s="1" t="s">
        <v>17</v>
      </c>
      <c r="AA19">
        <f>L3*$D$3</f>
        <v>19909.375</v>
      </c>
      <c r="AB19">
        <f t="shared" ref="AB19:AM19" si="1">M3*$D$3</f>
        <v>0</v>
      </c>
      <c r="AC19">
        <f t="shared" si="1"/>
        <v>7963.75</v>
      </c>
      <c r="AD19">
        <f t="shared" si="1"/>
        <v>39818.75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15927.5</v>
      </c>
      <c r="AI19">
        <f t="shared" si="1"/>
        <v>0</v>
      </c>
      <c r="AJ19">
        <f t="shared" si="1"/>
        <v>39818.75</v>
      </c>
      <c r="AK19">
        <f t="shared" si="1"/>
        <v>0</v>
      </c>
      <c r="AL19">
        <f t="shared" si="1"/>
        <v>0</v>
      </c>
      <c r="AM19">
        <f t="shared" si="1"/>
        <v>0</v>
      </c>
    </row>
    <row r="20" spans="1:39" x14ac:dyDescent="0.3">
      <c r="A20" t="s">
        <v>34</v>
      </c>
      <c r="B20">
        <v>1040000</v>
      </c>
      <c r="C20">
        <v>1500</v>
      </c>
      <c r="D20">
        <v>29270</v>
      </c>
      <c r="E20">
        <v>10.5</v>
      </c>
      <c r="F20">
        <v>250569.31153089501</v>
      </c>
      <c r="G20">
        <v>348452.38099999999</v>
      </c>
      <c r="K20" s="1" t="s">
        <v>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4.25</v>
      </c>
      <c r="X20">
        <v>6.25</v>
      </c>
      <c r="Z20" s="1" t="s">
        <v>18</v>
      </c>
      <c r="AA20">
        <f>L4*$D$4</f>
        <v>0</v>
      </c>
      <c r="AB20">
        <f t="shared" ref="AB20:AM20" si="2">M4*$D$4</f>
        <v>14512.884615250001</v>
      </c>
      <c r="AC20">
        <f t="shared" si="2"/>
        <v>6219.8076922500004</v>
      </c>
      <c r="AD20">
        <f t="shared" si="2"/>
        <v>24879.230769000002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2"/>
        <v>0</v>
      </c>
      <c r="AI20">
        <f t="shared" si="2"/>
        <v>12439.615384500001</v>
      </c>
      <c r="AJ20">
        <f t="shared" si="2"/>
        <v>20732.692307500001</v>
      </c>
      <c r="AK20">
        <f t="shared" si="2"/>
        <v>0</v>
      </c>
      <c r="AL20">
        <f t="shared" si="2"/>
        <v>0</v>
      </c>
      <c r="AM20">
        <f t="shared" si="2"/>
        <v>0</v>
      </c>
    </row>
    <row r="21" spans="1:39" x14ac:dyDescent="0.3">
      <c r="A21" t="s">
        <v>35</v>
      </c>
      <c r="B21">
        <v>770000</v>
      </c>
      <c r="C21">
        <v>1153.2562594670701</v>
      </c>
      <c r="D21">
        <v>21720.57692</v>
      </c>
      <c r="E21">
        <v>5.75</v>
      </c>
      <c r="F21">
        <v>102225.13055813999</v>
      </c>
      <c r="G21">
        <v>141602.40059999999</v>
      </c>
      <c r="K21" s="1" t="s">
        <v>35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0.75</v>
      </c>
      <c r="W21">
        <v>2</v>
      </c>
      <c r="X21">
        <v>3</v>
      </c>
      <c r="Z21" s="1" t="s">
        <v>19</v>
      </c>
      <c r="AA21">
        <f>L5*$D$5</f>
        <v>13509.23077</v>
      </c>
      <c r="AB21">
        <f t="shared" ref="AB21:AM21" si="3">M5*$D$5</f>
        <v>27018.46154</v>
      </c>
      <c r="AC21">
        <f t="shared" si="3"/>
        <v>0</v>
      </c>
      <c r="AD21">
        <f t="shared" si="3"/>
        <v>40527.692309999999</v>
      </c>
      <c r="AE21">
        <f t="shared" si="3"/>
        <v>0</v>
      </c>
      <c r="AF21">
        <f t="shared" si="3"/>
        <v>0</v>
      </c>
      <c r="AG21">
        <f t="shared" si="3"/>
        <v>3377.3076925</v>
      </c>
      <c r="AH21">
        <f t="shared" si="3"/>
        <v>16886.538462500001</v>
      </c>
      <c r="AI21">
        <f t="shared" si="3"/>
        <v>0</v>
      </c>
      <c r="AJ21">
        <f t="shared" si="3"/>
        <v>0</v>
      </c>
      <c r="AK21">
        <f t="shared" si="3"/>
        <v>0</v>
      </c>
      <c r="AL21">
        <f t="shared" si="3"/>
        <v>0</v>
      </c>
      <c r="AM21">
        <f t="shared" si="3"/>
        <v>0</v>
      </c>
    </row>
    <row r="22" spans="1:39" x14ac:dyDescent="0.3">
      <c r="Z22" s="1" t="s">
        <v>20</v>
      </c>
      <c r="AA22">
        <f>L6*$D$6</f>
        <v>0</v>
      </c>
      <c r="AB22">
        <f t="shared" ref="AB22:AM22" si="4">M6*$D$6</f>
        <v>15732.69231</v>
      </c>
      <c r="AC22">
        <f t="shared" si="4"/>
        <v>7866.3461550000002</v>
      </c>
      <c r="AD22">
        <f t="shared" si="4"/>
        <v>36709.615389999999</v>
      </c>
      <c r="AE22">
        <f t="shared" si="4"/>
        <v>0</v>
      </c>
      <c r="AF22">
        <f t="shared" si="4"/>
        <v>0</v>
      </c>
      <c r="AG22">
        <f t="shared" si="4"/>
        <v>0</v>
      </c>
      <c r="AH22">
        <f t="shared" si="4"/>
        <v>0</v>
      </c>
      <c r="AI22">
        <f t="shared" si="4"/>
        <v>18354.807695</v>
      </c>
      <c r="AJ22">
        <f t="shared" si="4"/>
        <v>0</v>
      </c>
      <c r="AK22">
        <f t="shared" si="4"/>
        <v>0</v>
      </c>
      <c r="AL22">
        <f t="shared" si="4"/>
        <v>0</v>
      </c>
      <c r="AM22">
        <f t="shared" si="4"/>
        <v>0</v>
      </c>
    </row>
    <row r="23" spans="1:39" x14ac:dyDescent="0.3">
      <c r="Z23" s="1" t="s">
        <v>21</v>
      </c>
      <c r="AA23">
        <f>L7*$D$7</f>
        <v>4377.0072112500002</v>
      </c>
      <c r="AB23">
        <f t="shared" ref="AB23:AM23" si="5">M7*$D$7</f>
        <v>7295.0120187499997</v>
      </c>
      <c r="AC23">
        <f t="shared" si="5"/>
        <v>2918.0048075</v>
      </c>
      <c r="AD23">
        <f t="shared" si="5"/>
        <v>17508.028845000001</v>
      </c>
      <c r="AE23">
        <f t="shared" si="5"/>
        <v>0</v>
      </c>
      <c r="AF23">
        <f t="shared" si="5"/>
        <v>0</v>
      </c>
      <c r="AG23">
        <f t="shared" si="5"/>
        <v>0</v>
      </c>
      <c r="AH23">
        <f t="shared" si="5"/>
        <v>5836.0096149999999</v>
      </c>
      <c r="AI23">
        <f t="shared" si="5"/>
        <v>7295.0120187499997</v>
      </c>
      <c r="AJ23">
        <f t="shared" si="5"/>
        <v>16049.02644125</v>
      </c>
      <c r="AK23">
        <f t="shared" si="5"/>
        <v>0</v>
      </c>
      <c r="AL23">
        <f t="shared" si="5"/>
        <v>0</v>
      </c>
      <c r="AM23">
        <f t="shared" si="5"/>
        <v>0</v>
      </c>
    </row>
    <row r="24" spans="1:39" x14ac:dyDescent="0.3">
      <c r="K24" s="2" t="s">
        <v>36</v>
      </c>
      <c r="L24" s="2" t="s">
        <v>3</v>
      </c>
      <c r="M24" s="2" t="s">
        <v>4</v>
      </c>
      <c r="N24" s="2" t="s">
        <v>5</v>
      </c>
      <c r="O24" s="2" t="s">
        <v>6</v>
      </c>
      <c r="P24" s="2" t="s">
        <v>7</v>
      </c>
      <c r="Q24" s="2" t="s">
        <v>8</v>
      </c>
      <c r="R24" s="2" t="s">
        <v>9</v>
      </c>
      <c r="S24" s="2" t="s">
        <v>10</v>
      </c>
      <c r="T24" s="2" t="s">
        <v>11</v>
      </c>
      <c r="U24" s="2" t="s">
        <v>12</v>
      </c>
      <c r="V24" s="2" t="s">
        <v>13</v>
      </c>
      <c r="W24" s="2" t="s">
        <v>14</v>
      </c>
      <c r="X24" s="2" t="s">
        <v>15</v>
      </c>
      <c r="Z24" s="1" t="s">
        <v>22</v>
      </c>
      <c r="AA24">
        <f>L8*$D$8</f>
        <v>0</v>
      </c>
      <c r="AB24">
        <f t="shared" ref="AB24:AM24" si="6">M8*$D$8</f>
        <v>0</v>
      </c>
      <c r="AC24">
        <f t="shared" si="6"/>
        <v>15495</v>
      </c>
      <c r="AD24">
        <f t="shared" si="6"/>
        <v>72310</v>
      </c>
      <c r="AE24">
        <f t="shared" si="6"/>
        <v>20660</v>
      </c>
      <c r="AF24">
        <f t="shared" si="6"/>
        <v>30990</v>
      </c>
      <c r="AG24">
        <f t="shared" si="6"/>
        <v>0</v>
      </c>
      <c r="AH24">
        <f t="shared" si="6"/>
        <v>0</v>
      </c>
      <c r="AI24">
        <f t="shared" si="6"/>
        <v>25825</v>
      </c>
      <c r="AJ24">
        <f t="shared" si="6"/>
        <v>41320</v>
      </c>
      <c r="AK24">
        <f t="shared" si="6"/>
        <v>0</v>
      </c>
      <c r="AL24">
        <f t="shared" si="6"/>
        <v>0</v>
      </c>
      <c r="AM24">
        <f t="shared" si="6"/>
        <v>0</v>
      </c>
    </row>
    <row r="25" spans="1:39" x14ac:dyDescent="0.3">
      <c r="K25" s="1" t="s">
        <v>16</v>
      </c>
      <c r="L25">
        <f>L2/$E$2</f>
        <v>7.8431372549019607E-2</v>
      </c>
      <c r="M25">
        <f t="shared" ref="M25:X25" si="7">M2/$E$2</f>
        <v>0.39215686274509803</v>
      </c>
      <c r="N25">
        <f t="shared" si="7"/>
        <v>3.9215686274509803E-2</v>
      </c>
      <c r="O25">
        <f t="shared" si="7"/>
        <v>0.19607843137254902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9.8039215686274508E-2</v>
      </c>
      <c r="U25">
        <f t="shared" si="7"/>
        <v>0.19607843137254902</v>
      </c>
      <c r="V25">
        <f t="shared" si="7"/>
        <v>0</v>
      </c>
      <c r="W25">
        <f t="shared" si="7"/>
        <v>0</v>
      </c>
      <c r="X25">
        <f t="shared" si="7"/>
        <v>0</v>
      </c>
      <c r="Z25" s="1" t="s">
        <v>23</v>
      </c>
      <c r="AA25">
        <f>L9*$D$9</f>
        <v>0</v>
      </c>
      <c r="AB25">
        <f t="shared" ref="AB25:AM25" si="8">M9*$D$9</f>
        <v>0</v>
      </c>
      <c r="AC25">
        <f t="shared" si="8"/>
        <v>0</v>
      </c>
      <c r="AD25">
        <f t="shared" si="8"/>
        <v>0</v>
      </c>
      <c r="AE25">
        <f t="shared" si="8"/>
        <v>7551.9230775000005</v>
      </c>
      <c r="AF25">
        <f t="shared" si="8"/>
        <v>0</v>
      </c>
      <c r="AG25">
        <f t="shared" si="8"/>
        <v>0</v>
      </c>
      <c r="AH25">
        <f t="shared" si="8"/>
        <v>12083.076924000001</v>
      </c>
      <c r="AI25">
        <f t="shared" si="8"/>
        <v>6041.5384620000004</v>
      </c>
      <c r="AJ25">
        <f t="shared" si="8"/>
        <v>3020.7692310000002</v>
      </c>
      <c r="AK25">
        <f t="shared" si="8"/>
        <v>0</v>
      </c>
      <c r="AL25">
        <f t="shared" si="8"/>
        <v>0</v>
      </c>
      <c r="AM25">
        <f t="shared" si="8"/>
        <v>0</v>
      </c>
    </row>
    <row r="26" spans="1:39" x14ac:dyDescent="0.3">
      <c r="K26" s="1" t="s">
        <v>17</v>
      </c>
      <c r="L26">
        <f>L3/$E$3</f>
        <v>0.16129032258064516</v>
      </c>
      <c r="M26">
        <f t="shared" ref="M26:X26" si="9">M3/$E$3</f>
        <v>0</v>
      </c>
      <c r="N26">
        <f t="shared" si="9"/>
        <v>6.4516129032258063E-2</v>
      </c>
      <c r="O26">
        <f t="shared" si="9"/>
        <v>0.32258064516129031</v>
      </c>
      <c r="P26">
        <f t="shared" si="9"/>
        <v>0</v>
      </c>
      <c r="Q26">
        <f t="shared" si="9"/>
        <v>0</v>
      </c>
      <c r="R26">
        <f t="shared" si="9"/>
        <v>0</v>
      </c>
      <c r="S26">
        <f t="shared" si="9"/>
        <v>0.12903225806451613</v>
      </c>
      <c r="T26">
        <f t="shared" si="9"/>
        <v>0</v>
      </c>
      <c r="U26">
        <f t="shared" si="9"/>
        <v>0.32258064516129031</v>
      </c>
      <c r="V26">
        <f t="shared" si="9"/>
        <v>0</v>
      </c>
      <c r="W26">
        <f t="shared" si="9"/>
        <v>0</v>
      </c>
      <c r="X26">
        <f t="shared" si="9"/>
        <v>0</v>
      </c>
      <c r="Z26" s="1" t="s">
        <v>24</v>
      </c>
      <c r="AA26">
        <f>L10*$D$10</f>
        <v>0</v>
      </c>
      <c r="AB26">
        <f t="shared" ref="AB26:AM26" si="10">M10*$D$10</f>
        <v>0</v>
      </c>
      <c r="AC26">
        <f t="shared" si="10"/>
        <v>0</v>
      </c>
      <c r="AD26">
        <f t="shared" si="10"/>
        <v>0</v>
      </c>
      <c r="AE26">
        <f t="shared" si="10"/>
        <v>16752.403850000002</v>
      </c>
      <c r="AF26">
        <f t="shared" si="10"/>
        <v>23453.365389999999</v>
      </c>
      <c r="AG26">
        <f t="shared" si="10"/>
        <v>16752.403850000002</v>
      </c>
      <c r="AH26">
        <f t="shared" si="10"/>
        <v>0</v>
      </c>
      <c r="AI26">
        <f t="shared" si="10"/>
        <v>16752.403850000002</v>
      </c>
      <c r="AJ26">
        <f t="shared" si="10"/>
        <v>40205.769240000001</v>
      </c>
      <c r="AK26">
        <f t="shared" si="10"/>
        <v>0</v>
      </c>
      <c r="AL26">
        <f t="shared" si="10"/>
        <v>0</v>
      </c>
      <c r="AM26">
        <f t="shared" si="10"/>
        <v>0</v>
      </c>
    </row>
    <row r="27" spans="1:39" x14ac:dyDescent="0.3">
      <c r="K27" s="1" t="s">
        <v>18</v>
      </c>
      <c r="L27">
        <f>L4/$E$4</f>
        <v>0</v>
      </c>
      <c r="M27">
        <f t="shared" ref="M27:X27" si="11">M4/$E$4</f>
        <v>0.18421052631578946</v>
      </c>
      <c r="N27">
        <f t="shared" si="11"/>
        <v>7.8947368421052627E-2</v>
      </c>
      <c r="O27">
        <f t="shared" si="11"/>
        <v>0.31578947368421051</v>
      </c>
      <c r="P27">
        <f t="shared" si="11"/>
        <v>0</v>
      </c>
      <c r="Q27">
        <f t="shared" si="11"/>
        <v>0</v>
      </c>
      <c r="R27">
        <f t="shared" si="11"/>
        <v>0</v>
      </c>
      <c r="S27">
        <f t="shared" si="11"/>
        <v>0</v>
      </c>
      <c r="T27">
        <f t="shared" si="11"/>
        <v>0.15789473684210525</v>
      </c>
      <c r="U27">
        <f t="shared" si="11"/>
        <v>0.26315789473684209</v>
      </c>
      <c r="V27">
        <f t="shared" si="11"/>
        <v>0</v>
      </c>
      <c r="W27">
        <f t="shared" si="11"/>
        <v>0</v>
      </c>
      <c r="X27">
        <f t="shared" si="11"/>
        <v>0</v>
      </c>
      <c r="Z27" s="1" t="s">
        <v>25</v>
      </c>
      <c r="AA27">
        <f>L11*$D$11</f>
        <v>0</v>
      </c>
      <c r="AB27">
        <f t="shared" ref="AB27:AM27" si="12">M11*$D$11</f>
        <v>0</v>
      </c>
      <c r="AC27">
        <f t="shared" si="12"/>
        <v>0</v>
      </c>
      <c r="AD27">
        <f t="shared" si="12"/>
        <v>0</v>
      </c>
      <c r="AE27">
        <f t="shared" si="12"/>
        <v>9946.2259620000004</v>
      </c>
      <c r="AF27">
        <f t="shared" si="12"/>
        <v>11603.930289</v>
      </c>
      <c r="AG27">
        <f t="shared" si="12"/>
        <v>0</v>
      </c>
      <c r="AH27">
        <f t="shared" si="12"/>
        <v>0</v>
      </c>
      <c r="AI27">
        <f t="shared" si="12"/>
        <v>8288.5216349999992</v>
      </c>
      <c r="AJ27">
        <f t="shared" si="12"/>
        <v>13261.634615999999</v>
      </c>
      <c r="AK27">
        <f t="shared" si="12"/>
        <v>0</v>
      </c>
      <c r="AL27">
        <f t="shared" si="12"/>
        <v>0</v>
      </c>
      <c r="AM27">
        <f t="shared" si="12"/>
        <v>0</v>
      </c>
    </row>
    <row r="28" spans="1:39" x14ac:dyDescent="0.3">
      <c r="K28" s="1" t="s">
        <v>19</v>
      </c>
      <c r="L28">
        <f>L5/$E$5</f>
        <v>0.13333333333333333</v>
      </c>
      <c r="M28">
        <f t="shared" ref="M28:X28" si="13">M5/$E$5</f>
        <v>0.26666666666666666</v>
      </c>
      <c r="N28">
        <f t="shared" si="13"/>
        <v>0</v>
      </c>
      <c r="O28">
        <f t="shared" si="13"/>
        <v>0.4</v>
      </c>
      <c r="P28">
        <f t="shared" si="13"/>
        <v>0</v>
      </c>
      <c r="Q28">
        <f t="shared" si="13"/>
        <v>0</v>
      </c>
      <c r="R28">
        <f t="shared" si="13"/>
        <v>3.3333333333333333E-2</v>
      </c>
      <c r="S28">
        <f t="shared" si="13"/>
        <v>0.16666666666666666</v>
      </c>
      <c r="T28">
        <f t="shared" si="13"/>
        <v>0</v>
      </c>
      <c r="U28">
        <f t="shared" si="13"/>
        <v>0</v>
      </c>
      <c r="V28">
        <f t="shared" si="13"/>
        <v>0</v>
      </c>
      <c r="W28">
        <f t="shared" si="13"/>
        <v>0</v>
      </c>
      <c r="X28">
        <f t="shared" si="13"/>
        <v>0</v>
      </c>
      <c r="Z28" s="1" t="s">
        <v>26</v>
      </c>
      <c r="AA28">
        <f>L12*$D$12</f>
        <v>0</v>
      </c>
      <c r="AB28">
        <f t="shared" ref="AB28:AM28" si="14">M12*$D$12</f>
        <v>0</v>
      </c>
      <c r="AC28">
        <f t="shared" si="14"/>
        <v>0</v>
      </c>
      <c r="AD28">
        <f t="shared" si="14"/>
        <v>0</v>
      </c>
      <c r="AE28">
        <f t="shared" si="14"/>
        <v>29180.048074999999</v>
      </c>
      <c r="AF28">
        <f t="shared" si="14"/>
        <v>0</v>
      </c>
      <c r="AG28">
        <f t="shared" si="14"/>
        <v>8754.0144225000004</v>
      </c>
      <c r="AH28">
        <f t="shared" si="14"/>
        <v>0</v>
      </c>
      <c r="AI28">
        <f t="shared" si="14"/>
        <v>8754.0144225000004</v>
      </c>
      <c r="AJ28">
        <f t="shared" si="14"/>
        <v>0</v>
      </c>
      <c r="AK28">
        <f t="shared" si="14"/>
        <v>0</v>
      </c>
      <c r="AL28">
        <f t="shared" si="14"/>
        <v>0</v>
      </c>
      <c r="AM28">
        <f t="shared" si="14"/>
        <v>0</v>
      </c>
    </row>
    <row r="29" spans="1:39" x14ac:dyDescent="0.3">
      <c r="K29" s="1" t="s">
        <v>20</v>
      </c>
      <c r="L29">
        <f>L6/$E$6</f>
        <v>0</v>
      </c>
      <c r="M29">
        <f t="shared" ref="M29:X29" si="15">M6/$E$6</f>
        <v>0.2</v>
      </c>
      <c r="N29">
        <f t="shared" si="15"/>
        <v>0.1</v>
      </c>
      <c r="O29">
        <f t="shared" si="15"/>
        <v>0.46666666666666667</v>
      </c>
      <c r="P29">
        <f t="shared" si="15"/>
        <v>0</v>
      </c>
      <c r="Q29">
        <f t="shared" si="15"/>
        <v>0</v>
      </c>
      <c r="R29">
        <f t="shared" si="15"/>
        <v>0</v>
      </c>
      <c r="S29">
        <f t="shared" si="15"/>
        <v>0</v>
      </c>
      <c r="T29">
        <f t="shared" si="15"/>
        <v>0.23333333333333334</v>
      </c>
      <c r="U29">
        <f t="shared" si="15"/>
        <v>0</v>
      </c>
      <c r="V29">
        <f t="shared" si="15"/>
        <v>0</v>
      </c>
      <c r="W29">
        <f t="shared" si="15"/>
        <v>0</v>
      </c>
      <c r="X29">
        <f t="shared" si="15"/>
        <v>0</v>
      </c>
      <c r="Z29" s="1" t="s">
        <v>27</v>
      </c>
      <c r="AA29">
        <f>L13*$D$13</f>
        <v>0</v>
      </c>
      <c r="AB29">
        <f t="shared" ref="AB29:AM29" si="16">M13*$D$13</f>
        <v>0</v>
      </c>
      <c r="AC29">
        <f t="shared" si="16"/>
        <v>0</v>
      </c>
      <c r="AD29">
        <f t="shared" si="16"/>
        <v>0</v>
      </c>
      <c r="AE29">
        <f t="shared" si="16"/>
        <v>14337.884620000001</v>
      </c>
      <c r="AF29">
        <f t="shared" si="16"/>
        <v>14337.884620000001</v>
      </c>
      <c r="AG29">
        <f t="shared" si="16"/>
        <v>7168.9423100000004</v>
      </c>
      <c r="AH29">
        <f t="shared" si="16"/>
        <v>0</v>
      </c>
      <c r="AI29">
        <f t="shared" si="16"/>
        <v>17922.355775</v>
      </c>
      <c r="AJ29">
        <f t="shared" si="16"/>
        <v>32260.240395000001</v>
      </c>
      <c r="AK29">
        <f t="shared" si="16"/>
        <v>0</v>
      </c>
      <c r="AL29">
        <f t="shared" si="16"/>
        <v>0</v>
      </c>
      <c r="AM29">
        <f t="shared" si="16"/>
        <v>0</v>
      </c>
    </row>
    <row r="30" spans="1:39" x14ac:dyDescent="0.3">
      <c r="K30" s="1" t="s">
        <v>21</v>
      </c>
      <c r="L30">
        <f>L7/$E$7</f>
        <v>7.1428571428571425E-2</v>
      </c>
      <c r="M30">
        <f t="shared" ref="M30:X30" si="17">M7/$E$7</f>
        <v>0.11904761904761904</v>
      </c>
      <c r="N30">
        <f t="shared" si="17"/>
        <v>4.7619047619047616E-2</v>
      </c>
      <c r="O30">
        <f t="shared" si="17"/>
        <v>0.2857142857142857</v>
      </c>
      <c r="P30">
        <f t="shared" si="17"/>
        <v>0</v>
      </c>
      <c r="Q30">
        <f t="shared" si="17"/>
        <v>0</v>
      </c>
      <c r="R30">
        <f t="shared" si="17"/>
        <v>0</v>
      </c>
      <c r="S30">
        <f t="shared" si="17"/>
        <v>9.5238095238095233E-2</v>
      </c>
      <c r="T30">
        <f t="shared" si="17"/>
        <v>0.11904761904761904</v>
      </c>
      <c r="U30">
        <f t="shared" si="17"/>
        <v>0.26190476190476192</v>
      </c>
      <c r="V30">
        <f t="shared" si="17"/>
        <v>0</v>
      </c>
      <c r="W30">
        <f t="shared" si="17"/>
        <v>0</v>
      </c>
      <c r="X30">
        <f t="shared" si="17"/>
        <v>0</v>
      </c>
      <c r="Z30" s="1" t="s">
        <v>28</v>
      </c>
      <c r="AA30">
        <f>L14*$D$14</f>
        <v>0</v>
      </c>
      <c r="AB30">
        <f t="shared" ref="AB30:AM30" si="18">M14*$D$14</f>
        <v>0</v>
      </c>
      <c r="AC30">
        <f t="shared" si="18"/>
        <v>0</v>
      </c>
      <c r="AD30">
        <f t="shared" si="18"/>
        <v>0</v>
      </c>
      <c r="AE30">
        <f t="shared" si="18"/>
        <v>8961.1778849999992</v>
      </c>
      <c r="AF30">
        <f t="shared" si="18"/>
        <v>16130.120192999999</v>
      </c>
      <c r="AG30">
        <f t="shared" si="18"/>
        <v>5376.7067310000002</v>
      </c>
      <c r="AH30">
        <f t="shared" si="18"/>
        <v>14337.884615999999</v>
      </c>
      <c r="AI30">
        <f t="shared" si="18"/>
        <v>8961.1778849999992</v>
      </c>
      <c r="AJ30">
        <f t="shared" si="18"/>
        <v>0</v>
      </c>
      <c r="AK30">
        <f t="shared" si="18"/>
        <v>0</v>
      </c>
      <c r="AL30">
        <f t="shared" si="18"/>
        <v>0</v>
      </c>
      <c r="AM30">
        <f t="shared" si="18"/>
        <v>0</v>
      </c>
    </row>
    <row r="31" spans="1:39" x14ac:dyDescent="0.3">
      <c r="K31" s="1" t="s">
        <v>22</v>
      </c>
      <c r="L31">
        <f>L8/$E$8</f>
        <v>0</v>
      </c>
      <c r="M31">
        <f t="shared" ref="M31:X31" si="19">M8/$E$8</f>
        <v>0</v>
      </c>
      <c r="N31">
        <f t="shared" si="19"/>
        <v>7.4999999999999997E-2</v>
      </c>
      <c r="O31">
        <f t="shared" si="19"/>
        <v>0.35</v>
      </c>
      <c r="P31">
        <f t="shared" si="19"/>
        <v>0.1</v>
      </c>
      <c r="Q31">
        <f t="shared" si="19"/>
        <v>0.15</v>
      </c>
      <c r="R31">
        <f t="shared" si="19"/>
        <v>0</v>
      </c>
      <c r="S31">
        <f t="shared" si="19"/>
        <v>0</v>
      </c>
      <c r="T31">
        <f t="shared" si="19"/>
        <v>0.125</v>
      </c>
      <c r="U31">
        <f t="shared" si="19"/>
        <v>0.2</v>
      </c>
      <c r="V31">
        <f t="shared" si="19"/>
        <v>0</v>
      </c>
      <c r="W31">
        <f t="shared" si="19"/>
        <v>0</v>
      </c>
      <c r="X31">
        <f t="shared" si="19"/>
        <v>0</v>
      </c>
      <c r="Z31" s="1" t="s">
        <v>29</v>
      </c>
      <c r="AA31">
        <f>L15*$D$15</f>
        <v>0</v>
      </c>
      <c r="AB31">
        <f t="shared" ref="AB31:AM31" si="20">M15*$D$15</f>
        <v>0</v>
      </c>
      <c r="AC31">
        <f t="shared" si="20"/>
        <v>0</v>
      </c>
      <c r="AD31">
        <f t="shared" si="20"/>
        <v>0</v>
      </c>
      <c r="AE31">
        <f t="shared" si="20"/>
        <v>26752.692309999999</v>
      </c>
      <c r="AF31">
        <f t="shared" si="20"/>
        <v>40129.038464999998</v>
      </c>
      <c r="AG31">
        <f t="shared" si="20"/>
        <v>13376.346154999999</v>
      </c>
      <c r="AH31">
        <f t="shared" si="20"/>
        <v>46817.211542499994</v>
      </c>
      <c r="AI31">
        <f t="shared" si="20"/>
        <v>0</v>
      </c>
      <c r="AJ31">
        <f t="shared" si="20"/>
        <v>0</v>
      </c>
      <c r="AK31">
        <f t="shared" si="20"/>
        <v>0</v>
      </c>
      <c r="AL31">
        <f t="shared" si="20"/>
        <v>0</v>
      </c>
      <c r="AM31">
        <f t="shared" si="20"/>
        <v>0</v>
      </c>
    </row>
    <row r="32" spans="1:39" x14ac:dyDescent="0.3">
      <c r="K32" s="1" t="s">
        <v>23</v>
      </c>
      <c r="L32">
        <f>L9/$E$9</f>
        <v>0</v>
      </c>
      <c r="M32">
        <f t="shared" ref="M32:X32" si="21">M9/$E$9</f>
        <v>0</v>
      </c>
      <c r="N32">
        <f t="shared" si="21"/>
        <v>0</v>
      </c>
      <c r="O32">
        <f t="shared" si="21"/>
        <v>0</v>
      </c>
      <c r="P32">
        <f t="shared" si="21"/>
        <v>0.26315789473684209</v>
      </c>
      <c r="Q32">
        <f t="shared" si="21"/>
        <v>0</v>
      </c>
      <c r="R32">
        <f t="shared" si="21"/>
        <v>0</v>
      </c>
      <c r="S32">
        <f t="shared" si="21"/>
        <v>0.42105263157894735</v>
      </c>
      <c r="T32">
        <f t="shared" si="21"/>
        <v>0.21052631578947367</v>
      </c>
      <c r="U32">
        <f t="shared" si="21"/>
        <v>0.10526315789473684</v>
      </c>
      <c r="V32">
        <f t="shared" si="21"/>
        <v>0</v>
      </c>
      <c r="W32">
        <f t="shared" si="21"/>
        <v>0</v>
      </c>
      <c r="X32">
        <f t="shared" si="21"/>
        <v>0</v>
      </c>
      <c r="Z32" s="1" t="s">
        <v>30</v>
      </c>
      <c r="AA32">
        <f>L16*$D$16</f>
        <v>0</v>
      </c>
      <c r="AB32">
        <f t="shared" ref="AB32:AM32" si="22">M16*$D$16</f>
        <v>0</v>
      </c>
      <c r="AC32">
        <f t="shared" si="22"/>
        <v>0</v>
      </c>
      <c r="AD32">
        <f t="shared" si="22"/>
        <v>0</v>
      </c>
      <c r="AE32">
        <f t="shared" si="22"/>
        <v>2265.5769232500002</v>
      </c>
      <c r="AF32">
        <f t="shared" si="22"/>
        <v>3775.9615387500003</v>
      </c>
      <c r="AG32">
        <f t="shared" si="22"/>
        <v>1510.3846155000001</v>
      </c>
      <c r="AH32">
        <f t="shared" si="22"/>
        <v>7551.9230775000005</v>
      </c>
      <c r="AI32">
        <f t="shared" si="22"/>
        <v>0</v>
      </c>
      <c r="AJ32">
        <f t="shared" si="22"/>
        <v>7551.9230775000005</v>
      </c>
      <c r="AK32">
        <f t="shared" si="22"/>
        <v>0</v>
      </c>
      <c r="AL32">
        <f t="shared" si="22"/>
        <v>0</v>
      </c>
      <c r="AM32">
        <f t="shared" si="22"/>
        <v>0</v>
      </c>
    </row>
    <row r="33" spans="11:39" x14ac:dyDescent="0.3">
      <c r="K33" s="1" t="s">
        <v>24</v>
      </c>
      <c r="L33">
        <f>L10/$E$10</f>
        <v>0</v>
      </c>
      <c r="M33">
        <f t="shared" ref="M33:X33" si="23">M10/$E$10</f>
        <v>0</v>
      </c>
      <c r="N33">
        <f t="shared" si="23"/>
        <v>0</v>
      </c>
      <c r="O33">
        <f t="shared" si="23"/>
        <v>0</v>
      </c>
      <c r="P33">
        <f t="shared" si="23"/>
        <v>0.14705882352941177</v>
      </c>
      <c r="Q33">
        <f t="shared" si="23"/>
        <v>0.20588235294117646</v>
      </c>
      <c r="R33">
        <f t="shared" si="23"/>
        <v>0.14705882352941177</v>
      </c>
      <c r="S33">
        <f t="shared" si="23"/>
        <v>0</v>
      </c>
      <c r="T33">
        <f t="shared" si="23"/>
        <v>0.14705882352941177</v>
      </c>
      <c r="U33">
        <f t="shared" si="23"/>
        <v>0.35294117647058826</v>
      </c>
      <c r="V33">
        <f t="shared" si="23"/>
        <v>0</v>
      </c>
      <c r="W33">
        <f t="shared" si="23"/>
        <v>0</v>
      </c>
      <c r="X33">
        <f t="shared" si="23"/>
        <v>0</v>
      </c>
      <c r="Z33" s="1" t="s">
        <v>31</v>
      </c>
      <c r="AA33">
        <f>L17*$D$17</f>
        <v>0</v>
      </c>
      <c r="AB33">
        <f t="shared" ref="AB33:AM33" si="24">M17*$D$17</f>
        <v>0</v>
      </c>
      <c r="AC33">
        <f t="shared" si="24"/>
        <v>0</v>
      </c>
      <c r="AD33">
        <f t="shared" si="24"/>
        <v>0</v>
      </c>
      <c r="AE33">
        <f t="shared" si="24"/>
        <v>0</v>
      </c>
      <c r="AF33">
        <f t="shared" si="24"/>
        <v>22579.326925000001</v>
      </c>
      <c r="AG33">
        <f t="shared" si="24"/>
        <v>0</v>
      </c>
      <c r="AH33">
        <f t="shared" si="24"/>
        <v>90317.307700000005</v>
      </c>
      <c r="AI33">
        <f t="shared" si="24"/>
        <v>22579.326925000001</v>
      </c>
      <c r="AJ33">
        <f t="shared" si="24"/>
        <v>45158.653850000002</v>
      </c>
      <c r="AK33">
        <f t="shared" si="24"/>
        <v>0</v>
      </c>
      <c r="AL33">
        <f t="shared" si="24"/>
        <v>0</v>
      </c>
      <c r="AM33">
        <f t="shared" si="24"/>
        <v>0</v>
      </c>
    </row>
    <row r="34" spans="11:39" x14ac:dyDescent="0.3">
      <c r="K34" s="1" t="s">
        <v>25</v>
      </c>
      <c r="L34">
        <f>L11/$E$11</f>
        <v>0</v>
      </c>
      <c r="M34">
        <f t="shared" ref="M34:X34" si="25">M11/$E$11</f>
        <v>0</v>
      </c>
      <c r="N34">
        <f t="shared" si="25"/>
        <v>0</v>
      </c>
      <c r="O34">
        <f t="shared" si="25"/>
        <v>0</v>
      </c>
      <c r="P34">
        <f t="shared" si="25"/>
        <v>0.23076923076923078</v>
      </c>
      <c r="Q34">
        <f t="shared" si="25"/>
        <v>0.26923076923076922</v>
      </c>
      <c r="R34">
        <f t="shared" si="25"/>
        <v>0</v>
      </c>
      <c r="S34">
        <f t="shared" si="25"/>
        <v>0</v>
      </c>
      <c r="T34">
        <f t="shared" si="25"/>
        <v>0.19230769230769232</v>
      </c>
      <c r="U34">
        <f t="shared" si="25"/>
        <v>0.30769230769230771</v>
      </c>
      <c r="V34">
        <f t="shared" si="25"/>
        <v>0</v>
      </c>
      <c r="W34">
        <f t="shared" si="25"/>
        <v>0</v>
      </c>
      <c r="X34">
        <f t="shared" si="25"/>
        <v>0</v>
      </c>
      <c r="Z34" s="1" t="s">
        <v>32</v>
      </c>
      <c r="AA34">
        <f>L18*$D$18</f>
        <v>0</v>
      </c>
      <c r="AB34">
        <f t="shared" ref="AB34:AL34" si="26">M18*$D$18</f>
        <v>0</v>
      </c>
      <c r="AC34">
        <f t="shared" si="26"/>
        <v>0</v>
      </c>
      <c r="AD34">
        <f t="shared" si="26"/>
        <v>0</v>
      </c>
      <c r="AE34">
        <f t="shared" si="26"/>
        <v>0</v>
      </c>
      <c r="AF34">
        <f t="shared" si="26"/>
        <v>0</v>
      </c>
      <c r="AG34">
        <f t="shared" si="26"/>
        <v>0</v>
      </c>
      <c r="AH34">
        <f t="shared" si="26"/>
        <v>0</v>
      </c>
      <c r="AI34">
        <f t="shared" si="26"/>
        <v>0</v>
      </c>
      <c r="AJ34">
        <f t="shared" si="26"/>
        <v>0</v>
      </c>
      <c r="AK34">
        <f t="shared" si="26"/>
        <v>5376.7067310000002</v>
      </c>
      <c r="AL34">
        <f t="shared" si="26"/>
        <v>21506.826924000001</v>
      </c>
      <c r="AM34">
        <f>X18*$D$18</f>
        <v>25091.298078</v>
      </c>
    </row>
    <row r="35" spans="11:39" x14ac:dyDescent="0.3">
      <c r="K35" s="1" t="s">
        <v>26</v>
      </c>
      <c r="L35">
        <f>L12/$E$12</f>
        <v>0</v>
      </c>
      <c r="M35">
        <f t="shared" ref="M35:X35" si="27">M12/$E$12</f>
        <v>0</v>
      </c>
      <c r="N35">
        <f t="shared" si="27"/>
        <v>0</v>
      </c>
      <c r="O35">
        <f t="shared" si="27"/>
        <v>0</v>
      </c>
      <c r="P35">
        <f t="shared" si="27"/>
        <v>0.625</v>
      </c>
      <c r="Q35">
        <f t="shared" si="27"/>
        <v>0</v>
      </c>
      <c r="R35">
        <f t="shared" si="27"/>
        <v>0.1875</v>
      </c>
      <c r="S35">
        <f t="shared" si="27"/>
        <v>0</v>
      </c>
      <c r="T35">
        <f t="shared" si="27"/>
        <v>0.1875</v>
      </c>
      <c r="U35">
        <f t="shared" si="27"/>
        <v>0</v>
      </c>
      <c r="V35">
        <f t="shared" si="27"/>
        <v>0</v>
      </c>
      <c r="W35">
        <f t="shared" si="27"/>
        <v>0</v>
      </c>
      <c r="X35">
        <f t="shared" si="27"/>
        <v>0</v>
      </c>
      <c r="Z35" s="1" t="s">
        <v>33</v>
      </c>
      <c r="AA35">
        <f>L19*$D$19</f>
        <v>0</v>
      </c>
      <c r="AB35">
        <f t="shared" ref="AB35:AM35" si="28">M19*$D$19</f>
        <v>0</v>
      </c>
      <c r="AC35">
        <f t="shared" si="28"/>
        <v>0</v>
      </c>
      <c r="AD35">
        <f t="shared" si="28"/>
        <v>0</v>
      </c>
      <c r="AE35">
        <f t="shared" si="28"/>
        <v>0</v>
      </c>
      <c r="AF35">
        <f t="shared" si="28"/>
        <v>0</v>
      </c>
      <c r="AG35">
        <f t="shared" si="28"/>
        <v>0</v>
      </c>
      <c r="AH35">
        <f t="shared" si="28"/>
        <v>0</v>
      </c>
      <c r="AI35">
        <f t="shared" si="28"/>
        <v>0</v>
      </c>
      <c r="AJ35">
        <f t="shared" si="28"/>
        <v>0</v>
      </c>
      <c r="AK35">
        <f t="shared" si="28"/>
        <v>21564.182687500001</v>
      </c>
      <c r="AL35">
        <f t="shared" si="28"/>
        <v>21564.182687500001</v>
      </c>
      <c r="AM35">
        <f t="shared" si="28"/>
        <v>64692.548062500005</v>
      </c>
    </row>
    <row r="36" spans="11:39" x14ac:dyDescent="0.3">
      <c r="K36" s="1" t="s">
        <v>27</v>
      </c>
      <c r="L36">
        <f>L13/$E$13</f>
        <v>0</v>
      </c>
      <c r="M36">
        <f t="shared" ref="M36:X36" si="29">M13/$E$13</f>
        <v>0</v>
      </c>
      <c r="N36">
        <f t="shared" si="29"/>
        <v>0</v>
      </c>
      <c r="O36">
        <f t="shared" si="29"/>
        <v>0</v>
      </c>
      <c r="P36">
        <f t="shared" si="29"/>
        <v>0.16666666666666666</v>
      </c>
      <c r="Q36">
        <f t="shared" si="29"/>
        <v>0.16666666666666666</v>
      </c>
      <c r="R36">
        <f t="shared" si="29"/>
        <v>8.3333333333333329E-2</v>
      </c>
      <c r="S36">
        <f t="shared" si="29"/>
        <v>0</v>
      </c>
      <c r="T36">
        <f t="shared" si="29"/>
        <v>0.20833333333333334</v>
      </c>
      <c r="U36">
        <f t="shared" si="29"/>
        <v>0.375</v>
      </c>
      <c r="V36">
        <f t="shared" si="29"/>
        <v>0</v>
      </c>
      <c r="W36">
        <f t="shared" si="29"/>
        <v>0</v>
      </c>
      <c r="X36">
        <f t="shared" si="29"/>
        <v>0</v>
      </c>
      <c r="Z36" s="1" t="s">
        <v>34</v>
      </c>
      <c r="AA36">
        <f>L20*$D$20</f>
        <v>0</v>
      </c>
      <c r="AB36">
        <f t="shared" ref="AB36:AM36" si="30">M20*$D$20</f>
        <v>0</v>
      </c>
      <c r="AC36">
        <f t="shared" si="30"/>
        <v>0</v>
      </c>
      <c r="AD36">
        <f t="shared" si="30"/>
        <v>0</v>
      </c>
      <c r="AE36">
        <f t="shared" si="30"/>
        <v>0</v>
      </c>
      <c r="AF36">
        <f t="shared" si="30"/>
        <v>0</v>
      </c>
      <c r="AG36">
        <f t="shared" si="30"/>
        <v>0</v>
      </c>
      <c r="AH36">
        <f t="shared" si="30"/>
        <v>0</v>
      </c>
      <c r="AI36">
        <f t="shared" si="30"/>
        <v>0</v>
      </c>
      <c r="AJ36">
        <f t="shared" si="30"/>
        <v>0</v>
      </c>
      <c r="AK36">
        <f t="shared" si="30"/>
        <v>0</v>
      </c>
      <c r="AL36">
        <f t="shared" si="30"/>
        <v>124397.5</v>
      </c>
      <c r="AM36">
        <f t="shared" si="30"/>
        <v>182937.5</v>
      </c>
    </row>
    <row r="37" spans="11:39" x14ac:dyDescent="0.3">
      <c r="K37" s="1" t="s">
        <v>28</v>
      </c>
      <c r="L37">
        <f>L14/$E$14</f>
        <v>0</v>
      </c>
      <c r="M37">
        <f t="shared" ref="M37:X37" si="31">M14/$E$14</f>
        <v>0</v>
      </c>
      <c r="N37">
        <f t="shared" si="31"/>
        <v>0</v>
      </c>
      <c r="O37">
        <f t="shared" si="31"/>
        <v>0</v>
      </c>
      <c r="P37">
        <f t="shared" si="31"/>
        <v>0.16666666666666666</v>
      </c>
      <c r="Q37">
        <f t="shared" si="31"/>
        <v>0.3</v>
      </c>
      <c r="R37">
        <f t="shared" si="31"/>
        <v>0.1</v>
      </c>
      <c r="S37">
        <f t="shared" si="31"/>
        <v>0.26666666666666666</v>
      </c>
      <c r="T37">
        <f t="shared" si="31"/>
        <v>0.16666666666666666</v>
      </c>
      <c r="U37">
        <f t="shared" si="31"/>
        <v>0</v>
      </c>
      <c r="V37">
        <f t="shared" si="31"/>
        <v>0</v>
      </c>
      <c r="W37">
        <f t="shared" si="31"/>
        <v>0</v>
      </c>
      <c r="X37">
        <f t="shared" si="31"/>
        <v>0</v>
      </c>
      <c r="Z37" s="1" t="s">
        <v>35</v>
      </c>
      <c r="AA37">
        <f>L21*$D$21</f>
        <v>0</v>
      </c>
      <c r="AB37">
        <f t="shared" ref="AB37:AM37" si="32">M21*$D$21</f>
        <v>0</v>
      </c>
      <c r="AC37">
        <f t="shared" si="32"/>
        <v>0</v>
      </c>
      <c r="AD37">
        <f t="shared" si="32"/>
        <v>0</v>
      </c>
      <c r="AE37">
        <f t="shared" si="32"/>
        <v>0</v>
      </c>
      <c r="AF37">
        <f t="shared" si="32"/>
        <v>0</v>
      </c>
      <c r="AG37">
        <f t="shared" si="32"/>
        <v>0</v>
      </c>
      <c r="AH37">
        <f t="shared" si="32"/>
        <v>0</v>
      </c>
      <c r="AI37">
        <f t="shared" si="32"/>
        <v>0</v>
      </c>
      <c r="AJ37">
        <f t="shared" si="32"/>
        <v>0</v>
      </c>
      <c r="AK37">
        <f t="shared" si="32"/>
        <v>16290.43269</v>
      </c>
      <c r="AL37">
        <f t="shared" si="32"/>
        <v>43441.153839999999</v>
      </c>
      <c r="AM37">
        <f t="shared" si="32"/>
        <v>65161.730759999999</v>
      </c>
    </row>
    <row r="38" spans="11:39" x14ac:dyDescent="0.3">
      <c r="K38" s="1" t="s">
        <v>29</v>
      </c>
      <c r="L38">
        <f>L15/$E$15</f>
        <v>0</v>
      </c>
      <c r="M38">
        <f t="shared" ref="M38:X38" si="33">M15/$E$15</f>
        <v>0</v>
      </c>
      <c r="N38">
        <f t="shared" si="33"/>
        <v>0</v>
      </c>
      <c r="O38">
        <f t="shared" si="33"/>
        <v>0</v>
      </c>
      <c r="P38">
        <f t="shared" si="33"/>
        <v>0.21052631578947367</v>
      </c>
      <c r="Q38">
        <f t="shared" si="33"/>
        <v>0.31578947368421051</v>
      </c>
      <c r="R38">
        <f t="shared" si="33"/>
        <v>0.10526315789473684</v>
      </c>
      <c r="S38">
        <f t="shared" si="33"/>
        <v>0.36842105263157893</v>
      </c>
      <c r="T38">
        <f t="shared" si="33"/>
        <v>0</v>
      </c>
      <c r="U38">
        <f t="shared" si="33"/>
        <v>0</v>
      </c>
      <c r="V38">
        <f t="shared" si="33"/>
        <v>0</v>
      </c>
      <c r="W38">
        <f t="shared" si="33"/>
        <v>0</v>
      </c>
      <c r="X38">
        <f t="shared" si="33"/>
        <v>0</v>
      </c>
      <c r="Z38" s="1" t="s">
        <v>74</v>
      </c>
      <c r="AA38">
        <f>SUM(AA18:AA37)</f>
        <v>68398.545671250002</v>
      </c>
      <c r="AB38">
        <f t="shared" ref="AB38:AM38" si="34">SUM(AB18:AB37)</f>
        <v>217573.713934</v>
      </c>
      <c r="AC38">
        <f t="shared" si="34"/>
        <v>55764.374999750005</v>
      </c>
      <c r="AD38">
        <f t="shared" si="34"/>
        <v>308260.64903900004</v>
      </c>
      <c r="AE38">
        <f t="shared" si="34"/>
        <v>136407.93270274997</v>
      </c>
      <c r="AF38">
        <f t="shared" si="34"/>
        <v>162999.62742075001</v>
      </c>
      <c r="AG38">
        <f t="shared" si="34"/>
        <v>56316.105776500001</v>
      </c>
      <c r="AH38">
        <f t="shared" si="34"/>
        <v>209757.45193750001</v>
      </c>
      <c r="AI38">
        <f t="shared" si="34"/>
        <v>191467.43991525003</v>
      </c>
      <c r="AJ38">
        <f t="shared" si="34"/>
        <v>335886.79088325001</v>
      </c>
      <c r="AK38">
        <f t="shared" si="34"/>
        <v>43231.322108500004</v>
      </c>
      <c r="AL38">
        <f t="shared" si="34"/>
        <v>210909.6634515</v>
      </c>
      <c r="AM38">
        <f t="shared" si="34"/>
        <v>337883.07690050005</v>
      </c>
    </row>
    <row r="39" spans="11:39" x14ac:dyDescent="0.3">
      <c r="K39" s="1" t="s">
        <v>30</v>
      </c>
      <c r="L39">
        <f>L16/$E$16</f>
        <v>0</v>
      </c>
      <c r="M39">
        <f t="shared" ref="M39:X39" si="35">M16/$E$16</f>
        <v>0</v>
      </c>
      <c r="N39">
        <f t="shared" si="35"/>
        <v>0</v>
      </c>
      <c r="O39">
        <f t="shared" si="35"/>
        <v>0</v>
      </c>
      <c r="P39">
        <f t="shared" si="35"/>
        <v>0.1</v>
      </c>
      <c r="Q39">
        <f t="shared" si="35"/>
        <v>0.16666666666666666</v>
      </c>
      <c r="R39">
        <f t="shared" si="35"/>
        <v>6.6666666666666666E-2</v>
      </c>
      <c r="S39">
        <f t="shared" si="35"/>
        <v>0.33333333333333331</v>
      </c>
      <c r="T39">
        <f t="shared" si="35"/>
        <v>0</v>
      </c>
      <c r="U39">
        <f t="shared" si="35"/>
        <v>0.33333333333333331</v>
      </c>
      <c r="V39">
        <f t="shared" si="35"/>
        <v>0</v>
      </c>
      <c r="W39">
        <f t="shared" si="35"/>
        <v>0</v>
      </c>
      <c r="X39">
        <f t="shared" si="35"/>
        <v>0</v>
      </c>
      <c r="Z39" s="1" t="s">
        <v>75</v>
      </c>
      <c r="AA39">
        <f>5*16*60*L78</f>
        <v>81600</v>
      </c>
      <c r="AB39">
        <f t="shared" ref="AB39:AM39" si="36">5*16*60*M78</f>
        <v>249600</v>
      </c>
      <c r="AC39">
        <f t="shared" si="36"/>
        <v>67200</v>
      </c>
      <c r="AD39">
        <f t="shared" si="36"/>
        <v>350400</v>
      </c>
      <c r="AE39">
        <f t="shared" si="36"/>
        <v>158400</v>
      </c>
      <c r="AF39">
        <f t="shared" si="36"/>
        <v>187200</v>
      </c>
      <c r="AG39">
        <f t="shared" si="36"/>
        <v>67200</v>
      </c>
      <c r="AH39">
        <f t="shared" si="36"/>
        <v>240000</v>
      </c>
      <c r="AI39">
        <f t="shared" si="36"/>
        <v>220800</v>
      </c>
      <c r="AJ39">
        <f t="shared" si="36"/>
        <v>384000</v>
      </c>
      <c r="AK39">
        <f t="shared" si="36"/>
        <v>52800</v>
      </c>
      <c r="AL39">
        <f t="shared" si="36"/>
        <v>240000</v>
      </c>
      <c r="AM39">
        <f t="shared" si="36"/>
        <v>384000</v>
      </c>
    </row>
    <row r="40" spans="11:39" x14ac:dyDescent="0.3">
      <c r="K40" s="1" t="s">
        <v>31</v>
      </c>
      <c r="L40">
        <f>L17/$E$17</f>
        <v>0</v>
      </c>
      <c r="M40">
        <f t="shared" ref="M40:X40" si="37">M17/$E$17</f>
        <v>0</v>
      </c>
      <c r="N40">
        <f t="shared" si="37"/>
        <v>0</v>
      </c>
      <c r="O40">
        <f t="shared" si="37"/>
        <v>0</v>
      </c>
      <c r="P40">
        <f t="shared" si="37"/>
        <v>0</v>
      </c>
      <c r="Q40">
        <f t="shared" si="37"/>
        <v>0.125</v>
      </c>
      <c r="R40">
        <f t="shared" si="37"/>
        <v>0</v>
      </c>
      <c r="S40">
        <f t="shared" si="37"/>
        <v>0.5</v>
      </c>
      <c r="T40">
        <f t="shared" si="37"/>
        <v>0.125</v>
      </c>
      <c r="U40">
        <f t="shared" si="37"/>
        <v>0.25</v>
      </c>
      <c r="V40">
        <f t="shared" si="37"/>
        <v>0</v>
      </c>
      <c r="W40">
        <f t="shared" si="37"/>
        <v>0</v>
      </c>
      <c r="X40">
        <f t="shared" si="37"/>
        <v>0</v>
      </c>
      <c r="Z40" s="30" t="s">
        <v>76</v>
      </c>
      <c r="AA40" s="32">
        <f>AA38/AA39</f>
        <v>0.83821747146139713</v>
      </c>
      <c r="AB40" s="32">
        <f t="shared" ref="AB40:AM40" si="38">AB38/AB39</f>
        <v>0.87168955903044876</v>
      </c>
      <c r="AC40" s="32">
        <f t="shared" si="38"/>
        <v>0.82982700892485128</v>
      </c>
      <c r="AD40" s="32">
        <f t="shared" si="38"/>
        <v>0.87973929520262573</v>
      </c>
      <c r="AE40" s="32">
        <f t="shared" si="38"/>
        <v>0.86116119130523971</v>
      </c>
      <c r="AF40" s="32">
        <f t="shared" si="38"/>
        <v>0.8707245054527244</v>
      </c>
      <c r="AG40" s="32">
        <f t="shared" si="38"/>
        <v>0.83803728834077384</v>
      </c>
      <c r="AH40" s="32">
        <f t="shared" si="38"/>
        <v>0.87398938307291674</v>
      </c>
      <c r="AI40" s="32">
        <f t="shared" si="38"/>
        <v>0.86715326048573382</v>
      </c>
      <c r="AJ40" s="32">
        <f t="shared" si="38"/>
        <v>0.87470518459179691</v>
      </c>
      <c r="AK40" s="32">
        <f t="shared" si="38"/>
        <v>0.81877503993371215</v>
      </c>
      <c r="AL40" s="32">
        <f t="shared" si="38"/>
        <v>0.87879026438124996</v>
      </c>
      <c r="AM40" s="32">
        <f t="shared" si="38"/>
        <v>0.87990384609505223</v>
      </c>
    </row>
    <row r="41" spans="11:39" x14ac:dyDescent="0.3">
      <c r="K41" s="1" t="s">
        <v>32</v>
      </c>
      <c r="L41">
        <f>L18/$E$18</f>
        <v>0</v>
      </c>
      <c r="M41">
        <f t="shared" ref="M41:X41" si="39">M18/$E$18</f>
        <v>0</v>
      </c>
      <c r="N41">
        <f t="shared" si="39"/>
        <v>0</v>
      </c>
      <c r="O41">
        <f t="shared" si="39"/>
        <v>0</v>
      </c>
      <c r="P41">
        <f t="shared" si="39"/>
        <v>0</v>
      </c>
      <c r="Q41">
        <f t="shared" si="39"/>
        <v>0</v>
      </c>
      <c r="R41">
        <f t="shared" si="39"/>
        <v>0</v>
      </c>
      <c r="S41">
        <f t="shared" si="39"/>
        <v>0</v>
      </c>
      <c r="T41">
        <f t="shared" si="39"/>
        <v>0</v>
      </c>
      <c r="U41">
        <f t="shared" si="39"/>
        <v>0</v>
      </c>
      <c r="V41">
        <f t="shared" si="39"/>
        <v>0.10344827586206896</v>
      </c>
      <c r="W41">
        <f t="shared" si="39"/>
        <v>0.41379310344827586</v>
      </c>
      <c r="X41">
        <f t="shared" si="39"/>
        <v>0.48275862068965519</v>
      </c>
    </row>
    <row r="42" spans="11:39" x14ac:dyDescent="0.3">
      <c r="K42" s="1" t="s">
        <v>33</v>
      </c>
      <c r="L42">
        <f>L19/$E$19</f>
        <v>0</v>
      </c>
      <c r="M42">
        <f t="shared" ref="M42:X42" si="40">M19/$E$19</f>
        <v>0</v>
      </c>
      <c r="N42">
        <f t="shared" si="40"/>
        <v>0</v>
      </c>
      <c r="O42">
        <f t="shared" si="40"/>
        <v>0</v>
      </c>
      <c r="P42">
        <f t="shared" si="40"/>
        <v>0</v>
      </c>
      <c r="Q42">
        <f t="shared" si="40"/>
        <v>0</v>
      </c>
      <c r="R42">
        <f t="shared" si="40"/>
        <v>0</v>
      </c>
      <c r="S42">
        <f t="shared" si="40"/>
        <v>0</v>
      </c>
      <c r="T42">
        <f t="shared" si="40"/>
        <v>0</v>
      </c>
      <c r="U42">
        <f t="shared" si="40"/>
        <v>0</v>
      </c>
      <c r="V42">
        <f t="shared" si="40"/>
        <v>0.2</v>
      </c>
      <c r="W42">
        <f t="shared" si="40"/>
        <v>0.2</v>
      </c>
      <c r="X42">
        <f t="shared" si="40"/>
        <v>0.6</v>
      </c>
      <c r="AK42" s="55" t="s">
        <v>94</v>
      </c>
      <c r="AL42" s="55"/>
      <c r="AM42" s="9">
        <f>(SUM(AA38:AM38)/SUM(AA39:AM39))</f>
        <v>0.87017616828432465</v>
      </c>
    </row>
    <row r="43" spans="11:39" x14ac:dyDescent="0.3">
      <c r="K43" s="1" t="s">
        <v>34</v>
      </c>
      <c r="L43">
        <f>L20/$E$20</f>
        <v>0</v>
      </c>
      <c r="M43">
        <f t="shared" ref="M43:X43" si="41">M20/$E$20</f>
        <v>0</v>
      </c>
      <c r="N43">
        <f t="shared" si="41"/>
        <v>0</v>
      </c>
      <c r="O43">
        <f t="shared" si="41"/>
        <v>0</v>
      </c>
      <c r="P43">
        <f t="shared" si="41"/>
        <v>0</v>
      </c>
      <c r="Q43">
        <f t="shared" si="41"/>
        <v>0</v>
      </c>
      <c r="R43">
        <f t="shared" si="41"/>
        <v>0</v>
      </c>
      <c r="S43">
        <f t="shared" si="41"/>
        <v>0</v>
      </c>
      <c r="T43">
        <f t="shared" si="41"/>
        <v>0</v>
      </c>
      <c r="U43">
        <f t="shared" si="41"/>
        <v>0</v>
      </c>
      <c r="V43">
        <f t="shared" si="41"/>
        <v>0</v>
      </c>
      <c r="W43">
        <f t="shared" si="41"/>
        <v>0.40476190476190477</v>
      </c>
      <c r="X43">
        <f t="shared" si="41"/>
        <v>0.59523809523809523</v>
      </c>
      <c r="AK43" s="55" t="s">
        <v>106</v>
      </c>
      <c r="AL43" s="55"/>
      <c r="AM43" s="9">
        <f>1-AM42</f>
        <v>0.12982383171567535</v>
      </c>
    </row>
    <row r="44" spans="11:39" x14ac:dyDescent="0.3">
      <c r="K44" s="1" t="s">
        <v>35</v>
      </c>
      <c r="L44">
        <f>L21/$E$21</f>
        <v>0</v>
      </c>
      <c r="M44">
        <f t="shared" ref="M44:X44" si="42">M21/$E$21</f>
        <v>0</v>
      </c>
      <c r="N44">
        <f t="shared" si="42"/>
        <v>0</v>
      </c>
      <c r="O44">
        <f t="shared" si="42"/>
        <v>0</v>
      </c>
      <c r="P44">
        <f t="shared" si="42"/>
        <v>0</v>
      </c>
      <c r="Q44">
        <f t="shared" si="42"/>
        <v>0</v>
      </c>
      <c r="R44">
        <f t="shared" si="42"/>
        <v>0</v>
      </c>
      <c r="S44">
        <f t="shared" si="42"/>
        <v>0</v>
      </c>
      <c r="T44">
        <f t="shared" si="42"/>
        <v>0</v>
      </c>
      <c r="U44">
        <f t="shared" si="42"/>
        <v>0</v>
      </c>
      <c r="V44">
        <f t="shared" si="42"/>
        <v>0.13043478260869565</v>
      </c>
      <c r="W44">
        <f t="shared" si="42"/>
        <v>0.34782608695652173</v>
      </c>
      <c r="X44">
        <f t="shared" si="42"/>
        <v>0.52173913043478259</v>
      </c>
    </row>
    <row r="47" spans="11:39" x14ac:dyDescent="0.3">
      <c r="K47" s="2" t="s">
        <v>97</v>
      </c>
      <c r="L47" s="2" t="s">
        <v>3</v>
      </c>
      <c r="M47" s="2" t="s">
        <v>4</v>
      </c>
      <c r="N47" s="2" t="s">
        <v>5</v>
      </c>
      <c r="O47" s="2" t="s">
        <v>6</v>
      </c>
      <c r="P47" s="2" t="s">
        <v>7</v>
      </c>
      <c r="Q47" s="2" t="s">
        <v>8</v>
      </c>
      <c r="R47" s="2" t="s">
        <v>9</v>
      </c>
      <c r="S47" s="2" t="s">
        <v>10</v>
      </c>
      <c r="T47" s="2" t="s">
        <v>11</v>
      </c>
      <c r="U47" s="2" t="s">
        <v>12</v>
      </c>
      <c r="V47" s="2" t="s">
        <v>13</v>
      </c>
      <c r="W47" s="2" t="s">
        <v>14</v>
      </c>
      <c r="X47" s="2" t="s">
        <v>15</v>
      </c>
      <c r="Z47" s="13" t="s">
        <v>0</v>
      </c>
      <c r="AA47" s="51" t="s">
        <v>77</v>
      </c>
      <c r="AB47" s="52"/>
      <c r="AC47" s="52"/>
      <c r="AD47" s="53"/>
      <c r="AE47" s="14" t="s">
        <v>78</v>
      </c>
    </row>
    <row r="48" spans="11:39" x14ac:dyDescent="0.3">
      <c r="K48" s="1" t="s">
        <v>16</v>
      </c>
      <c r="L48">
        <f>L25*$G$2</f>
        <v>34697.20259607843</v>
      </c>
      <c r="M48">
        <f t="shared" ref="M48:X48" si="43">M25*$G$2</f>
        <v>173486.01298039214</v>
      </c>
      <c r="N48">
        <f t="shared" si="43"/>
        <v>17348.601298039215</v>
      </c>
      <c r="O48">
        <f t="shared" si="43"/>
        <v>86743.006490196072</v>
      </c>
      <c r="P48">
        <f t="shared" si="43"/>
        <v>0</v>
      </c>
      <c r="Q48">
        <f t="shared" si="43"/>
        <v>0</v>
      </c>
      <c r="R48">
        <f t="shared" si="43"/>
        <v>0</v>
      </c>
      <c r="S48">
        <f t="shared" si="43"/>
        <v>0</v>
      </c>
      <c r="T48">
        <f t="shared" si="43"/>
        <v>43371.503245098036</v>
      </c>
      <c r="U48">
        <f t="shared" si="43"/>
        <v>86743.006490196072</v>
      </c>
      <c r="V48">
        <f t="shared" si="43"/>
        <v>0</v>
      </c>
      <c r="W48">
        <f t="shared" si="43"/>
        <v>0</v>
      </c>
      <c r="X48">
        <f t="shared" si="43"/>
        <v>0</v>
      </c>
      <c r="Z48" s="15" t="s">
        <v>79</v>
      </c>
      <c r="AA48" s="16" t="s">
        <v>80</v>
      </c>
      <c r="AB48" s="17" t="s">
        <v>81</v>
      </c>
      <c r="AC48" s="17" t="s">
        <v>82</v>
      </c>
      <c r="AD48" s="18" t="s">
        <v>83</v>
      </c>
      <c r="AE48" s="15" t="s">
        <v>84</v>
      </c>
    </row>
    <row r="49" spans="11:32" x14ac:dyDescent="0.3">
      <c r="K49" s="1" t="s">
        <v>17</v>
      </c>
      <c r="L49">
        <f>L26*$G$3</f>
        <v>22572.987532258063</v>
      </c>
      <c r="M49">
        <f t="shared" ref="M49:X49" si="44">M26*$G$3</f>
        <v>0</v>
      </c>
      <c r="N49">
        <f t="shared" si="44"/>
        <v>9029.1950129032248</v>
      </c>
      <c r="O49">
        <f t="shared" si="44"/>
        <v>45145.975064516126</v>
      </c>
      <c r="P49">
        <f t="shared" si="44"/>
        <v>0</v>
      </c>
      <c r="Q49">
        <f t="shared" si="44"/>
        <v>0</v>
      </c>
      <c r="R49">
        <f t="shared" si="44"/>
        <v>0</v>
      </c>
      <c r="S49">
        <f t="shared" si="44"/>
        <v>18058.39002580645</v>
      </c>
      <c r="T49">
        <f t="shared" si="44"/>
        <v>0</v>
      </c>
      <c r="U49">
        <f t="shared" si="44"/>
        <v>45145.975064516126</v>
      </c>
      <c r="V49">
        <f t="shared" si="44"/>
        <v>0</v>
      </c>
      <c r="W49">
        <f t="shared" si="44"/>
        <v>0</v>
      </c>
      <c r="X49">
        <f t="shared" si="44"/>
        <v>0</v>
      </c>
      <c r="Z49" s="19" t="s">
        <v>16</v>
      </c>
      <c r="AA49" s="20">
        <v>2</v>
      </c>
      <c r="AB49" s="20">
        <v>6</v>
      </c>
      <c r="AC49" s="20">
        <v>6</v>
      </c>
      <c r="AD49" s="21">
        <v>2</v>
      </c>
      <c r="AE49" s="22">
        <v>12</v>
      </c>
      <c r="AF49" s="11">
        <f>AE49*D2</f>
        <v>367235.19228000002</v>
      </c>
    </row>
    <row r="50" spans="11:32" x14ac:dyDescent="0.3">
      <c r="K50" s="1" t="s">
        <v>18</v>
      </c>
      <c r="L50">
        <f>L27*$G$4</f>
        <v>0</v>
      </c>
      <c r="M50">
        <f t="shared" ref="M50:X50" si="45">M27*$G$4</f>
        <v>16454.517704210524</v>
      </c>
      <c r="N50">
        <f t="shared" si="45"/>
        <v>7051.9361589473683</v>
      </c>
      <c r="O50">
        <f t="shared" si="45"/>
        <v>28207.744635789473</v>
      </c>
      <c r="P50">
        <f t="shared" si="45"/>
        <v>0</v>
      </c>
      <c r="Q50">
        <f t="shared" si="45"/>
        <v>0</v>
      </c>
      <c r="R50">
        <f t="shared" si="45"/>
        <v>0</v>
      </c>
      <c r="S50">
        <f t="shared" si="45"/>
        <v>0</v>
      </c>
      <c r="T50">
        <f t="shared" si="45"/>
        <v>14103.872317894737</v>
      </c>
      <c r="U50">
        <f t="shared" si="45"/>
        <v>23506.453863157894</v>
      </c>
      <c r="V50">
        <f t="shared" si="45"/>
        <v>0</v>
      </c>
      <c r="W50">
        <f t="shared" si="45"/>
        <v>0</v>
      </c>
      <c r="X50">
        <f t="shared" si="45"/>
        <v>0</v>
      </c>
      <c r="Z50" s="19" t="s">
        <v>17</v>
      </c>
      <c r="AA50" s="20">
        <v>8</v>
      </c>
      <c r="AB50" s="20">
        <v>8</v>
      </c>
      <c r="AC50" s="20">
        <v>4</v>
      </c>
      <c r="AD50" s="21">
        <v>14</v>
      </c>
      <c r="AE50" s="23">
        <v>100</v>
      </c>
      <c r="AF50" s="11">
        <f t="shared" ref="AF50:AF68" si="46">AE50*D3</f>
        <v>1592750</v>
      </c>
    </row>
    <row r="51" spans="11:32" x14ac:dyDescent="0.3">
      <c r="K51" s="1" t="s">
        <v>19</v>
      </c>
      <c r="L51">
        <f>L28*$G$5</f>
        <v>15316.588173333334</v>
      </c>
      <c r="M51">
        <f t="shared" ref="M51:X51" si="47">M28*$G$5</f>
        <v>30633.176346666667</v>
      </c>
      <c r="N51">
        <f t="shared" si="47"/>
        <v>0</v>
      </c>
      <c r="O51">
        <f t="shared" si="47"/>
        <v>45949.764520000004</v>
      </c>
      <c r="P51">
        <f t="shared" si="47"/>
        <v>0</v>
      </c>
      <c r="Q51">
        <f t="shared" si="47"/>
        <v>0</v>
      </c>
      <c r="R51">
        <f t="shared" si="47"/>
        <v>3829.1470433333334</v>
      </c>
      <c r="S51">
        <f t="shared" si="47"/>
        <v>19145.735216666668</v>
      </c>
      <c r="T51">
        <f t="shared" si="47"/>
        <v>0</v>
      </c>
      <c r="U51">
        <f t="shared" si="47"/>
        <v>0</v>
      </c>
      <c r="V51">
        <f t="shared" si="47"/>
        <v>0</v>
      </c>
      <c r="W51">
        <f t="shared" si="47"/>
        <v>0</v>
      </c>
      <c r="X51">
        <f t="shared" si="47"/>
        <v>0</v>
      </c>
      <c r="Z51" s="19" t="s">
        <v>18</v>
      </c>
      <c r="AA51" s="20">
        <v>6</v>
      </c>
      <c r="AB51" s="20">
        <v>6</v>
      </c>
      <c r="AC51" s="20">
        <v>6</v>
      </c>
      <c r="AD51" s="21">
        <v>6</v>
      </c>
      <c r="AE51" s="24">
        <v>50</v>
      </c>
      <c r="AF51" s="11">
        <f t="shared" si="46"/>
        <v>414653.84615</v>
      </c>
    </row>
    <row r="52" spans="11:32" x14ac:dyDescent="0.3">
      <c r="K52" s="1" t="s">
        <v>20</v>
      </c>
      <c r="L52">
        <f>L29*$G$6</f>
        <v>0</v>
      </c>
      <c r="M52">
        <f t="shared" ref="M52:X52" si="48">M29*$G$6</f>
        <v>17837.519624</v>
      </c>
      <c r="N52">
        <f t="shared" si="48"/>
        <v>8918.7598120000002</v>
      </c>
      <c r="O52">
        <f t="shared" si="48"/>
        <v>41620.879122666665</v>
      </c>
      <c r="P52">
        <f t="shared" si="48"/>
        <v>0</v>
      </c>
      <c r="Q52">
        <f t="shared" si="48"/>
        <v>0</v>
      </c>
      <c r="R52">
        <f t="shared" si="48"/>
        <v>0</v>
      </c>
      <c r="S52">
        <f t="shared" si="48"/>
        <v>0</v>
      </c>
      <c r="T52">
        <f t="shared" si="48"/>
        <v>20810.439561333333</v>
      </c>
      <c r="U52">
        <f t="shared" si="48"/>
        <v>0</v>
      </c>
      <c r="V52">
        <f t="shared" si="48"/>
        <v>0</v>
      </c>
      <c r="W52">
        <f t="shared" si="48"/>
        <v>0</v>
      </c>
      <c r="X52">
        <f t="shared" si="48"/>
        <v>0</v>
      </c>
      <c r="Z52" s="19" t="s">
        <v>19</v>
      </c>
      <c r="AA52" s="20">
        <v>12</v>
      </c>
      <c r="AB52" s="20">
        <v>6</v>
      </c>
      <c r="AC52" s="20">
        <v>4</v>
      </c>
      <c r="AD52" s="21">
        <v>16</v>
      </c>
      <c r="AE52" s="24">
        <v>120</v>
      </c>
      <c r="AF52" s="11">
        <f t="shared" si="46"/>
        <v>1621107.6924000001</v>
      </c>
    </row>
    <row r="53" spans="11:32" x14ac:dyDescent="0.3">
      <c r="K53" s="1" t="s">
        <v>21</v>
      </c>
      <c r="L53">
        <f>L30*$G$7</f>
        <v>4962.5932107142862</v>
      </c>
      <c r="M53">
        <f t="shared" ref="M53:X53" si="49">M30*$G$7</f>
        <v>8270.9886845238088</v>
      </c>
      <c r="N53">
        <f t="shared" si="49"/>
        <v>3308.395473809524</v>
      </c>
      <c r="O53">
        <f t="shared" si="49"/>
        <v>19850.372842857145</v>
      </c>
      <c r="P53">
        <f t="shared" si="49"/>
        <v>0</v>
      </c>
      <c r="Q53">
        <f t="shared" si="49"/>
        <v>0</v>
      </c>
      <c r="R53">
        <f t="shared" si="49"/>
        <v>0</v>
      </c>
      <c r="S53">
        <f t="shared" si="49"/>
        <v>6616.790947619048</v>
      </c>
      <c r="T53">
        <f t="shared" si="49"/>
        <v>8270.9886845238088</v>
      </c>
      <c r="U53">
        <f t="shared" si="49"/>
        <v>18196.175105952385</v>
      </c>
      <c r="V53">
        <f t="shared" si="49"/>
        <v>0</v>
      </c>
      <c r="W53">
        <f t="shared" si="49"/>
        <v>0</v>
      </c>
      <c r="X53">
        <f t="shared" si="49"/>
        <v>0</v>
      </c>
      <c r="Z53" s="19" t="s">
        <v>20</v>
      </c>
      <c r="AA53" s="20">
        <v>8</v>
      </c>
      <c r="AB53" s="20">
        <v>4</v>
      </c>
      <c r="AC53" s="20">
        <v>6</v>
      </c>
      <c r="AD53" s="21">
        <v>5</v>
      </c>
      <c r="AE53" s="24">
        <v>50</v>
      </c>
      <c r="AF53" s="11">
        <f t="shared" si="46"/>
        <v>524423.07700000005</v>
      </c>
    </row>
    <row r="54" spans="11:32" x14ac:dyDescent="0.3">
      <c r="K54" s="1" t="s">
        <v>22</v>
      </c>
      <c r="L54">
        <f>L31*$G$8</f>
        <v>0</v>
      </c>
      <c r="M54">
        <f t="shared" ref="M54:X54" si="50">M31*$G$8</f>
        <v>0</v>
      </c>
      <c r="N54">
        <f t="shared" si="50"/>
        <v>17568.02721</v>
      </c>
      <c r="O54">
        <f t="shared" si="50"/>
        <v>81984.126980000001</v>
      </c>
      <c r="P54">
        <f t="shared" si="50"/>
        <v>23424.03628</v>
      </c>
      <c r="Q54">
        <f t="shared" si="50"/>
        <v>35136.05442</v>
      </c>
      <c r="R54">
        <f t="shared" si="50"/>
        <v>0</v>
      </c>
      <c r="S54">
        <f t="shared" si="50"/>
        <v>0</v>
      </c>
      <c r="T54">
        <f t="shared" si="50"/>
        <v>29280.04535</v>
      </c>
      <c r="U54">
        <f t="shared" si="50"/>
        <v>46848.072560000001</v>
      </c>
      <c r="V54">
        <f t="shared" si="50"/>
        <v>0</v>
      </c>
      <c r="W54">
        <f t="shared" si="50"/>
        <v>0</v>
      </c>
      <c r="X54">
        <f t="shared" si="50"/>
        <v>0</v>
      </c>
      <c r="Z54" s="19" t="s">
        <v>21</v>
      </c>
      <c r="AA54" s="20">
        <v>2</v>
      </c>
      <c r="AB54" s="20">
        <v>8</v>
      </c>
      <c r="AC54" s="20">
        <v>6</v>
      </c>
      <c r="AD54" s="21">
        <v>3</v>
      </c>
      <c r="AE54" s="24">
        <v>15</v>
      </c>
      <c r="AF54" s="11">
        <f t="shared" si="46"/>
        <v>87540.144224999996</v>
      </c>
    </row>
    <row r="55" spans="11:32" x14ac:dyDescent="0.3">
      <c r="K55" s="1" t="s">
        <v>23</v>
      </c>
      <c r="L55">
        <f>L32*$G$9</f>
        <v>0</v>
      </c>
      <c r="M55">
        <f t="shared" ref="M55:X55" si="51">M32*$G$9</f>
        <v>0</v>
      </c>
      <c r="N55">
        <f t="shared" si="51"/>
        <v>0</v>
      </c>
      <c r="O55">
        <f t="shared" si="51"/>
        <v>0</v>
      </c>
      <c r="P55">
        <f t="shared" si="51"/>
        <v>8562.2710631578939</v>
      </c>
      <c r="Q55">
        <f t="shared" si="51"/>
        <v>0</v>
      </c>
      <c r="R55">
        <f t="shared" si="51"/>
        <v>0</v>
      </c>
      <c r="S55">
        <f t="shared" si="51"/>
        <v>13699.633701052631</v>
      </c>
      <c r="T55">
        <f t="shared" si="51"/>
        <v>6849.8168505263156</v>
      </c>
      <c r="U55">
        <f t="shared" si="51"/>
        <v>3424.9084252631578</v>
      </c>
      <c r="V55">
        <f t="shared" si="51"/>
        <v>0</v>
      </c>
      <c r="W55">
        <f t="shared" si="51"/>
        <v>0</v>
      </c>
      <c r="X55">
        <f t="shared" si="51"/>
        <v>0</v>
      </c>
      <c r="Z55" s="19" t="s">
        <v>22</v>
      </c>
      <c r="AA55" s="20">
        <v>2</v>
      </c>
      <c r="AB55" s="20">
        <v>2</v>
      </c>
      <c r="AC55" s="20">
        <v>12</v>
      </c>
      <c r="AD55" s="21">
        <v>1</v>
      </c>
      <c r="AE55" s="24">
        <v>25</v>
      </c>
      <c r="AF55" s="11">
        <f t="shared" si="46"/>
        <v>516500</v>
      </c>
    </row>
    <row r="56" spans="11:32" x14ac:dyDescent="0.3">
      <c r="K56" s="1" t="s">
        <v>24</v>
      </c>
      <c r="L56">
        <f>L33*$G$10</f>
        <v>0</v>
      </c>
      <c r="M56">
        <f t="shared" ref="M56:X56" si="52">M33*$G$10</f>
        <v>0</v>
      </c>
      <c r="N56">
        <f t="shared" si="52"/>
        <v>0</v>
      </c>
      <c r="O56">
        <f t="shared" si="52"/>
        <v>0</v>
      </c>
      <c r="P56">
        <f t="shared" si="52"/>
        <v>18993.655147058824</v>
      </c>
      <c r="Q56">
        <f t="shared" si="52"/>
        <v>26591.11720588235</v>
      </c>
      <c r="R56">
        <f t="shared" si="52"/>
        <v>18993.655147058824</v>
      </c>
      <c r="S56">
        <f t="shared" si="52"/>
        <v>0</v>
      </c>
      <c r="T56">
        <f t="shared" si="52"/>
        <v>18993.655147058824</v>
      </c>
      <c r="U56">
        <f t="shared" si="52"/>
        <v>45584.772352941181</v>
      </c>
      <c r="V56">
        <f t="shared" si="52"/>
        <v>0</v>
      </c>
      <c r="W56">
        <f t="shared" si="52"/>
        <v>0</v>
      </c>
      <c r="X56">
        <f t="shared" si="52"/>
        <v>0</v>
      </c>
      <c r="Z56" s="19" t="s">
        <v>23</v>
      </c>
      <c r="AA56" s="20">
        <v>4</v>
      </c>
      <c r="AB56" s="20">
        <v>4</v>
      </c>
      <c r="AC56" s="20">
        <v>4</v>
      </c>
      <c r="AD56" s="21">
        <v>1</v>
      </c>
      <c r="AE56" s="24">
        <v>20</v>
      </c>
      <c r="AF56" s="11">
        <f t="shared" si="46"/>
        <v>120830.76924000001</v>
      </c>
    </row>
    <row r="57" spans="11:32" x14ac:dyDescent="0.3">
      <c r="K57" s="1" t="s">
        <v>25</v>
      </c>
      <c r="L57">
        <f>L34*$G$11</f>
        <v>0</v>
      </c>
      <c r="M57">
        <f t="shared" ref="M57:X57" si="53">M34*$G$11</f>
        <v>0</v>
      </c>
      <c r="N57">
        <f t="shared" si="53"/>
        <v>0</v>
      </c>
      <c r="O57">
        <f t="shared" si="53"/>
        <v>0</v>
      </c>
      <c r="P57">
        <f t="shared" si="53"/>
        <v>11276.900183076923</v>
      </c>
      <c r="Q57">
        <f t="shared" si="53"/>
        <v>13156.383546923076</v>
      </c>
      <c r="R57">
        <f t="shared" si="53"/>
        <v>0</v>
      </c>
      <c r="S57">
        <f t="shared" si="53"/>
        <v>0</v>
      </c>
      <c r="T57">
        <f t="shared" si="53"/>
        <v>9397.4168192307698</v>
      </c>
      <c r="U57">
        <f t="shared" si="53"/>
        <v>15035.866910769231</v>
      </c>
      <c r="V57">
        <f t="shared" si="53"/>
        <v>0</v>
      </c>
      <c r="W57">
        <f t="shared" si="53"/>
        <v>0</v>
      </c>
      <c r="X57">
        <f t="shared" si="53"/>
        <v>0</v>
      </c>
      <c r="Z57" s="19" t="s">
        <v>24</v>
      </c>
      <c r="AA57" s="20">
        <v>2</v>
      </c>
      <c r="AB57" s="20">
        <v>4</v>
      </c>
      <c r="AC57" s="20">
        <v>12</v>
      </c>
      <c r="AD57" s="21">
        <v>2</v>
      </c>
      <c r="AE57" s="24">
        <v>40</v>
      </c>
      <c r="AF57" s="11">
        <f t="shared" si="46"/>
        <v>536076.92320000008</v>
      </c>
    </row>
    <row r="58" spans="11:32" x14ac:dyDescent="0.3">
      <c r="K58" s="1" t="s">
        <v>26</v>
      </c>
      <c r="L58">
        <f>L35*$G$12</f>
        <v>0</v>
      </c>
      <c r="M58">
        <f t="shared" ref="M58:X58" si="54">M35*$G$12</f>
        <v>0</v>
      </c>
      <c r="N58">
        <f t="shared" si="54"/>
        <v>0</v>
      </c>
      <c r="O58">
        <f t="shared" si="54"/>
        <v>0</v>
      </c>
      <c r="P58">
        <f t="shared" si="54"/>
        <v>33083.954737499997</v>
      </c>
      <c r="Q58">
        <f t="shared" si="54"/>
        <v>0</v>
      </c>
      <c r="R58">
        <f t="shared" si="54"/>
        <v>9925.1864212500004</v>
      </c>
      <c r="S58">
        <f t="shared" si="54"/>
        <v>0</v>
      </c>
      <c r="T58">
        <f t="shared" si="54"/>
        <v>9925.1864212500004</v>
      </c>
      <c r="U58">
        <f t="shared" si="54"/>
        <v>0</v>
      </c>
      <c r="V58">
        <f t="shared" si="54"/>
        <v>0</v>
      </c>
      <c r="W58">
        <f t="shared" si="54"/>
        <v>0</v>
      </c>
      <c r="X58">
        <f t="shared" si="54"/>
        <v>0</v>
      </c>
      <c r="Z58" s="19" t="s">
        <v>25</v>
      </c>
      <c r="AA58" s="20">
        <v>4</v>
      </c>
      <c r="AB58" s="20">
        <v>4</v>
      </c>
      <c r="AC58" s="20">
        <v>4</v>
      </c>
      <c r="AD58" s="21">
        <v>1</v>
      </c>
      <c r="AE58" s="24">
        <v>20</v>
      </c>
      <c r="AF58" s="11">
        <f t="shared" si="46"/>
        <v>132616.34615999999</v>
      </c>
    </row>
    <row r="59" spans="11:32" x14ac:dyDescent="0.3">
      <c r="K59" s="1" t="s">
        <v>27</v>
      </c>
      <c r="L59">
        <f>L36*$G$13</f>
        <v>0</v>
      </c>
      <c r="M59">
        <f t="shared" ref="M59:X59" si="55">M36*$G$13</f>
        <v>0</v>
      </c>
      <c r="N59">
        <f t="shared" si="55"/>
        <v>0</v>
      </c>
      <c r="O59">
        <f t="shared" si="55"/>
        <v>0</v>
      </c>
      <c r="P59">
        <f t="shared" si="55"/>
        <v>16256.105006666667</v>
      </c>
      <c r="Q59">
        <f t="shared" si="55"/>
        <v>16256.105006666667</v>
      </c>
      <c r="R59">
        <f t="shared" si="55"/>
        <v>8128.0525033333333</v>
      </c>
      <c r="S59">
        <f t="shared" si="55"/>
        <v>0</v>
      </c>
      <c r="T59">
        <f t="shared" si="55"/>
        <v>20320.131258333335</v>
      </c>
      <c r="U59">
        <f t="shared" si="55"/>
        <v>36576.236265</v>
      </c>
      <c r="V59">
        <f t="shared" si="55"/>
        <v>0</v>
      </c>
      <c r="W59">
        <f t="shared" si="55"/>
        <v>0</v>
      </c>
      <c r="X59">
        <f t="shared" si="55"/>
        <v>0</v>
      </c>
      <c r="Z59" s="19" t="s">
        <v>26</v>
      </c>
      <c r="AA59" s="20">
        <v>4</v>
      </c>
      <c r="AB59" s="20">
        <v>6</v>
      </c>
      <c r="AC59" s="20">
        <v>4</v>
      </c>
      <c r="AD59" s="21">
        <v>2</v>
      </c>
      <c r="AE59" s="24">
        <v>30</v>
      </c>
      <c r="AF59" s="11">
        <f t="shared" si="46"/>
        <v>350160.57689999999</v>
      </c>
    </row>
    <row r="60" spans="11:32" x14ac:dyDescent="0.3">
      <c r="K60" s="1" t="s">
        <v>28</v>
      </c>
      <c r="L60">
        <f>L37*$G$14</f>
        <v>0</v>
      </c>
      <c r="M60">
        <f t="shared" ref="M60:X60" si="56">M37*$G$14</f>
        <v>0</v>
      </c>
      <c r="N60">
        <f t="shared" si="56"/>
        <v>0</v>
      </c>
      <c r="O60">
        <f t="shared" si="56"/>
        <v>0</v>
      </c>
      <c r="P60">
        <f t="shared" si="56"/>
        <v>10160.065628333334</v>
      </c>
      <c r="Q60">
        <f t="shared" si="56"/>
        <v>18288.118130999999</v>
      </c>
      <c r="R60">
        <f t="shared" si="56"/>
        <v>6096.039377000001</v>
      </c>
      <c r="S60">
        <f t="shared" si="56"/>
        <v>16256.105005333333</v>
      </c>
      <c r="T60">
        <f t="shared" si="56"/>
        <v>10160.065628333334</v>
      </c>
      <c r="U60">
        <f t="shared" si="56"/>
        <v>0</v>
      </c>
      <c r="V60">
        <f t="shared" si="56"/>
        <v>0</v>
      </c>
      <c r="W60">
        <f t="shared" si="56"/>
        <v>0</v>
      </c>
      <c r="X60">
        <f t="shared" si="56"/>
        <v>0</v>
      </c>
      <c r="Z60" s="19" t="s">
        <v>27</v>
      </c>
      <c r="AA60" s="20">
        <v>6</v>
      </c>
      <c r="AB60" s="20">
        <v>6</v>
      </c>
      <c r="AC60" s="20">
        <v>4</v>
      </c>
      <c r="AD60" s="21">
        <v>2</v>
      </c>
      <c r="AE60" s="24">
        <v>30</v>
      </c>
      <c r="AF60" s="11">
        <f t="shared" si="46"/>
        <v>430136.53860000003</v>
      </c>
    </row>
    <row r="61" spans="11:32" x14ac:dyDescent="0.3">
      <c r="K61" s="1" t="s">
        <v>29</v>
      </c>
      <c r="L61">
        <f>L38*$G$15</f>
        <v>0</v>
      </c>
      <c r="M61">
        <f t="shared" ref="M61:X61" si="57">M38*$G$15</f>
        <v>0</v>
      </c>
      <c r="N61">
        <f t="shared" si="57"/>
        <v>0</v>
      </c>
      <c r="O61">
        <f t="shared" si="57"/>
        <v>0</v>
      </c>
      <c r="P61">
        <f t="shared" si="57"/>
        <v>30331.850694736837</v>
      </c>
      <c r="Q61">
        <f t="shared" si="57"/>
        <v>45497.776042105259</v>
      </c>
      <c r="R61">
        <f t="shared" si="57"/>
        <v>15165.925347368418</v>
      </c>
      <c r="S61">
        <f t="shared" si="57"/>
        <v>53080.738715789463</v>
      </c>
      <c r="T61">
        <f t="shared" si="57"/>
        <v>0</v>
      </c>
      <c r="U61">
        <f t="shared" si="57"/>
        <v>0</v>
      </c>
      <c r="V61">
        <f t="shared" si="57"/>
        <v>0</v>
      </c>
      <c r="W61">
        <f t="shared" si="57"/>
        <v>0</v>
      </c>
      <c r="X61">
        <f t="shared" si="57"/>
        <v>0</v>
      </c>
      <c r="Z61" s="19" t="s">
        <v>28</v>
      </c>
      <c r="AA61" s="20">
        <v>2</v>
      </c>
      <c r="AB61" s="20">
        <v>2</v>
      </c>
      <c r="AC61" s="20">
        <v>12</v>
      </c>
      <c r="AD61" s="21">
        <v>1</v>
      </c>
      <c r="AE61" s="24">
        <v>25</v>
      </c>
      <c r="AF61" s="11">
        <f t="shared" si="46"/>
        <v>179223.5577</v>
      </c>
    </row>
    <row r="62" spans="11:32" x14ac:dyDescent="0.3">
      <c r="K62" s="1" t="s">
        <v>30</v>
      </c>
      <c r="L62">
        <f>L39*$G$16</f>
        <v>0</v>
      </c>
      <c r="M62">
        <f t="shared" ref="M62:X62" si="58">M39*$G$16</f>
        <v>0</v>
      </c>
      <c r="N62">
        <f t="shared" si="58"/>
        <v>0</v>
      </c>
      <c r="O62">
        <f t="shared" si="58"/>
        <v>0</v>
      </c>
      <c r="P62">
        <f t="shared" si="58"/>
        <v>2568.6813190000003</v>
      </c>
      <c r="Q62">
        <f t="shared" si="58"/>
        <v>4281.1355316666668</v>
      </c>
      <c r="R62">
        <f t="shared" si="58"/>
        <v>1712.4542126666668</v>
      </c>
      <c r="S62">
        <f t="shared" si="58"/>
        <v>8562.2710633333336</v>
      </c>
      <c r="T62">
        <f t="shared" si="58"/>
        <v>0</v>
      </c>
      <c r="U62">
        <f t="shared" si="58"/>
        <v>8562.2710633333336</v>
      </c>
      <c r="V62">
        <f t="shared" si="58"/>
        <v>0</v>
      </c>
      <c r="W62">
        <f t="shared" si="58"/>
        <v>0</v>
      </c>
      <c r="X62">
        <f t="shared" si="58"/>
        <v>0</v>
      </c>
      <c r="Z62" s="19" t="s">
        <v>29</v>
      </c>
      <c r="AA62" s="20">
        <v>2</v>
      </c>
      <c r="AB62" s="20">
        <v>4</v>
      </c>
      <c r="AC62" s="20">
        <v>6</v>
      </c>
      <c r="AD62" s="21">
        <v>1</v>
      </c>
      <c r="AE62" s="24">
        <v>20</v>
      </c>
      <c r="AF62" s="11">
        <f t="shared" si="46"/>
        <v>535053.84620000003</v>
      </c>
    </row>
    <row r="63" spans="11:32" x14ac:dyDescent="0.3">
      <c r="K63" s="1" t="s">
        <v>31</v>
      </c>
      <c r="L63">
        <f>L40*$G$17</f>
        <v>0</v>
      </c>
      <c r="M63">
        <f t="shared" ref="M63:X63" si="59">M40*$G$17</f>
        <v>0</v>
      </c>
      <c r="N63">
        <f t="shared" si="59"/>
        <v>0</v>
      </c>
      <c r="O63">
        <f t="shared" si="59"/>
        <v>0</v>
      </c>
      <c r="P63">
        <f t="shared" si="59"/>
        <v>0</v>
      </c>
      <c r="Q63">
        <f t="shared" si="59"/>
        <v>25600.143899999999</v>
      </c>
      <c r="R63">
        <f t="shared" si="59"/>
        <v>0</v>
      </c>
      <c r="S63">
        <f t="shared" si="59"/>
        <v>102400.5756</v>
      </c>
      <c r="T63">
        <f t="shared" si="59"/>
        <v>25600.143899999999</v>
      </c>
      <c r="U63">
        <f t="shared" si="59"/>
        <v>51200.287799999998</v>
      </c>
      <c r="V63">
        <f t="shared" si="59"/>
        <v>0</v>
      </c>
      <c r="W63">
        <f t="shared" si="59"/>
        <v>0</v>
      </c>
      <c r="X63">
        <f t="shared" si="59"/>
        <v>0</v>
      </c>
      <c r="Z63" s="19" t="s">
        <v>30</v>
      </c>
      <c r="AA63" s="20">
        <v>4</v>
      </c>
      <c r="AB63" s="20">
        <v>6</v>
      </c>
      <c r="AC63" s="20">
        <v>4</v>
      </c>
      <c r="AD63" s="21">
        <v>2</v>
      </c>
      <c r="AE63" s="24">
        <v>25</v>
      </c>
      <c r="AF63" s="11">
        <f t="shared" si="46"/>
        <v>75519.230775000004</v>
      </c>
    </row>
    <row r="64" spans="11:32" x14ac:dyDescent="0.3">
      <c r="K64" s="1" t="s">
        <v>32</v>
      </c>
      <c r="L64">
        <f>L41*$G$18</f>
        <v>0</v>
      </c>
      <c r="M64">
        <f t="shared" ref="M64:X64" si="60">M41*$G$18</f>
        <v>0</v>
      </c>
      <c r="N64">
        <f t="shared" si="60"/>
        <v>0</v>
      </c>
      <c r="O64">
        <f t="shared" si="60"/>
        <v>0</v>
      </c>
      <c r="P64">
        <f t="shared" si="60"/>
        <v>0</v>
      </c>
      <c r="Q64">
        <f t="shared" si="60"/>
        <v>0</v>
      </c>
      <c r="R64">
        <f t="shared" si="60"/>
        <v>0</v>
      </c>
      <c r="S64">
        <f t="shared" si="60"/>
        <v>0</v>
      </c>
      <c r="T64">
        <f t="shared" si="60"/>
        <v>0</v>
      </c>
      <c r="U64">
        <f t="shared" si="60"/>
        <v>0</v>
      </c>
      <c r="V64">
        <f t="shared" si="60"/>
        <v>6096.0393775862067</v>
      </c>
      <c r="W64">
        <f t="shared" si="60"/>
        <v>24384.157510344827</v>
      </c>
      <c r="X64">
        <f t="shared" si="60"/>
        <v>28448.183762068966</v>
      </c>
      <c r="Z64" s="19" t="s">
        <v>31</v>
      </c>
      <c r="AA64" s="20">
        <v>4</v>
      </c>
      <c r="AB64" s="20">
        <v>4</v>
      </c>
      <c r="AC64" s="20">
        <v>4</v>
      </c>
      <c r="AD64" s="21">
        <v>1</v>
      </c>
      <c r="AE64" s="24">
        <v>20</v>
      </c>
      <c r="AF64" s="11">
        <f t="shared" si="46"/>
        <v>361269.23080000002</v>
      </c>
    </row>
    <row r="65" spans="11:32" x14ac:dyDescent="0.3">
      <c r="K65" s="1" t="s">
        <v>33</v>
      </c>
      <c r="L65">
        <f>L42*$G$19</f>
        <v>0</v>
      </c>
      <c r="M65">
        <f t="shared" ref="M65:X65" si="61">M42*$G$19</f>
        <v>0</v>
      </c>
      <c r="N65">
        <f t="shared" si="61"/>
        <v>0</v>
      </c>
      <c r="O65">
        <f t="shared" si="61"/>
        <v>0</v>
      </c>
      <c r="P65">
        <f t="shared" si="61"/>
        <v>0</v>
      </c>
      <c r="Q65">
        <f t="shared" si="61"/>
        <v>0</v>
      </c>
      <c r="R65">
        <f t="shared" si="61"/>
        <v>0</v>
      </c>
      <c r="S65">
        <f t="shared" si="61"/>
        <v>0</v>
      </c>
      <c r="T65">
        <f t="shared" si="61"/>
        <v>0</v>
      </c>
      <c r="U65">
        <f t="shared" si="61"/>
        <v>0</v>
      </c>
      <c r="V65">
        <f t="shared" si="61"/>
        <v>24449.186720000002</v>
      </c>
      <c r="W65">
        <f t="shared" si="61"/>
        <v>24449.186720000002</v>
      </c>
      <c r="X65">
        <f t="shared" si="61"/>
        <v>73347.560159999994</v>
      </c>
      <c r="Z65" s="19" t="s">
        <v>32</v>
      </c>
      <c r="AA65" s="20">
        <v>12</v>
      </c>
      <c r="AB65" s="20">
        <v>2</v>
      </c>
      <c r="AC65" s="20">
        <v>2</v>
      </c>
      <c r="AD65" s="21">
        <v>4</v>
      </c>
      <c r="AE65" s="24">
        <v>80</v>
      </c>
      <c r="AF65" s="11">
        <f t="shared" si="46"/>
        <v>573515.38463999995</v>
      </c>
    </row>
    <row r="66" spans="11:32" x14ac:dyDescent="0.3">
      <c r="K66" s="1" t="s">
        <v>34</v>
      </c>
      <c r="L66">
        <f>L43*$G$20</f>
        <v>0</v>
      </c>
      <c r="M66">
        <f t="shared" ref="M66:X66" si="62">M43*$G$20</f>
        <v>0</v>
      </c>
      <c r="N66">
        <f t="shared" si="62"/>
        <v>0</v>
      </c>
      <c r="O66">
        <f t="shared" si="62"/>
        <v>0</v>
      </c>
      <c r="P66">
        <f t="shared" si="62"/>
        <v>0</v>
      </c>
      <c r="Q66">
        <f t="shared" si="62"/>
        <v>0</v>
      </c>
      <c r="R66">
        <f t="shared" si="62"/>
        <v>0</v>
      </c>
      <c r="S66">
        <f t="shared" si="62"/>
        <v>0</v>
      </c>
      <c r="T66">
        <f t="shared" si="62"/>
        <v>0</v>
      </c>
      <c r="U66">
        <f t="shared" si="62"/>
        <v>0</v>
      </c>
      <c r="V66">
        <f t="shared" si="62"/>
        <v>0</v>
      </c>
      <c r="W66">
        <f t="shared" si="62"/>
        <v>141040.24945238096</v>
      </c>
      <c r="X66">
        <f t="shared" si="62"/>
        <v>207412.13154761904</v>
      </c>
      <c r="Z66" s="19" t="s">
        <v>33</v>
      </c>
      <c r="AA66" s="20">
        <v>12</v>
      </c>
      <c r="AB66" s="20">
        <v>2</v>
      </c>
      <c r="AC66" s="20">
        <v>2</v>
      </c>
      <c r="AD66" s="21">
        <v>4</v>
      </c>
      <c r="AE66" s="24">
        <v>80</v>
      </c>
      <c r="AF66" s="11">
        <f t="shared" si="46"/>
        <v>1380107.692</v>
      </c>
    </row>
    <row r="67" spans="11:32" x14ac:dyDescent="0.3">
      <c r="K67" s="1" t="s">
        <v>35</v>
      </c>
      <c r="L67">
        <f>L44*$G$21</f>
        <v>0</v>
      </c>
      <c r="M67">
        <f t="shared" ref="M67:X67" si="63">M44*$G$21</f>
        <v>0</v>
      </c>
      <c r="N67">
        <f t="shared" si="63"/>
        <v>0</v>
      </c>
      <c r="O67">
        <f t="shared" si="63"/>
        <v>0</v>
      </c>
      <c r="P67">
        <f t="shared" si="63"/>
        <v>0</v>
      </c>
      <c r="Q67">
        <f t="shared" si="63"/>
        <v>0</v>
      </c>
      <c r="R67">
        <f t="shared" si="63"/>
        <v>0</v>
      </c>
      <c r="S67">
        <f t="shared" si="63"/>
        <v>0</v>
      </c>
      <c r="T67">
        <f t="shared" si="63"/>
        <v>0</v>
      </c>
      <c r="U67">
        <f t="shared" si="63"/>
        <v>0</v>
      </c>
      <c r="V67">
        <f t="shared" si="63"/>
        <v>18469.878339130435</v>
      </c>
      <c r="W67">
        <f t="shared" si="63"/>
        <v>49253.008904347822</v>
      </c>
      <c r="X67">
        <f t="shared" si="63"/>
        <v>73879.51335652174</v>
      </c>
      <c r="Z67" s="19" t="s">
        <v>34</v>
      </c>
      <c r="AA67" s="20">
        <v>12</v>
      </c>
      <c r="AB67" s="20">
        <v>2</v>
      </c>
      <c r="AC67" s="20">
        <v>2</v>
      </c>
      <c r="AD67" s="21">
        <v>4</v>
      </c>
      <c r="AE67" s="24">
        <v>80</v>
      </c>
      <c r="AF67" s="11">
        <f t="shared" si="46"/>
        <v>2341600</v>
      </c>
    </row>
    <row r="68" spans="11:32" x14ac:dyDescent="0.3">
      <c r="Z68" s="15" t="s">
        <v>35</v>
      </c>
      <c r="AA68" s="25">
        <v>12</v>
      </c>
      <c r="AB68" s="25">
        <v>2</v>
      </c>
      <c r="AC68" s="25">
        <v>2</v>
      </c>
      <c r="AD68" s="26">
        <v>4</v>
      </c>
      <c r="AE68" s="27">
        <v>80</v>
      </c>
      <c r="AF68" s="11">
        <f t="shared" si="46"/>
        <v>1737646.1535999998</v>
      </c>
    </row>
    <row r="69" spans="11:32" x14ac:dyDescent="0.3">
      <c r="K69" s="2" t="s">
        <v>37</v>
      </c>
      <c r="L69">
        <f>SUM(L48:L67)</f>
        <v>77549.37151238411</v>
      </c>
      <c r="M69">
        <f t="shared" ref="M69:X69" si="64">SUM(M48:M67)</f>
        <v>246682.21533979318</v>
      </c>
      <c r="N69">
        <f t="shared" si="64"/>
        <v>63224.914965699332</v>
      </c>
      <c r="O69">
        <f t="shared" si="64"/>
        <v>349501.86965602549</v>
      </c>
      <c r="P69">
        <f t="shared" si="64"/>
        <v>154657.52005953048</v>
      </c>
      <c r="Q69">
        <f t="shared" si="64"/>
        <v>184806.83378424399</v>
      </c>
      <c r="R69">
        <f t="shared" si="64"/>
        <v>63850.460052010574</v>
      </c>
      <c r="S69">
        <f t="shared" si="64"/>
        <v>237820.24027560093</v>
      </c>
      <c r="T69">
        <f t="shared" si="64"/>
        <v>217083.26518358249</v>
      </c>
      <c r="U69">
        <f t="shared" si="64"/>
        <v>380824.02590112941</v>
      </c>
      <c r="V69">
        <f t="shared" si="64"/>
        <v>49015.104436716647</v>
      </c>
      <c r="W69">
        <f t="shared" si="64"/>
        <v>239126.60258707363</v>
      </c>
      <c r="X69">
        <f t="shared" si="64"/>
        <v>383087.3888262097</v>
      </c>
      <c r="AC69" s="54" t="s">
        <v>85</v>
      </c>
      <c r="AD69" s="54"/>
      <c r="AE69" s="54"/>
      <c r="AF69" s="10">
        <f>SUM(AF49:AF68)</f>
        <v>13877966.20187</v>
      </c>
    </row>
    <row r="70" spans="11:32" x14ac:dyDescent="0.3">
      <c r="K70" t="s">
        <v>38</v>
      </c>
      <c r="L70">
        <f>8*60*5</f>
        <v>2400</v>
      </c>
      <c r="M70">
        <f t="shared" ref="M70:X70" si="65">8*60*5</f>
        <v>2400</v>
      </c>
      <c r="N70">
        <f t="shared" si="65"/>
        <v>2400</v>
      </c>
      <c r="O70">
        <f t="shared" si="65"/>
        <v>2400</v>
      </c>
      <c r="P70">
        <f t="shared" si="65"/>
        <v>2400</v>
      </c>
      <c r="Q70">
        <f t="shared" si="65"/>
        <v>2400</v>
      </c>
      <c r="R70">
        <f t="shared" si="65"/>
        <v>2400</v>
      </c>
      <c r="S70">
        <f t="shared" si="65"/>
        <v>2400</v>
      </c>
      <c r="T70">
        <f t="shared" si="65"/>
        <v>2400</v>
      </c>
      <c r="U70">
        <f t="shared" si="65"/>
        <v>2400</v>
      </c>
      <c r="V70">
        <f t="shared" si="65"/>
        <v>2400</v>
      </c>
      <c r="W70">
        <f t="shared" si="65"/>
        <v>2400</v>
      </c>
      <c r="X70">
        <f t="shared" si="65"/>
        <v>2400</v>
      </c>
      <c r="AC70" s="54" t="s">
        <v>93</v>
      </c>
      <c r="AD70" s="54"/>
      <c r="AE70" s="54"/>
      <c r="AF70" s="10">
        <f>AF69*49</f>
        <v>680020343.89163005</v>
      </c>
    </row>
    <row r="71" spans="11:32" x14ac:dyDescent="0.3">
      <c r="K71" t="s">
        <v>39</v>
      </c>
      <c r="L71">
        <f>16*5*60</f>
        <v>4800</v>
      </c>
      <c r="M71">
        <f t="shared" ref="M71:X71" si="66">16*5*60</f>
        <v>4800</v>
      </c>
      <c r="N71">
        <f t="shared" si="66"/>
        <v>4800</v>
      </c>
      <c r="O71">
        <f t="shared" si="66"/>
        <v>4800</v>
      </c>
      <c r="P71">
        <f t="shared" si="66"/>
        <v>4800</v>
      </c>
      <c r="Q71">
        <f t="shared" si="66"/>
        <v>4800</v>
      </c>
      <c r="R71">
        <f t="shared" si="66"/>
        <v>4800</v>
      </c>
      <c r="S71">
        <f t="shared" si="66"/>
        <v>4800</v>
      </c>
      <c r="T71">
        <f t="shared" si="66"/>
        <v>4800</v>
      </c>
      <c r="U71">
        <f t="shared" si="66"/>
        <v>4800</v>
      </c>
      <c r="V71">
        <f t="shared" si="66"/>
        <v>4800</v>
      </c>
      <c r="W71">
        <f t="shared" si="66"/>
        <v>4800</v>
      </c>
      <c r="X71">
        <f t="shared" si="66"/>
        <v>4800</v>
      </c>
    </row>
    <row r="73" spans="11:32" x14ac:dyDescent="0.3">
      <c r="K73" t="s">
        <v>40</v>
      </c>
      <c r="L73">
        <f>L69/L70</f>
        <v>32.312238130160047</v>
      </c>
      <c r="M73">
        <f t="shared" ref="M73:X73" si="67">M69/M70</f>
        <v>102.7842563915805</v>
      </c>
      <c r="N73">
        <f t="shared" si="67"/>
        <v>26.343714569041389</v>
      </c>
      <c r="O73">
        <f t="shared" si="67"/>
        <v>145.62577902334397</v>
      </c>
      <c r="P73">
        <f t="shared" si="67"/>
        <v>64.440633358137703</v>
      </c>
      <c r="Q73">
        <f t="shared" si="67"/>
        <v>77.002847410101666</v>
      </c>
      <c r="R73">
        <f t="shared" si="67"/>
        <v>26.604358355004408</v>
      </c>
      <c r="S73">
        <f t="shared" si="67"/>
        <v>99.091766781500382</v>
      </c>
      <c r="T73">
        <f t="shared" si="67"/>
        <v>90.45136049315937</v>
      </c>
      <c r="U73">
        <f t="shared" si="67"/>
        <v>158.67667745880391</v>
      </c>
      <c r="V73">
        <f t="shared" si="67"/>
        <v>20.422960181965269</v>
      </c>
      <c r="W73">
        <f t="shared" si="67"/>
        <v>99.636084411280677</v>
      </c>
      <c r="X73">
        <f t="shared" si="67"/>
        <v>159.61974534425406</v>
      </c>
    </row>
    <row r="74" spans="11:32" x14ac:dyDescent="0.3">
      <c r="K74" t="s">
        <v>41</v>
      </c>
      <c r="L74">
        <f>L69/L71</f>
        <v>16.156119065080023</v>
      </c>
      <c r="M74">
        <f t="shared" ref="M74:X74" si="68">M69/M71</f>
        <v>51.392128195790249</v>
      </c>
      <c r="N74">
        <f t="shared" si="68"/>
        <v>13.171857284520694</v>
      </c>
      <c r="O74">
        <f t="shared" si="68"/>
        <v>72.812889511671983</v>
      </c>
      <c r="P74">
        <f t="shared" si="68"/>
        <v>32.220316679068851</v>
      </c>
      <c r="Q74">
        <f t="shared" si="68"/>
        <v>38.501423705050833</v>
      </c>
      <c r="R74">
        <f t="shared" si="68"/>
        <v>13.302179177502204</v>
      </c>
      <c r="S74">
        <f t="shared" si="68"/>
        <v>49.545883390750191</v>
      </c>
      <c r="T74">
        <f t="shared" si="68"/>
        <v>45.225680246579685</v>
      </c>
      <c r="U74">
        <f t="shared" si="68"/>
        <v>79.338338729401954</v>
      </c>
      <c r="V74">
        <f t="shared" si="68"/>
        <v>10.211480090982635</v>
      </c>
      <c r="W74">
        <f t="shared" si="68"/>
        <v>49.818042205640339</v>
      </c>
      <c r="X74">
        <f t="shared" si="68"/>
        <v>79.809872672127028</v>
      </c>
    </row>
    <row r="76" spans="11:32" x14ac:dyDescent="0.3">
      <c r="K76" s="38" t="s">
        <v>42</v>
      </c>
      <c r="L76" s="39" t="s">
        <v>3</v>
      </c>
      <c r="M76" s="39" t="s">
        <v>4</v>
      </c>
      <c r="N76" s="39" t="s">
        <v>5</v>
      </c>
      <c r="O76" s="39" t="s">
        <v>6</v>
      </c>
      <c r="P76" s="39" t="s">
        <v>7</v>
      </c>
      <c r="Q76" s="39" t="s">
        <v>8</v>
      </c>
      <c r="R76" s="39" t="s">
        <v>9</v>
      </c>
      <c r="S76" s="39" t="s">
        <v>10</v>
      </c>
      <c r="T76" s="39" t="s">
        <v>11</v>
      </c>
      <c r="U76" s="39" t="s">
        <v>12</v>
      </c>
      <c r="V76" s="39" t="s">
        <v>13</v>
      </c>
      <c r="W76" s="39" t="s">
        <v>14</v>
      </c>
      <c r="X76" s="40" t="s">
        <v>15</v>
      </c>
    </row>
    <row r="77" spans="11:32" x14ac:dyDescent="0.3">
      <c r="K77" s="41" t="s">
        <v>40</v>
      </c>
      <c r="L77">
        <f>ROUNDUP(L73,0)</f>
        <v>33</v>
      </c>
      <c r="M77">
        <f t="shared" ref="M77:X77" si="69">ROUNDUP(M73,0)</f>
        <v>103</v>
      </c>
      <c r="N77">
        <f t="shared" si="69"/>
        <v>27</v>
      </c>
      <c r="O77">
        <f t="shared" si="69"/>
        <v>146</v>
      </c>
      <c r="P77">
        <f t="shared" si="69"/>
        <v>65</v>
      </c>
      <c r="Q77">
        <f t="shared" si="69"/>
        <v>78</v>
      </c>
      <c r="R77">
        <f t="shared" si="69"/>
        <v>27</v>
      </c>
      <c r="S77">
        <f t="shared" si="69"/>
        <v>100</v>
      </c>
      <c r="T77">
        <f t="shared" si="69"/>
        <v>91</v>
      </c>
      <c r="U77">
        <f t="shared" si="69"/>
        <v>159</v>
      </c>
      <c r="V77">
        <f t="shared" si="69"/>
        <v>21</v>
      </c>
      <c r="W77">
        <f t="shared" si="69"/>
        <v>100</v>
      </c>
      <c r="X77" s="42">
        <f t="shared" si="69"/>
        <v>160</v>
      </c>
    </row>
    <row r="78" spans="11:32" x14ac:dyDescent="0.3">
      <c r="K78" s="43" t="s">
        <v>41</v>
      </c>
      <c r="L78" s="4">
        <f>ROUNDUP(L74,0)</f>
        <v>17</v>
      </c>
      <c r="M78" s="4">
        <f t="shared" ref="M78:X78" si="70">ROUNDUP(M74,0)</f>
        <v>52</v>
      </c>
      <c r="N78" s="4">
        <f t="shared" si="70"/>
        <v>14</v>
      </c>
      <c r="O78" s="4">
        <f t="shared" si="70"/>
        <v>73</v>
      </c>
      <c r="P78" s="4">
        <f t="shared" si="70"/>
        <v>33</v>
      </c>
      <c r="Q78" s="4">
        <f t="shared" si="70"/>
        <v>39</v>
      </c>
      <c r="R78" s="4">
        <f t="shared" si="70"/>
        <v>14</v>
      </c>
      <c r="S78" s="4">
        <f t="shared" si="70"/>
        <v>50</v>
      </c>
      <c r="T78" s="4">
        <f t="shared" si="70"/>
        <v>46</v>
      </c>
      <c r="U78" s="4">
        <f t="shared" si="70"/>
        <v>80</v>
      </c>
      <c r="V78" s="4">
        <f t="shared" si="70"/>
        <v>11</v>
      </c>
      <c r="W78" s="4">
        <f t="shared" si="70"/>
        <v>50</v>
      </c>
      <c r="X78" s="44">
        <f t="shared" si="70"/>
        <v>80</v>
      </c>
      <c r="Y78">
        <f>SUM(L78:X78)</f>
        <v>559</v>
      </c>
    </row>
    <row r="80" spans="11:32" x14ac:dyDescent="0.3">
      <c r="K80" t="s">
        <v>48</v>
      </c>
      <c r="L80">
        <v>7</v>
      </c>
      <c r="M80">
        <v>7</v>
      </c>
      <c r="N80">
        <v>7</v>
      </c>
      <c r="O80">
        <v>7</v>
      </c>
      <c r="P80">
        <v>6</v>
      </c>
      <c r="Q80">
        <v>6</v>
      </c>
      <c r="R80">
        <v>6</v>
      </c>
      <c r="S80">
        <v>5</v>
      </c>
      <c r="T80">
        <v>5</v>
      </c>
      <c r="U80">
        <v>5</v>
      </c>
      <c r="V80">
        <v>3</v>
      </c>
      <c r="W80">
        <v>3</v>
      </c>
      <c r="X80">
        <v>3</v>
      </c>
    </row>
    <row r="81" spans="11:25" x14ac:dyDescent="0.3">
      <c r="L81">
        <v>8</v>
      </c>
      <c r="M81">
        <v>8</v>
      </c>
      <c r="N81">
        <v>8</v>
      </c>
      <c r="O81">
        <v>8</v>
      </c>
      <c r="P81">
        <v>16</v>
      </c>
      <c r="Q81">
        <v>16</v>
      </c>
      <c r="R81">
        <v>16</v>
      </c>
      <c r="S81">
        <v>24</v>
      </c>
      <c r="T81">
        <v>24</v>
      </c>
      <c r="U81">
        <v>24</v>
      </c>
      <c r="V81">
        <v>6</v>
      </c>
      <c r="W81">
        <v>6</v>
      </c>
      <c r="X81">
        <v>6</v>
      </c>
    </row>
    <row r="82" spans="11:25" x14ac:dyDescent="0.3">
      <c r="K82" t="s">
        <v>49</v>
      </c>
      <c r="L82">
        <v>14</v>
      </c>
      <c r="M82">
        <v>14</v>
      </c>
      <c r="N82">
        <v>14</v>
      </c>
      <c r="O82">
        <v>14</v>
      </c>
      <c r="P82">
        <v>22</v>
      </c>
      <c r="Q82">
        <v>22</v>
      </c>
      <c r="R82">
        <v>22</v>
      </c>
      <c r="S82">
        <v>14</v>
      </c>
      <c r="T82">
        <v>14</v>
      </c>
      <c r="U82">
        <v>14</v>
      </c>
      <c r="V82">
        <v>14</v>
      </c>
      <c r="W82">
        <v>14</v>
      </c>
      <c r="X82">
        <v>14</v>
      </c>
    </row>
    <row r="83" spans="11:25" x14ac:dyDescent="0.3">
      <c r="L83">
        <v>14</v>
      </c>
      <c r="M83">
        <v>14</v>
      </c>
      <c r="N83">
        <v>14</v>
      </c>
      <c r="O83">
        <v>14</v>
      </c>
      <c r="P83">
        <v>15</v>
      </c>
      <c r="Q83">
        <v>15</v>
      </c>
      <c r="R83">
        <v>15</v>
      </c>
      <c r="S83">
        <v>36</v>
      </c>
      <c r="T83">
        <v>36</v>
      </c>
      <c r="U83">
        <v>36</v>
      </c>
      <c r="V83">
        <v>7</v>
      </c>
      <c r="W83">
        <v>7</v>
      </c>
      <c r="X83">
        <v>7</v>
      </c>
    </row>
    <row r="85" spans="11:25" x14ac:dyDescent="0.3">
      <c r="K85" t="s">
        <v>43</v>
      </c>
      <c r="L85" s="5">
        <f>1*20+1/4*40</f>
        <v>30</v>
      </c>
      <c r="M85" s="5">
        <f t="shared" ref="M85:O85" si="71">1*20+1/4*40</f>
        <v>30</v>
      </c>
      <c r="N85" s="5">
        <f t="shared" si="71"/>
        <v>30</v>
      </c>
      <c r="O85" s="5">
        <f t="shared" si="71"/>
        <v>30</v>
      </c>
      <c r="P85" s="5">
        <f>1*20+1/2*60</f>
        <v>50</v>
      </c>
      <c r="Q85" s="5">
        <f t="shared" ref="Q85:R85" si="72">1*20+1/2*60</f>
        <v>50</v>
      </c>
      <c r="R85" s="5">
        <f t="shared" si="72"/>
        <v>50</v>
      </c>
      <c r="S85" s="5">
        <v>120</v>
      </c>
      <c r="T85" s="5">
        <v>120</v>
      </c>
      <c r="U85" s="5">
        <v>120</v>
      </c>
      <c r="V85" s="5">
        <v>20</v>
      </c>
      <c r="W85" s="5">
        <v>20</v>
      </c>
      <c r="X85" s="5">
        <v>20</v>
      </c>
    </row>
    <row r="86" spans="11:25" x14ac:dyDescent="0.3">
      <c r="K86" t="s">
        <v>44</v>
      </c>
      <c r="L86" s="6">
        <v>150000</v>
      </c>
      <c r="M86" s="6">
        <v>200000</v>
      </c>
      <c r="N86" s="6">
        <v>250000</v>
      </c>
      <c r="O86" s="6">
        <v>300000</v>
      </c>
      <c r="P86" s="6">
        <v>400000</v>
      </c>
      <c r="Q86" s="6">
        <v>400000</v>
      </c>
      <c r="R86" s="6">
        <v>400000</v>
      </c>
      <c r="S86" s="6">
        <v>1000000</v>
      </c>
      <c r="T86" s="6">
        <v>500000</v>
      </c>
      <c r="U86" s="6">
        <v>500000</v>
      </c>
      <c r="V86" s="6">
        <v>80000</v>
      </c>
      <c r="W86" s="6">
        <v>100000</v>
      </c>
      <c r="X86" s="6">
        <v>50000</v>
      </c>
      <c r="Y86" s="5"/>
    </row>
    <row r="88" spans="11:25" x14ac:dyDescent="0.3">
      <c r="K88" s="2" t="s">
        <v>50</v>
      </c>
      <c r="L88" s="2" t="s">
        <v>3</v>
      </c>
      <c r="M88" s="2" t="s">
        <v>4</v>
      </c>
      <c r="N88" s="2" t="s">
        <v>5</v>
      </c>
      <c r="O88" s="2" t="s">
        <v>6</v>
      </c>
      <c r="P88" s="2" t="s">
        <v>7</v>
      </c>
      <c r="Q88" s="2" t="s">
        <v>8</v>
      </c>
      <c r="R88" s="2" t="s">
        <v>9</v>
      </c>
      <c r="S88" s="2" t="s">
        <v>10</v>
      </c>
      <c r="T88" s="2" t="s">
        <v>11</v>
      </c>
      <c r="U88" s="2" t="s">
        <v>12</v>
      </c>
      <c r="V88" s="2" t="s">
        <v>13</v>
      </c>
      <c r="W88" s="2" t="s">
        <v>14</v>
      </c>
      <c r="X88" s="2" t="s">
        <v>15</v>
      </c>
    </row>
    <row r="89" spans="11:25" x14ac:dyDescent="0.3">
      <c r="K89" s="1" t="s">
        <v>45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1:25" x14ac:dyDescent="0.3">
      <c r="K90" s="1" t="s">
        <v>46</v>
      </c>
      <c r="L90">
        <v>0.25</v>
      </c>
      <c r="M90">
        <v>0.25</v>
      </c>
      <c r="N90">
        <v>0.25</v>
      </c>
      <c r="O90">
        <v>0.25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0.5</v>
      </c>
      <c r="W90">
        <v>0.5</v>
      </c>
      <c r="X90">
        <v>0.5</v>
      </c>
    </row>
    <row r="91" spans="11:25" x14ac:dyDescent="0.3">
      <c r="K91" s="1" t="s">
        <v>47</v>
      </c>
      <c r="L91">
        <v>0</v>
      </c>
      <c r="M91">
        <v>0</v>
      </c>
      <c r="N91">
        <v>0</v>
      </c>
      <c r="O91">
        <v>0</v>
      </c>
      <c r="P91">
        <v>0.5</v>
      </c>
      <c r="Q91">
        <v>0.5</v>
      </c>
      <c r="R91">
        <v>0.5</v>
      </c>
      <c r="S91">
        <v>2</v>
      </c>
      <c r="T91">
        <v>2</v>
      </c>
      <c r="U91">
        <v>2</v>
      </c>
      <c r="V91">
        <v>0</v>
      </c>
      <c r="W91">
        <v>0</v>
      </c>
      <c r="X91">
        <v>0</v>
      </c>
    </row>
    <row r="93" spans="11:25" x14ac:dyDescent="0.3">
      <c r="K93" t="s">
        <v>71</v>
      </c>
      <c r="L93">
        <f>49*5*16</f>
        <v>3920</v>
      </c>
      <c r="M93">
        <f t="shared" ref="M93:X93" si="73">49*5*16</f>
        <v>3920</v>
      </c>
      <c r="N93">
        <f t="shared" si="73"/>
        <v>3920</v>
      </c>
      <c r="O93">
        <f t="shared" si="73"/>
        <v>3920</v>
      </c>
      <c r="P93">
        <f t="shared" si="73"/>
        <v>3920</v>
      </c>
      <c r="Q93">
        <f t="shared" si="73"/>
        <v>3920</v>
      </c>
      <c r="R93">
        <f t="shared" si="73"/>
        <v>3920</v>
      </c>
      <c r="S93">
        <f t="shared" si="73"/>
        <v>3920</v>
      </c>
      <c r="T93">
        <f t="shared" si="73"/>
        <v>3920</v>
      </c>
      <c r="U93">
        <f t="shared" si="73"/>
        <v>3920</v>
      </c>
      <c r="V93">
        <f t="shared" si="73"/>
        <v>3920</v>
      </c>
      <c r="W93">
        <f t="shared" si="73"/>
        <v>3920</v>
      </c>
      <c r="X93">
        <f t="shared" si="73"/>
        <v>3920</v>
      </c>
    </row>
    <row r="95" spans="11:25" x14ac:dyDescent="0.3">
      <c r="K95" s="2" t="s">
        <v>51</v>
      </c>
      <c r="L95" s="2" t="s">
        <v>3</v>
      </c>
      <c r="M95" s="2" t="s">
        <v>4</v>
      </c>
      <c r="N95" s="2" t="s">
        <v>5</v>
      </c>
      <c r="O95" s="2" t="s">
        <v>6</v>
      </c>
      <c r="P95" s="2" t="s">
        <v>7</v>
      </c>
      <c r="Q95" s="2" t="s">
        <v>8</v>
      </c>
      <c r="R95" s="2" t="s">
        <v>9</v>
      </c>
      <c r="S95" s="2" t="s">
        <v>10</v>
      </c>
      <c r="T95" s="2" t="s">
        <v>11</v>
      </c>
      <c r="U95" s="2" t="s">
        <v>12</v>
      </c>
      <c r="V95" s="2" t="s">
        <v>13</v>
      </c>
      <c r="W95" s="2" t="s">
        <v>14</v>
      </c>
      <c r="X95" s="2" t="s">
        <v>15</v>
      </c>
      <c r="Y95" s="2" t="s">
        <v>52</v>
      </c>
    </row>
    <row r="96" spans="11:25" x14ac:dyDescent="0.3">
      <c r="K96" s="31" t="s">
        <v>45</v>
      </c>
      <c r="L96">
        <f t="shared" ref="L96:X96" si="74">ROUNDUP(L89*L78*2,0)</f>
        <v>34</v>
      </c>
      <c r="M96">
        <f t="shared" si="74"/>
        <v>104</v>
      </c>
      <c r="N96">
        <f t="shared" si="74"/>
        <v>28</v>
      </c>
      <c r="O96">
        <f t="shared" si="74"/>
        <v>146</v>
      </c>
      <c r="P96">
        <f t="shared" si="74"/>
        <v>66</v>
      </c>
      <c r="Q96">
        <f t="shared" si="74"/>
        <v>78</v>
      </c>
      <c r="R96">
        <f t="shared" si="74"/>
        <v>28</v>
      </c>
      <c r="S96">
        <f t="shared" si="74"/>
        <v>0</v>
      </c>
      <c r="T96">
        <f t="shared" si="74"/>
        <v>0</v>
      </c>
      <c r="U96">
        <f t="shared" si="74"/>
        <v>0</v>
      </c>
      <c r="V96">
        <f t="shared" si="74"/>
        <v>0</v>
      </c>
      <c r="W96">
        <f t="shared" si="74"/>
        <v>0</v>
      </c>
      <c r="X96">
        <f t="shared" si="74"/>
        <v>0</v>
      </c>
      <c r="Y96">
        <f>SUM(L96:X96)</f>
        <v>484</v>
      </c>
    </row>
    <row r="97" spans="11:27" x14ac:dyDescent="0.3">
      <c r="K97" s="31" t="s">
        <v>46</v>
      </c>
      <c r="L97">
        <f t="shared" ref="L97:X97" si="75">ROUNDUP(L90*L78*2,0)</f>
        <v>9</v>
      </c>
      <c r="M97">
        <f t="shared" si="75"/>
        <v>26</v>
      </c>
      <c r="N97">
        <f t="shared" si="75"/>
        <v>7</v>
      </c>
      <c r="O97">
        <f t="shared" si="75"/>
        <v>37</v>
      </c>
      <c r="P97">
        <f t="shared" si="75"/>
        <v>0</v>
      </c>
      <c r="Q97">
        <f t="shared" si="75"/>
        <v>0</v>
      </c>
      <c r="R97">
        <f t="shared" si="75"/>
        <v>0</v>
      </c>
      <c r="S97">
        <f t="shared" si="75"/>
        <v>0</v>
      </c>
      <c r="T97">
        <f t="shared" si="75"/>
        <v>0</v>
      </c>
      <c r="U97">
        <f t="shared" si="75"/>
        <v>0</v>
      </c>
      <c r="V97">
        <f t="shared" si="75"/>
        <v>11</v>
      </c>
      <c r="W97">
        <f t="shared" si="75"/>
        <v>50</v>
      </c>
      <c r="X97">
        <f t="shared" si="75"/>
        <v>80</v>
      </c>
      <c r="Y97">
        <f t="shared" ref="Y97:Y98" si="76">SUM(L97:X97)</f>
        <v>220</v>
      </c>
    </row>
    <row r="98" spans="11:27" x14ac:dyDescent="0.3">
      <c r="K98" s="31" t="s">
        <v>47</v>
      </c>
      <c r="L98">
        <f t="shared" ref="L98:X98" si="77">ROUNDUP(L91*L78*2,0)</f>
        <v>0</v>
      </c>
      <c r="M98">
        <f t="shared" si="77"/>
        <v>0</v>
      </c>
      <c r="N98">
        <f t="shared" si="77"/>
        <v>0</v>
      </c>
      <c r="O98">
        <f t="shared" si="77"/>
        <v>0</v>
      </c>
      <c r="P98">
        <f t="shared" si="77"/>
        <v>33</v>
      </c>
      <c r="Q98">
        <f t="shared" si="77"/>
        <v>39</v>
      </c>
      <c r="R98">
        <f t="shared" si="77"/>
        <v>14</v>
      </c>
      <c r="S98">
        <f t="shared" si="77"/>
        <v>200</v>
      </c>
      <c r="T98">
        <f t="shared" si="77"/>
        <v>184</v>
      </c>
      <c r="U98">
        <f t="shared" si="77"/>
        <v>320</v>
      </c>
      <c r="V98">
        <f t="shared" si="77"/>
        <v>0</v>
      </c>
      <c r="W98">
        <f t="shared" si="77"/>
        <v>0</v>
      </c>
      <c r="X98">
        <f t="shared" si="77"/>
        <v>0</v>
      </c>
      <c r="Y98">
        <f t="shared" si="76"/>
        <v>790</v>
      </c>
    </row>
    <row r="99" spans="11:27" x14ac:dyDescent="0.3">
      <c r="K99" s="30" t="s">
        <v>53</v>
      </c>
      <c r="L99" s="30">
        <f>SUM(L96:L98)</f>
        <v>43</v>
      </c>
      <c r="M99" s="30">
        <f t="shared" ref="M99:X99" si="78">SUM(M96:M98)</f>
        <v>130</v>
      </c>
      <c r="N99" s="30">
        <f t="shared" si="78"/>
        <v>35</v>
      </c>
      <c r="O99" s="30">
        <f t="shared" si="78"/>
        <v>183</v>
      </c>
      <c r="P99" s="30">
        <f t="shared" si="78"/>
        <v>99</v>
      </c>
      <c r="Q99" s="30">
        <f t="shared" si="78"/>
        <v>117</v>
      </c>
      <c r="R99" s="30">
        <f t="shared" si="78"/>
        <v>42</v>
      </c>
      <c r="S99" s="30">
        <f t="shared" si="78"/>
        <v>200</v>
      </c>
      <c r="T99" s="30">
        <f t="shared" si="78"/>
        <v>184</v>
      </c>
      <c r="U99" s="30">
        <f t="shared" si="78"/>
        <v>320</v>
      </c>
      <c r="V99" s="30">
        <f t="shared" si="78"/>
        <v>11</v>
      </c>
      <c r="W99" s="30">
        <f t="shared" si="78"/>
        <v>50</v>
      </c>
      <c r="X99" s="30">
        <f t="shared" si="78"/>
        <v>80</v>
      </c>
      <c r="Y99" s="30">
        <f>SUM(Y96:Y98)</f>
        <v>1494</v>
      </c>
    </row>
    <row r="101" spans="11:27" x14ac:dyDescent="0.3">
      <c r="AA101" s="28"/>
    </row>
    <row r="102" spans="11:27" x14ac:dyDescent="0.3">
      <c r="K102" t="s">
        <v>98</v>
      </c>
      <c r="L102" s="5">
        <f t="shared" ref="L102:R102" si="79">L78*L86/10</f>
        <v>255000</v>
      </c>
      <c r="M102" s="5">
        <f t="shared" si="79"/>
        <v>1040000</v>
      </c>
      <c r="N102" s="5">
        <f t="shared" si="79"/>
        <v>350000</v>
      </c>
      <c r="O102" s="5">
        <f t="shared" si="79"/>
        <v>2190000</v>
      </c>
      <c r="P102" s="5">
        <f t="shared" si="79"/>
        <v>1320000</v>
      </c>
      <c r="Q102" s="5">
        <f t="shared" si="79"/>
        <v>1560000</v>
      </c>
      <c r="R102" s="5">
        <f t="shared" si="79"/>
        <v>560000</v>
      </c>
      <c r="S102" s="5">
        <f>S78*S86/15</f>
        <v>3333333.3333333335</v>
      </c>
      <c r="T102" s="5">
        <f>T78*T86/15</f>
        <v>1533333.3333333333</v>
      </c>
      <c r="U102" s="5">
        <f>U78*U86/15</f>
        <v>2666666.6666666665</v>
      </c>
      <c r="V102" s="5">
        <f>V78*V86/8</f>
        <v>110000</v>
      </c>
      <c r="W102" s="5">
        <f>W78*W86/8</f>
        <v>625000</v>
      </c>
      <c r="X102" s="5">
        <f>X78*X86/8</f>
        <v>500000</v>
      </c>
      <c r="Y102" s="5"/>
      <c r="AA102" s="28"/>
    </row>
    <row r="103" spans="11:27" x14ac:dyDescent="0.3">
      <c r="K103" t="s">
        <v>99</v>
      </c>
      <c r="L103" s="5">
        <f t="shared" ref="L103:X103" si="80">L85*16*5*49*L78</f>
        <v>1999200</v>
      </c>
      <c r="M103" s="5">
        <f t="shared" si="80"/>
        <v>6115200</v>
      </c>
      <c r="N103" s="5">
        <f t="shared" si="80"/>
        <v>1646400</v>
      </c>
      <c r="O103" s="5">
        <f t="shared" si="80"/>
        <v>8584800</v>
      </c>
      <c r="P103" s="5">
        <f t="shared" si="80"/>
        <v>6468000</v>
      </c>
      <c r="Q103" s="5">
        <f t="shared" si="80"/>
        <v>7644000</v>
      </c>
      <c r="R103" s="5">
        <f t="shared" si="80"/>
        <v>2744000</v>
      </c>
      <c r="S103" s="5">
        <f t="shared" si="80"/>
        <v>23520000</v>
      </c>
      <c r="T103" s="5">
        <f t="shared" si="80"/>
        <v>21638400</v>
      </c>
      <c r="U103" s="5">
        <f t="shared" si="80"/>
        <v>37632000</v>
      </c>
      <c r="V103" s="5">
        <f t="shared" si="80"/>
        <v>862400</v>
      </c>
      <c r="W103" s="5">
        <f t="shared" si="80"/>
        <v>3920000</v>
      </c>
      <c r="X103" s="5">
        <f t="shared" si="80"/>
        <v>6272000</v>
      </c>
      <c r="Y103" s="5"/>
      <c r="AA103" s="28"/>
    </row>
    <row r="104" spans="11:27" x14ac:dyDescent="0.3"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8"/>
      <c r="AA104" s="28"/>
    </row>
    <row r="106" spans="11:27" x14ac:dyDescent="0.3">
      <c r="K106" s="29" t="s">
        <v>100</v>
      </c>
      <c r="L106" s="5">
        <f>SUM(L102:X102)</f>
        <v>16043333.333333334</v>
      </c>
    </row>
    <row r="107" spans="11:27" x14ac:dyDescent="0.3">
      <c r="K107" s="29" t="s">
        <v>87</v>
      </c>
      <c r="L107" s="5">
        <f>SUM(L103:X103)</f>
        <v>129046400</v>
      </c>
    </row>
    <row r="108" spans="11:27" x14ac:dyDescent="0.3">
      <c r="K108" s="47" t="s">
        <v>86</v>
      </c>
      <c r="L108" s="28">
        <f>710*393*250</f>
        <v>69757500</v>
      </c>
    </row>
    <row r="109" spans="11:27" x14ac:dyDescent="0.3">
      <c r="K109" s="29" t="s">
        <v>88</v>
      </c>
      <c r="L109" s="5">
        <f>SUM(L106:L108)</f>
        <v>214847233.33333334</v>
      </c>
    </row>
  </sheetData>
  <mergeCells count="5">
    <mergeCell ref="AA47:AD47"/>
    <mergeCell ref="AC69:AE69"/>
    <mergeCell ref="AC70:AE70"/>
    <mergeCell ref="AK42:AL42"/>
    <mergeCell ref="AK43:AL43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ABAA-BCC6-4E8A-A921-C8EDEF810593}">
  <dimension ref="A1:AM110"/>
  <sheetViews>
    <sheetView zoomScale="70" zoomScaleNormal="70" workbookViewId="0">
      <selection activeCell="AQ14" sqref="AQ14"/>
    </sheetView>
  </sheetViews>
  <sheetFormatPr defaultRowHeight="16.2" x14ac:dyDescent="0.3"/>
  <cols>
    <col min="11" max="11" width="23.77734375" customWidth="1"/>
    <col min="12" max="12" width="13.6640625" bestFit="1" customWidth="1"/>
    <col min="13" max="24" width="12.77734375" bestFit="1" customWidth="1"/>
    <col min="25" max="25" width="13.6640625" bestFit="1" customWidth="1"/>
    <col min="26" max="26" width="13.44140625" bestFit="1" customWidth="1"/>
    <col min="32" max="32" width="18.21875" customWidth="1"/>
  </cols>
  <sheetData>
    <row r="1" spans="1:39" x14ac:dyDescent="0.3">
      <c r="A1" t="s">
        <v>0</v>
      </c>
      <c r="B1" t="s">
        <v>89</v>
      </c>
      <c r="C1" t="s">
        <v>55</v>
      </c>
      <c r="D1" t="s">
        <v>54</v>
      </c>
      <c r="E1" t="s">
        <v>1</v>
      </c>
      <c r="F1" t="s">
        <v>56</v>
      </c>
      <c r="G1" t="s">
        <v>57</v>
      </c>
      <c r="K1" s="2" t="s">
        <v>95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Z1" s="45" t="s">
        <v>72</v>
      </c>
      <c r="AA1" s="45" t="s">
        <v>3</v>
      </c>
      <c r="AB1" s="45" t="s">
        <v>4</v>
      </c>
      <c r="AC1" s="45" t="s">
        <v>5</v>
      </c>
      <c r="AD1" s="45" t="s">
        <v>6</v>
      </c>
      <c r="AE1" s="45" t="s">
        <v>7</v>
      </c>
      <c r="AF1" s="45" t="s">
        <v>8</v>
      </c>
      <c r="AG1" s="45" t="s">
        <v>9</v>
      </c>
      <c r="AH1" s="45" t="s">
        <v>10</v>
      </c>
      <c r="AI1" s="45" t="s">
        <v>11</v>
      </c>
      <c r="AJ1" s="45" t="s">
        <v>12</v>
      </c>
      <c r="AK1" s="45" t="s">
        <v>13</v>
      </c>
      <c r="AL1" s="45" t="s">
        <v>14</v>
      </c>
      <c r="AM1" s="45" t="s">
        <v>15</v>
      </c>
    </row>
    <row r="2" spans="1:39" x14ac:dyDescent="0.3">
      <c r="A2" t="s">
        <v>16</v>
      </c>
      <c r="B2">
        <v>1357200</v>
      </c>
      <c r="C2">
        <v>1835.8083526589301</v>
      </c>
      <c r="D2">
        <v>34466.074999999997</v>
      </c>
      <c r="E2">
        <v>12.75</v>
      </c>
      <c r="F2">
        <v>393066.29411860299</v>
      </c>
      <c r="G2">
        <v>498234.07740000001</v>
      </c>
      <c r="K2" s="1" t="s">
        <v>16</v>
      </c>
      <c r="L2">
        <v>1</v>
      </c>
      <c r="M2">
        <v>5</v>
      </c>
      <c r="N2">
        <v>0.5</v>
      </c>
      <c r="O2">
        <v>2.5</v>
      </c>
      <c r="P2">
        <v>0</v>
      </c>
      <c r="Q2">
        <v>0</v>
      </c>
      <c r="R2">
        <v>0</v>
      </c>
      <c r="S2">
        <v>0</v>
      </c>
      <c r="T2">
        <v>1.25</v>
      </c>
      <c r="U2">
        <v>2.5</v>
      </c>
      <c r="V2">
        <v>0</v>
      </c>
      <c r="W2">
        <v>0</v>
      </c>
      <c r="X2">
        <v>0</v>
      </c>
      <c r="Z2" s="45" t="s">
        <v>58</v>
      </c>
      <c r="AA2" s="50">
        <v>0</v>
      </c>
      <c r="AB2" s="50">
        <v>146</v>
      </c>
      <c r="AC2" s="50">
        <v>311</v>
      </c>
      <c r="AD2" s="50">
        <v>0</v>
      </c>
      <c r="AE2" s="50">
        <v>0</v>
      </c>
      <c r="AF2" s="50">
        <v>0</v>
      </c>
      <c r="AG2" s="50">
        <v>0</v>
      </c>
      <c r="AH2" s="50">
        <v>0</v>
      </c>
      <c r="AI2" s="50">
        <v>0</v>
      </c>
      <c r="AJ2" s="50">
        <v>0</v>
      </c>
      <c r="AK2" s="50">
        <v>0</v>
      </c>
      <c r="AL2" s="50">
        <v>0</v>
      </c>
      <c r="AM2" s="50">
        <v>0</v>
      </c>
    </row>
    <row r="3" spans="1:39" x14ac:dyDescent="0.3">
      <c r="A3" t="s">
        <v>17</v>
      </c>
      <c r="B3">
        <v>800800</v>
      </c>
      <c r="C3">
        <v>1196.4691644745601</v>
      </c>
      <c r="D3">
        <v>20163.7</v>
      </c>
      <c r="E3">
        <v>7.75</v>
      </c>
      <c r="F3">
        <v>143234.727593508</v>
      </c>
      <c r="G3">
        <v>177175.36850000001</v>
      </c>
      <c r="K3" s="1" t="s">
        <v>17</v>
      </c>
      <c r="L3">
        <v>1.25</v>
      </c>
      <c r="M3">
        <v>0</v>
      </c>
      <c r="N3">
        <v>0.5</v>
      </c>
      <c r="O3">
        <v>2.5</v>
      </c>
      <c r="P3">
        <v>0</v>
      </c>
      <c r="Q3">
        <v>0</v>
      </c>
      <c r="R3">
        <v>0</v>
      </c>
      <c r="S3">
        <v>1</v>
      </c>
      <c r="T3">
        <v>0</v>
      </c>
      <c r="U3">
        <v>2.5</v>
      </c>
      <c r="V3">
        <v>0</v>
      </c>
      <c r="W3">
        <v>0</v>
      </c>
      <c r="X3">
        <v>0</v>
      </c>
      <c r="Z3" s="45" t="s">
        <v>59</v>
      </c>
      <c r="AA3" s="50">
        <v>146</v>
      </c>
      <c r="AB3" s="50">
        <v>0</v>
      </c>
      <c r="AC3" s="50">
        <v>165</v>
      </c>
      <c r="AD3" s="50">
        <v>357</v>
      </c>
      <c r="AE3" s="50">
        <v>0</v>
      </c>
      <c r="AF3" s="50">
        <v>0</v>
      </c>
      <c r="AG3" s="50">
        <v>0</v>
      </c>
      <c r="AH3" s="50">
        <v>0</v>
      </c>
      <c r="AI3" s="50">
        <v>0</v>
      </c>
      <c r="AJ3" s="50">
        <v>0</v>
      </c>
      <c r="AK3" s="50">
        <v>0</v>
      </c>
      <c r="AL3" s="50">
        <v>0</v>
      </c>
      <c r="AM3" s="50">
        <v>0</v>
      </c>
    </row>
    <row r="4" spans="1:39" x14ac:dyDescent="0.3">
      <c r="A4" t="s">
        <v>18</v>
      </c>
      <c r="B4">
        <v>655200</v>
      </c>
      <c r="C4">
        <v>920.28423702847203</v>
      </c>
      <c r="D4">
        <v>9964.7000000000007</v>
      </c>
      <c r="E4">
        <v>9.5</v>
      </c>
      <c r="F4">
        <v>142219.703500654</v>
      </c>
      <c r="G4">
        <v>107329.53509999999</v>
      </c>
      <c r="K4" s="1" t="s">
        <v>18</v>
      </c>
      <c r="L4">
        <v>0</v>
      </c>
      <c r="M4">
        <v>1.75</v>
      </c>
      <c r="N4">
        <v>0.75</v>
      </c>
      <c r="O4">
        <v>3</v>
      </c>
      <c r="P4">
        <v>0</v>
      </c>
      <c r="Q4">
        <v>0</v>
      </c>
      <c r="R4">
        <v>0</v>
      </c>
      <c r="S4">
        <v>0</v>
      </c>
      <c r="T4">
        <v>1.5</v>
      </c>
      <c r="U4">
        <v>2.5</v>
      </c>
      <c r="V4">
        <v>0</v>
      </c>
      <c r="W4">
        <v>0</v>
      </c>
      <c r="X4">
        <v>0</v>
      </c>
      <c r="Z4" s="45" t="s">
        <v>60</v>
      </c>
      <c r="AA4" s="50">
        <v>0</v>
      </c>
      <c r="AB4" s="50">
        <v>0</v>
      </c>
      <c r="AC4" s="50">
        <v>0</v>
      </c>
      <c r="AD4" s="50">
        <v>193</v>
      </c>
      <c r="AE4" s="50">
        <v>0</v>
      </c>
      <c r="AF4" s="50">
        <v>0</v>
      </c>
      <c r="AG4" s="50">
        <v>0</v>
      </c>
      <c r="AH4" s="50">
        <v>0</v>
      </c>
      <c r="AI4" s="50">
        <f>236+211</f>
        <v>447</v>
      </c>
      <c r="AJ4" s="50">
        <v>0</v>
      </c>
      <c r="AK4" s="50">
        <v>0</v>
      </c>
      <c r="AL4" s="50">
        <v>0</v>
      </c>
      <c r="AM4" s="50">
        <v>0</v>
      </c>
    </row>
    <row r="5" spans="1:39" x14ac:dyDescent="0.3">
      <c r="A5" t="s">
        <v>19</v>
      </c>
      <c r="B5">
        <v>530400</v>
      </c>
      <c r="C5">
        <v>887.95356773962999</v>
      </c>
      <c r="D5">
        <v>14876.2</v>
      </c>
      <c r="E5">
        <v>7.5</v>
      </c>
      <c r="F5">
        <v>93654.126149809003</v>
      </c>
      <c r="G5">
        <v>126498.2993</v>
      </c>
      <c r="K5" s="1" t="s">
        <v>19</v>
      </c>
      <c r="L5">
        <v>1</v>
      </c>
      <c r="M5">
        <v>2</v>
      </c>
      <c r="N5">
        <v>0</v>
      </c>
      <c r="O5">
        <v>3</v>
      </c>
      <c r="P5">
        <v>0</v>
      </c>
      <c r="Q5">
        <v>0</v>
      </c>
      <c r="R5">
        <v>0.25</v>
      </c>
      <c r="S5">
        <v>1.25</v>
      </c>
      <c r="T5">
        <v>0</v>
      </c>
      <c r="U5">
        <v>0</v>
      </c>
      <c r="V5">
        <v>0</v>
      </c>
      <c r="W5">
        <v>0</v>
      </c>
      <c r="X5">
        <v>0</v>
      </c>
      <c r="Z5" s="45" t="s">
        <v>61</v>
      </c>
      <c r="AA5" s="50">
        <v>0</v>
      </c>
      <c r="AB5" s="50">
        <v>0</v>
      </c>
      <c r="AC5" s="50">
        <v>193</v>
      </c>
      <c r="AD5" s="50">
        <v>0</v>
      </c>
      <c r="AE5" s="50">
        <v>0</v>
      </c>
      <c r="AF5" s="50">
        <v>0</v>
      </c>
      <c r="AG5" s="50">
        <v>89</v>
      </c>
      <c r="AH5" s="50">
        <f>209+219</f>
        <v>428</v>
      </c>
      <c r="AI5" s="50">
        <f>428+209</f>
        <v>637</v>
      </c>
      <c r="AJ5" s="50">
        <v>0</v>
      </c>
      <c r="AK5" s="50">
        <v>0</v>
      </c>
      <c r="AL5" s="50">
        <v>0</v>
      </c>
      <c r="AM5" s="50">
        <v>0</v>
      </c>
    </row>
    <row r="6" spans="1:39" x14ac:dyDescent="0.3">
      <c r="A6" t="s">
        <v>20</v>
      </c>
      <c r="B6">
        <v>462800</v>
      </c>
      <c r="C6">
        <v>813.46835785466703</v>
      </c>
      <c r="D6">
        <v>11211</v>
      </c>
      <c r="E6">
        <v>7.5</v>
      </c>
      <c r="F6">
        <v>82465.1672525389</v>
      </c>
      <c r="G6">
        <v>95331.63265</v>
      </c>
      <c r="K6" s="1" t="s">
        <v>20</v>
      </c>
      <c r="L6">
        <v>0</v>
      </c>
      <c r="M6">
        <v>1.5</v>
      </c>
      <c r="N6">
        <v>0.75</v>
      </c>
      <c r="O6">
        <v>3.5</v>
      </c>
      <c r="P6">
        <v>0</v>
      </c>
      <c r="Q6">
        <v>0</v>
      </c>
      <c r="R6">
        <v>0</v>
      </c>
      <c r="S6">
        <v>0</v>
      </c>
      <c r="T6">
        <v>1.75</v>
      </c>
      <c r="U6">
        <v>0</v>
      </c>
      <c r="V6">
        <v>0</v>
      </c>
      <c r="W6">
        <v>0</v>
      </c>
      <c r="X6">
        <v>0</v>
      </c>
      <c r="Z6" s="45" t="s">
        <v>62</v>
      </c>
      <c r="AA6" s="50">
        <v>0</v>
      </c>
      <c r="AB6" s="50">
        <v>0</v>
      </c>
      <c r="AC6" s="50">
        <v>0</v>
      </c>
      <c r="AD6" s="50">
        <v>0</v>
      </c>
      <c r="AE6" s="50">
        <v>0</v>
      </c>
      <c r="AF6" s="50">
        <v>282</v>
      </c>
      <c r="AG6" s="50">
        <v>485</v>
      </c>
      <c r="AH6" s="50">
        <f>633+131</f>
        <v>764</v>
      </c>
      <c r="AI6" s="50">
        <v>0</v>
      </c>
      <c r="AJ6" s="50">
        <v>0</v>
      </c>
      <c r="AK6" s="50">
        <v>0</v>
      </c>
      <c r="AL6" s="50">
        <v>0</v>
      </c>
      <c r="AM6" s="50">
        <v>0</v>
      </c>
    </row>
    <row r="7" spans="1:39" x14ac:dyDescent="0.3">
      <c r="A7" t="s">
        <v>21</v>
      </c>
      <c r="B7">
        <v>452400</v>
      </c>
      <c r="C7">
        <v>736.02362002232599</v>
      </c>
      <c r="D7">
        <v>7347.9750000000004</v>
      </c>
      <c r="E7">
        <v>10.5</v>
      </c>
      <c r="F7">
        <v>111256.647689855</v>
      </c>
      <c r="G7">
        <v>87475.892860000007</v>
      </c>
      <c r="K7" s="1" t="s">
        <v>21</v>
      </c>
      <c r="L7">
        <v>0.75</v>
      </c>
      <c r="M7">
        <v>1.25</v>
      </c>
      <c r="N7">
        <v>0.5</v>
      </c>
      <c r="O7">
        <v>3</v>
      </c>
      <c r="P7">
        <v>0</v>
      </c>
      <c r="Q7">
        <v>0</v>
      </c>
      <c r="R7">
        <v>0</v>
      </c>
      <c r="S7">
        <v>1</v>
      </c>
      <c r="T7">
        <v>1.25</v>
      </c>
      <c r="U7">
        <v>2.75</v>
      </c>
      <c r="V7">
        <v>0</v>
      </c>
      <c r="W7">
        <v>0</v>
      </c>
      <c r="X7">
        <v>0</v>
      </c>
      <c r="Z7" s="45" t="s">
        <v>63</v>
      </c>
      <c r="AA7" s="50">
        <v>0</v>
      </c>
      <c r="AB7" s="50">
        <v>0</v>
      </c>
      <c r="AC7" s="50">
        <v>89</v>
      </c>
      <c r="AD7" s="50">
        <v>0</v>
      </c>
      <c r="AE7" s="50">
        <v>0</v>
      </c>
      <c r="AF7" s="50">
        <v>0</v>
      </c>
      <c r="AG7" s="50">
        <v>202</v>
      </c>
      <c r="AH7" s="50">
        <v>350</v>
      </c>
      <c r="AI7" s="50">
        <f>287+123</f>
        <v>410</v>
      </c>
      <c r="AJ7" s="50">
        <v>0</v>
      </c>
      <c r="AK7" s="50">
        <v>0</v>
      </c>
      <c r="AL7" s="50">
        <v>0</v>
      </c>
      <c r="AM7" s="50">
        <v>0</v>
      </c>
    </row>
    <row r="8" spans="1:39" x14ac:dyDescent="0.3">
      <c r="A8" t="s">
        <v>22</v>
      </c>
      <c r="B8">
        <v>878800</v>
      </c>
      <c r="C8">
        <v>1503.3935970637499</v>
      </c>
      <c r="D8">
        <v>22657.200000000001</v>
      </c>
      <c r="E8">
        <v>10</v>
      </c>
      <c r="F8">
        <v>207724.85282084599</v>
      </c>
      <c r="G8">
        <v>256884.35370000001</v>
      </c>
      <c r="K8" s="1" t="s">
        <v>22</v>
      </c>
      <c r="L8">
        <v>0</v>
      </c>
      <c r="M8">
        <v>0</v>
      </c>
      <c r="N8">
        <v>0.75</v>
      </c>
      <c r="O8">
        <v>3.5</v>
      </c>
      <c r="P8">
        <v>1</v>
      </c>
      <c r="Q8">
        <v>1.5</v>
      </c>
      <c r="R8">
        <v>0</v>
      </c>
      <c r="S8">
        <v>0</v>
      </c>
      <c r="T8">
        <v>1.25</v>
      </c>
      <c r="U8">
        <v>2</v>
      </c>
      <c r="V8">
        <v>0</v>
      </c>
      <c r="W8">
        <v>0</v>
      </c>
      <c r="X8">
        <v>0</v>
      </c>
      <c r="Z8" s="45" t="s">
        <v>64</v>
      </c>
      <c r="AA8" s="50">
        <v>0</v>
      </c>
      <c r="AB8" s="50">
        <v>0</v>
      </c>
      <c r="AC8" s="50">
        <v>0</v>
      </c>
      <c r="AD8" s="50">
        <v>0</v>
      </c>
      <c r="AE8" s="50">
        <f>489</f>
        <v>489</v>
      </c>
      <c r="AF8" s="50">
        <v>202</v>
      </c>
      <c r="AG8" s="50">
        <v>0</v>
      </c>
      <c r="AH8" s="50">
        <f>148+131</f>
        <v>279</v>
      </c>
      <c r="AI8" s="50">
        <f>489+121</f>
        <v>610</v>
      </c>
      <c r="AJ8" s="50">
        <v>0</v>
      </c>
      <c r="AK8" s="50">
        <v>0</v>
      </c>
      <c r="AL8" s="50">
        <v>0</v>
      </c>
      <c r="AM8" s="50">
        <v>0</v>
      </c>
    </row>
    <row r="9" spans="1:39" x14ac:dyDescent="0.3">
      <c r="A9" t="s">
        <v>23</v>
      </c>
      <c r="B9">
        <v>634400</v>
      </c>
      <c r="C9">
        <v>973.88990058503896</v>
      </c>
      <c r="D9">
        <v>7330.4</v>
      </c>
      <c r="E9">
        <v>4.75</v>
      </c>
      <c r="F9">
        <v>69865.727185697004</v>
      </c>
      <c r="G9">
        <v>39477.777779999997</v>
      </c>
      <c r="K9" s="1" t="s">
        <v>23</v>
      </c>
      <c r="L9">
        <v>0</v>
      </c>
      <c r="M9">
        <v>0</v>
      </c>
      <c r="N9">
        <v>0</v>
      </c>
      <c r="O9">
        <v>0</v>
      </c>
      <c r="P9">
        <v>1.25</v>
      </c>
      <c r="Q9">
        <v>0</v>
      </c>
      <c r="R9">
        <v>0</v>
      </c>
      <c r="S9">
        <v>2</v>
      </c>
      <c r="T9">
        <v>1</v>
      </c>
      <c r="U9">
        <v>0.5</v>
      </c>
      <c r="V9">
        <v>0</v>
      </c>
      <c r="W9">
        <v>0</v>
      </c>
      <c r="X9">
        <v>0</v>
      </c>
      <c r="Z9" s="45" t="s">
        <v>65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f>636</f>
        <v>636</v>
      </c>
      <c r="AJ9" s="50">
        <f>317</f>
        <v>317</v>
      </c>
      <c r="AK9" s="50">
        <v>0</v>
      </c>
      <c r="AL9" s="50">
        <v>0</v>
      </c>
      <c r="AM9" s="50">
        <v>0</v>
      </c>
    </row>
    <row r="10" spans="1:39" x14ac:dyDescent="0.3">
      <c r="A10" t="s">
        <v>24</v>
      </c>
      <c r="B10">
        <v>592800</v>
      </c>
      <c r="C10">
        <v>952.32508993677004</v>
      </c>
      <c r="D10">
        <v>14241</v>
      </c>
      <c r="E10">
        <v>8.5</v>
      </c>
      <c r="F10">
        <v>117750.728421893</v>
      </c>
      <c r="G10">
        <v>137243.1973</v>
      </c>
      <c r="K10" s="1" t="s">
        <v>24</v>
      </c>
      <c r="L10">
        <v>0</v>
      </c>
      <c r="M10">
        <v>0</v>
      </c>
      <c r="N10">
        <v>0</v>
      </c>
      <c r="O10">
        <v>0</v>
      </c>
      <c r="P10">
        <v>1.25</v>
      </c>
      <c r="Q10">
        <v>1.75</v>
      </c>
      <c r="R10">
        <v>1.25</v>
      </c>
      <c r="S10">
        <v>0</v>
      </c>
      <c r="T10">
        <v>1.25</v>
      </c>
      <c r="U10">
        <v>3</v>
      </c>
      <c r="V10">
        <v>0</v>
      </c>
      <c r="W10">
        <v>0</v>
      </c>
      <c r="X10">
        <v>0</v>
      </c>
      <c r="Z10" s="45" t="s">
        <v>66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f>319</f>
        <v>319</v>
      </c>
      <c r="AK10" s="50">
        <v>0</v>
      </c>
      <c r="AL10" s="50">
        <v>0</v>
      </c>
      <c r="AM10" s="50">
        <v>0</v>
      </c>
    </row>
    <row r="11" spans="1:39" x14ac:dyDescent="0.3">
      <c r="A11" t="s">
        <v>25</v>
      </c>
      <c r="B11">
        <v>353600</v>
      </c>
      <c r="C11">
        <v>498.84481940394397</v>
      </c>
      <c r="D11">
        <v>8002.4750000000004</v>
      </c>
      <c r="E11">
        <v>6.5</v>
      </c>
      <c r="F11">
        <v>52552.104174337503</v>
      </c>
      <c r="G11">
        <v>58975.155899999998</v>
      </c>
      <c r="K11" s="1" t="s">
        <v>25</v>
      </c>
      <c r="L11">
        <v>0</v>
      </c>
      <c r="M11">
        <v>0</v>
      </c>
      <c r="N11">
        <v>0</v>
      </c>
      <c r="O11">
        <v>0</v>
      </c>
      <c r="P11">
        <v>1.5</v>
      </c>
      <c r="Q11">
        <v>1.75</v>
      </c>
      <c r="R11">
        <v>0</v>
      </c>
      <c r="S11">
        <v>0</v>
      </c>
      <c r="T11">
        <v>1.25</v>
      </c>
      <c r="U11">
        <v>2</v>
      </c>
      <c r="V11">
        <v>0</v>
      </c>
      <c r="W11">
        <v>0</v>
      </c>
      <c r="X11">
        <v>0</v>
      </c>
      <c r="Z11" s="45" t="s">
        <v>67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319</v>
      </c>
      <c r="AJ11" s="50">
        <v>0</v>
      </c>
      <c r="AK11" s="50">
        <v>0</v>
      </c>
      <c r="AL11" s="50">
        <v>0</v>
      </c>
      <c r="AM11" s="50">
        <v>0</v>
      </c>
    </row>
    <row r="12" spans="1:39" x14ac:dyDescent="0.3">
      <c r="A12" t="s">
        <v>26</v>
      </c>
      <c r="B12">
        <v>790400</v>
      </c>
      <c r="C12">
        <v>1223.4880779652301</v>
      </c>
      <c r="D12">
        <v>14695.95</v>
      </c>
      <c r="E12">
        <v>4</v>
      </c>
      <c r="F12">
        <v>73405.985775062305</v>
      </c>
      <c r="G12">
        <v>66648.299320000006</v>
      </c>
      <c r="K12" s="1" t="s">
        <v>26</v>
      </c>
      <c r="L12">
        <v>0</v>
      </c>
      <c r="M12">
        <v>0</v>
      </c>
      <c r="N12">
        <v>0</v>
      </c>
      <c r="O12">
        <v>0</v>
      </c>
      <c r="P12">
        <v>2.5</v>
      </c>
      <c r="Q12">
        <v>0</v>
      </c>
      <c r="R12">
        <v>0.75</v>
      </c>
      <c r="S12">
        <v>0</v>
      </c>
      <c r="T12">
        <v>0.75</v>
      </c>
      <c r="U12">
        <v>0</v>
      </c>
      <c r="V12">
        <v>0</v>
      </c>
      <c r="W12">
        <v>0</v>
      </c>
      <c r="X12">
        <v>0</v>
      </c>
      <c r="Z12" s="45" t="s">
        <v>68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85.5</v>
      </c>
      <c r="AM12" s="50">
        <v>95</v>
      </c>
    </row>
    <row r="13" spans="1:39" x14ac:dyDescent="0.3">
      <c r="A13" t="s">
        <v>27</v>
      </c>
      <c r="B13">
        <v>946400</v>
      </c>
      <c r="C13">
        <v>1392.5626625867701</v>
      </c>
      <c r="D13">
        <v>18854.7</v>
      </c>
      <c r="E13">
        <v>6</v>
      </c>
      <c r="F13">
        <v>130722.022279914</v>
      </c>
      <c r="G13">
        <v>128263.2653</v>
      </c>
      <c r="K13" s="1" t="s">
        <v>27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0.5</v>
      </c>
      <c r="S13">
        <v>0</v>
      </c>
      <c r="T13">
        <v>1.25</v>
      </c>
      <c r="U13">
        <v>2.25</v>
      </c>
      <c r="V13">
        <v>0</v>
      </c>
      <c r="W13">
        <v>0</v>
      </c>
      <c r="X13">
        <v>0</v>
      </c>
      <c r="Z13" s="45" t="s">
        <v>69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85.5</v>
      </c>
      <c r="AL13" s="50">
        <v>0</v>
      </c>
      <c r="AM13" s="50">
        <f>85.5+95</f>
        <v>180.5</v>
      </c>
    </row>
    <row r="14" spans="1:39" x14ac:dyDescent="0.3">
      <c r="A14" t="s">
        <v>28</v>
      </c>
      <c r="B14">
        <v>473200</v>
      </c>
      <c r="C14">
        <v>709.95666173257405</v>
      </c>
      <c r="D14">
        <v>9427.35</v>
      </c>
      <c r="E14">
        <v>7.5</v>
      </c>
      <c r="F14">
        <v>81965.4538015539</v>
      </c>
      <c r="G14">
        <v>80164.540819999995</v>
      </c>
      <c r="K14" s="1" t="s">
        <v>28</v>
      </c>
      <c r="L14">
        <v>0</v>
      </c>
      <c r="M14">
        <v>0</v>
      </c>
      <c r="N14">
        <v>0</v>
      </c>
      <c r="O14">
        <v>0</v>
      </c>
      <c r="P14">
        <v>1.25</v>
      </c>
      <c r="Q14">
        <v>2.25</v>
      </c>
      <c r="R14">
        <v>0.75</v>
      </c>
      <c r="S14">
        <v>2</v>
      </c>
      <c r="T14">
        <v>1.25</v>
      </c>
      <c r="U14">
        <v>0</v>
      </c>
      <c r="V14">
        <v>0</v>
      </c>
      <c r="W14">
        <v>0</v>
      </c>
      <c r="X14">
        <v>0</v>
      </c>
      <c r="Z14" s="45" t="s">
        <v>70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f>180.5</f>
        <v>180.5</v>
      </c>
      <c r="AM14" s="50">
        <v>0</v>
      </c>
    </row>
    <row r="15" spans="1:39" x14ac:dyDescent="0.3">
      <c r="A15" t="s">
        <v>29</v>
      </c>
      <c r="B15">
        <v>1279200</v>
      </c>
      <c r="C15">
        <v>1623.1498343083899</v>
      </c>
      <c r="D15">
        <v>29234.799999999999</v>
      </c>
      <c r="E15">
        <v>4.75</v>
      </c>
      <c r="F15">
        <v>136709.54530949501</v>
      </c>
      <c r="G15">
        <v>157443.6508</v>
      </c>
      <c r="K15" s="1" t="s">
        <v>29</v>
      </c>
      <c r="L15">
        <v>0</v>
      </c>
      <c r="M15">
        <v>0</v>
      </c>
      <c r="N15">
        <v>0</v>
      </c>
      <c r="O15">
        <v>0</v>
      </c>
      <c r="P15">
        <v>1</v>
      </c>
      <c r="Q15">
        <v>1.5</v>
      </c>
      <c r="R15">
        <v>0.5</v>
      </c>
      <c r="S15">
        <v>1.75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39" x14ac:dyDescent="0.3">
      <c r="A16" t="s">
        <v>30</v>
      </c>
      <c r="B16">
        <v>312000</v>
      </c>
      <c r="C16">
        <v>505.35592940482502</v>
      </c>
      <c r="D16">
        <v>3665.2</v>
      </c>
      <c r="E16">
        <v>7.5</v>
      </c>
      <c r="F16">
        <v>54762.829587623499</v>
      </c>
      <c r="G16">
        <v>31166.666669999999</v>
      </c>
      <c r="K16" s="1" t="s">
        <v>30</v>
      </c>
      <c r="L16">
        <v>0</v>
      </c>
      <c r="M16">
        <v>0</v>
      </c>
      <c r="N16">
        <v>0</v>
      </c>
      <c r="O16">
        <v>0</v>
      </c>
      <c r="P16">
        <v>0.75</v>
      </c>
      <c r="Q16">
        <v>1.25</v>
      </c>
      <c r="R16">
        <v>0.5</v>
      </c>
      <c r="S16">
        <v>2.5</v>
      </c>
      <c r="T16">
        <v>0</v>
      </c>
      <c r="U16">
        <v>2.5</v>
      </c>
      <c r="V16">
        <v>0</v>
      </c>
      <c r="W16">
        <v>0</v>
      </c>
      <c r="X16">
        <v>0</v>
      </c>
    </row>
    <row r="17" spans="1:39" x14ac:dyDescent="0.3">
      <c r="A17" t="s">
        <v>31</v>
      </c>
      <c r="B17">
        <v>665600</v>
      </c>
      <c r="C17">
        <v>1523.15462117278</v>
      </c>
      <c r="D17">
        <v>19392</v>
      </c>
      <c r="E17">
        <v>10</v>
      </c>
      <c r="F17">
        <v>167233.863070527</v>
      </c>
      <c r="G17">
        <v>219863.94560000001</v>
      </c>
      <c r="K17" s="1" t="s">
        <v>31</v>
      </c>
      <c r="L17">
        <v>0</v>
      </c>
      <c r="M17">
        <v>0</v>
      </c>
      <c r="N17">
        <v>0</v>
      </c>
      <c r="O17">
        <v>0</v>
      </c>
      <c r="P17">
        <v>0</v>
      </c>
      <c r="Q17">
        <v>1.25</v>
      </c>
      <c r="R17">
        <v>0</v>
      </c>
      <c r="S17">
        <v>5</v>
      </c>
      <c r="T17">
        <v>1.25</v>
      </c>
      <c r="U17">
        <v>2.5</v>
      </c>
      <c r="V17">
        <v>0</v>
      </c>
      <c r="W17">
        <v>0</v>
      </c>
      <c r="X17">
        <v>0</v>
      </c>
      <c r="Z17" s="2" t="s">
        <v>73</v>
      </c>
      <c r="AA17" s="2" t="s">
        <v>3</v>
      </c>
      <c r="AB17" s="2" t="s">
        <v>4</v>
      </c>
      <c r="AC17" s="2" t="s">
        <v>5</v>
      </c>
      <c r="AD17" s="2" t="s">
        <v>6</v>
      </c>
      <c r="AE17" s="2" t="s">
        <v>7</v>
      </c>
      <c r="AF17" s="2" t="s">
        <v>8</v>
      </c>
      <c r="AG17" s="2" t="s">
        <v>9</v>
      </c>
      <c r="AH17" s="2" t="s">
        <v>10</v>
      </c>
      <c r="AI17" s="2" t="s">
        <v>11</v>
      </c>
      <c r="AJ17" s="2" t="s">
        <v>12</v>
      </c>
      <c r="AK17" s="2" t="s">
        <v>13</v>
      </c>
      <c r="AL17" s="2" t="s">
        <v>14</v>
      </c>
      <c r="AM17" s="2" t="s">
        <v>15</v>
      </c>
    </row>
    <row r="18" spans="1:39" x14ac:dyDescent="0.3">
      <c r="A18" t="s">
        <v>32</v>
      </c>
      <c r="B18">
        <v>561600</v>
      </c>
      <c r="C18">
        <v>739.02222304464306</v>
      </c>
      <c r="D18">
        <v>9427.35</v>
      </c>
      <c r="E18">
        <v>7.25</v>
      </c>
      <c r="F18">
        <v>92101.064461168702</v>
      </c>
      <c r="G18">
        <v>77492.389460000006</v>
      </c>
      <c r="K18" s="1" t="s">
        <v>32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0.75</v>
      </c>
      <c r="W18">
        <v>3</v>
      </c>
      <c r="X18">
        <v>3.5</v>
      </c>
      <c r="Z18" s="1" t="s">
        <v>16</v>
      </c>
      <c r="AA18">
        <f>L2*$D$2</f>
        <v>34466.074999999997</v>
      </c>
      <c r="AB18">
        <f t="shared" ref="AB18:AM18" si="0">M2*$D$2</f>
        <v>172330.375</v>
      </c>
      <c r="AC18">
        <f t="shared" si="0"/>
        <v>17233.037499999999</v>
      </c>
      <c r="AD18">
        <f t="shared" si="0"/>
        <v>86165.1875</v>
      </c>
      <c r="AE18">
        <f t="shared" si="0"/>
        <v>0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43082.59375</v>
      </c>
      <c r="AJ18">
        <f t="shared" si="0"/>
        <v>86165.1875</v>
      </c>
      <c r="AK18">
        <f t="shared" si="0"/>
        <v>0</v>
      </c>
      <c r="AL18">
        <f t="shared" si="0"/>
        <v>0</v>
      </c>
      <c r="AM18">
        <f t="shared" si="0"/>
        <v>0</v>
      </c>
    </row>
    <row r="19" spans="1:39" x14ac:dyDescent="0.3">
      <c r="A19" t="s">
        <v>33</v>
      </c>
      <c r="B19">
        <v>920400</v>
      </c>
      <c r="C19">
        <v>1352.2772815343101</v>
      </c>
      <c r="D19">
        <v>21884.7</v>
      </c>
      <c r="E19">
        <v>6.25</v>
      </c>
      <c r="F19">
        <v>132395.221551872</v>
      </c>
      <c r="G19">
        <v>155078.65650000001</v>
      </c>
      <c r="K19" s="1" t="s">
        <v>33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1.25</v>
      </c>
      <c r="W19">
        <v>1.25</v>
      </c>
      <c r="X19">
        <v>3.75</v>
      </c>
      <c r="Z19" s="1" t="s">
        <v>17</v>
      </c>
      <c r="AA19">
        <f>L3*$D$3</f>
        <v>25204.625</v>
      </c>
      <c r="AB19">
        <f t="shared" ref="AB19:AM19" si="1">M3*$D$3</f>
        <v>0</v>
      </c>
      <c r="AC19">
        <f t="shared" si="1"/>
        <v>10081.85</v>
      </c>
      <c r="AD19">
        <f t="shared" si="1"/>
        <v>50409.25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20163.7</v>
      </c>
      <c r="AI19">
        <f t="shared" si="1"/>
        <v>0</v>
      </c>
      <c r="AJ19">
        <f t="shared" si="1"/>
        <v>50409.25</v>
      </c>
      <c r="AK19">
        <f t="shared" si="1"/>
        <v>0</v>
      </c>
      <c r="AL19">
        <f t="shared" si="1"/>
        <v>0</v>
      </c>
      <c r="AM19">
        <f t="shared" si="1"/>
        <v>0</v>
      </c>
    </row>
    <row r="20" spans="1:39" x14ac:dyDescent="0.3">
      <c r="A20" t="s">
        <v>34</v>
      </c>
      <c r="B20">
        <v>1341600</v>
      </c>
      <c r="C20">
        <v>1861.55435466832</v>
      </c>
      <c r="D20">
        <v>32386.7</v>
      </c>
      <c r="E20">
        <v>10.5</v>
      </c>
      <c r="F20">
        <v>321247.985697489</v>
      </c>
      <c r="G20">
        <v>385555.95240000001</v>
      </c>
      <c r="K20" s="1" t="s">
        <v>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4.25</v>
      </c>
      <c r="X20">
        <v>6.25</v>
      </c>
      <c r="Z20" s="1" t="s">
        <v>18</v>
      </c>
      <c r="AA20">
        <f>L4*$D$4</f>
        <v>0</v>
      </c>
      <c r="AB20">
        <f t="shared" ref="AB20:AM20" si="2">M4*$D$4</f>
        <v>17438.225000000002</v>
      </c>
      <c r="AC20">
        <f t="shared" si="2"/>
        <v>7473.5250000000005</v>
      </c>
      <c r="AD20">
        <f t="shared" si="2"/>
        <v>29894.100000000002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2"/>
        <v>0</v>
      </c>
      <c r="AI20">
        <f t="shared" si="2"/>
        <v>14947.050000000001</v>
      </c>
      <c r="AJ20">
        <f t="shared" si="2"/>
        <v>24911.75</v>
      </c>
      <c r="AK20">
        <f t="shared" si="2"/>
        <v>0</v>
      </c>
      <c r="AL20">
        <f t="shared" si="2"/>
        <v>0</v>
      </c>
      <c r="AM20">
        <f t="shared" si="2"/>
        <v>0</v>
      </c>
    </row>
    <row r="21" spans="1:39" x14ac:dyDescent="0.3">
      <c r="A21" t="s">
        <v>35</v>
      </c>
      <c r="B21">
        <v>1097200</v>
      </c>
      <c r="C21">
        <v>1533.53538245153</v>
      </c>
      <c r="D21">
        <v>23829.3</v>
      </c>
      <c r="E21">
        <v>5.75</v>
      </c>
      <c r="F21">
        <v>144038.22091284901</v>
      </c>
      <c r="G21">
        <v>155349.74489999999</v>
      </c>
      <c r="K21" s="1" t="s">
        <v>35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0.75</v>
      </c>
      <c r="W21">
        <v>2</v>
      </c>
      <c r="X21">
        <v>3</v>
      </c>
      <c r="Z21" s="1" t="s">
        <v>19</v>
      </c>
      <c r="AA21">
        <f>L5*$D$5</f>
        <v>14876.2</v>
      </c>
      <c r="AB21">
        <f t="shared" ref="AB21:AM21" si="3">M5*$D$5</f>
        <v>29752.400000000001</v>
      </c>
      <c r="AC21">
        <f t="shared" si="3"/>
        <v>0</v>
      </c>
      <c r="AD21">
        <f t="shared" si="3"/>
        <v>44628.600000000006</v>
      </c>
      <c r="AE21">
        <f t="shared" si="3"/>
        <v>0</v>
      </c>
      <c r="AF21">
        <f t="shared" si="3"/>
        <v>0</v>
      </c>
      <c r="AG21">
        <f t="shared" si="3"/>
        <v>3719.05</v>
      </c>
      <c r="AH21">
        <f t="shared" si="3"/>
        <v>18595.25</v>
      </c>
      <c r="AI21">
        <f t="shared" si="3"/>
        <v>0</v>
      </c>
      <c r="AJ21">
        <f t="shared" si="3"/>
        <v>0</v>
      </c>
      <c r="AK21">
        <f t="shared" si="3"/>
        <v>0</v>
      </c>
      <c r="AL21">
        <f t="shared" si="3"/>
        <v>0</v>
      </c>
      <c r="AM21">
        <f t="shared" si="3"/>
        <v>0</v>
      </c>
    </row>
    <row r="22" spans="1:39" x14ac:dyDescent="0.3">
      <c r="D22">
        <f>SUM(D2:D21)</f>
        <v>333058.77500000002</v>
      </c>
      <c r="Z22" s="1" t="s">
        <v>20</v>
      </c>
      <c r="AA22">
        <f>L6*$D$6</f>
        <v>0</v>
      </c>
      <c r="AB22">
        <f t="shared" ref="AB22:AM22" si="4">M6*$D$6</f>
        <v>16816.5</v>
      </c>
      <c r="AC22">
        <f t="shared" si="4"/>
        <v>8408.25</v>
      </c>
      <c r="AD22">
        <f t="shared" si="4"/>
        <v>39238.5</v>
      </c>
      <c r="AE22">
        <f t="shared" si="4"/>
        <v>0</v>
      </c>
      <c r="AF22">
        <f t="shared" si="4"/>
        <v>0</v>
      </c>
      <c r="AG22">
        <f t="shared" si="4"/>
        <v>0</v>
      </c>
      <c r="AH22">
        <f t="shared" si="4"/>
        <v>0</v>
      </c>
      <c r="AI22">
        <f t="shared" si="4"/>
        <v>19619.25</v>
      </c>
      <c r="AJ22">
        <f t="shared" si="4"/>
        <v>0</v>
      </c>
      <c r="AK22">
        <f t="shared" si="4"/>
        <v>0</v>
      </c>
      <c r="AL22">
        <f t="shared" si="4"/>
        <v>0</v>
      </c>
      <c r="AM22">
        <f t="shared" si="4"/>
        <v>0</v>
      </c>
    </row>
    <row r="23" spans="1:39" x14ac:dyDescent="0.3">
      <c r="Z23" s="1" t="s">
        <v>21</v>
      </c>
      <c r="AA23">
        <f>L7*$D$7</f>
        <v>5510.9812500000007</v>
      </c>
      <c r="AB23">
        <f t="shared" ref="AB23:AM23" si="5">M7*$D$7</f>
        <v>9184.96875</v>
      </c>
      <c r="AC23">
        <f t="shared" si="5"/>
        <v>3673.9875000000002</v>
      </c>
      <c r="AD23">
        <f t="shared" si="5"/>
        <v>22043.925000000003</v>
      </c>
      <c r="AE23">
        <f t="shared" si="5"/>
        <v>0</v>
      </c>
      <c r="AF23">
        <f t="shared" si="5"/>
        <v>0</v>
      </c>
      <c r="AG23">
        <f t="shared" si="5"/>
        <v>0</v>
      </c>
      <c r="AH23">
        <f t="shared" si="5"/>
        <v>7347.9750000000004</v>
      </c>
      <c r="AI23">
        <f t="shared" si="5"/>
        <v>9184.96875</v>
      </c>
      <c r="AJ23">
        <f t="shared" si="5"/>
        <v>20206.931250000001</v>
      </c>
      <c r="AK23">
        <f t="shared" si="5"/>
        <v>0</v>
      </c>
      <c r="AL23">
        <f t="shared" si="5"/>
        <v>0</v>
      </c>
      <c r="AM23">
        <f t="shared" si="5"/>
        <v>0</v>
      </c>
    </row>
    <row r="24" spans="1:39" x14ac:dyDescent="0.3">
      <c r="K24" s="2" t="s">
        <v>96</v>
      </c>
      <c r="L24" s="2" t="s">
        <v>3</v>
      </c>
      <c r="M24" s="2" t="s">
        <v>4</v>
      </c>
      <c r="N24" s="2" t="s">
        <v>5</v>
      </c>
      <c r="O24" s="2" t="s">
        <v>6</v>
      </c>
      <c r="P24" s="2" t="s">
        <v>7</v>
      </c>
      <c r="Q24" s="2" t="s">
        <v>8</v>
      </c>
      <c r="R24" s="2" t="s">
        <v>9</v>
      </c>
      <c r="S24" s="2" t="s">
        <v>10</v>
      </c>
      <c r="T24" s="2" t="s">
        <v>11</v>
      </c>
      <c r="U24" s="2" t="s">
        <v>12</v>
      </c>
      <c r="V24" s="2" t="s">
        <v>13</v>
      </c>
      <c r="W24" s="2" t="s">
        <v>14</v>
      </c>
      <c r="X24" s="2" t="s">
        <v>15</v>
      </c>
      <c r="Z24" s="1" t="s">
        <v>22</v>
      </c>
      <c r="AA24">
        <f>L8*$D$8</f>
        <v>0</v>
      </c>
      <c r="AB24">
        <f t="shared" ref="AB24:AM24" si="6">M8*$D$8</f>
        <v>0</v>
      </c>
      <c r="AC24">
        <f t="shared" si="6"/>
        <v>16992.900000000001</v>
      </c>
      <c r="AD24">
        <f t="shared" si="6"/>
        <v>79300.2</v>
      </c>
      <c r="AE24">
        <f t="shared" si="6"/>
        <v>22657.200000000001</v>
      </c>
      <c r="AF24">
        <f t="shared" si="6"/>
        <v>33985.800000000003</v>
      </c>
      <c r="AG24">
        <f t="shared" si="6"/>
        <v>0</v>
      </c>
      <c r="AH24">
        <f t="shared" si="6"/>
        <v>0</v>
      </c>
      <c r="AI24">
        <f t="shared" si="6"/>
        <v>28321.5</v>
      </c>
      <c r="AJ24">
        <f t="shared" si="6"/>
        <v>45314.400000000001</v>
      </c>
      <c r="AK24">
        <f t="shared" si="6"/>
        <v>0</v>
      </c>
      <c r="AL24">
        <f t="shared" si="6"/>
        <v>0</v>
      </c>
      <c r="AM24">
        <f t="shared" si="6"/>
        <v>0</v>
      </c>
    </row>
    <row r="25" spans="1:39" x14ac:dyDescent="0.3">
      <c r="K25" s="1" t="s">
        <v>16</v>
      </c>
      <c r="L25">
        <f>L2/$E$2</f>
        <v>7.8431372549019607E-2</v>
      </c>
      <c r="M25">
        <f t="shared" ref="M25:X25" si="7">M2/$E$2</f>
        <v>0.39215686274509803</v>
      </c>
      <c r="N25">
        <f t="shared" si="7"/>
        <v>3.9215686274509803E-2</v>
      </c>
      <c r="O25">
        <f t="shared" si="7"/>
        <v>0.19607843137254902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9.8039215686274508E-2</v>
      </c>
      <c r="U25">
        <f t="shared" si="7"/>
        <v>0.19607843137254902</v>
      </c>
      <c r="V25">
        <f t="shared" si="7"/>
        <v>0</v>
      </c>
      <c r="W25">
        <f t="shared" si="7"/>
        <v>0</v>
      </c>
      <c r="X25">
        <f t="shared" si="7"/>
        <v>0</v>
      </c>
      <c r="Z25" s="1" t="s">
        <v>23</v>
      </c>
      <c r="AA25">
        <f>L9*$D$9</f>
        <v>0</v>
      </c>
      <c r="AB25">
        <f t="shared" ref="AB25:AM25" si="8">M9*$D$9</f>
        <v>0</v>
      </c>
      <c r="AC25">
        <f t="shared" si="8"/>
        <v>0</v>
      </c>
      <c r="AD25">
        <f t="shared" si="8"/>
        <v>0</v>
      </c>
      <c r="AE25">
        <f t="shared" si="8"/>
        <v>9163</v>
      </c>
      <c r="AF25">
        <f t="shared" si="8"/>
        <v>0</v>
      </c>
      <c r="AG25">
        <f t="shared" si="8"/>
        <v>0</v>
      </c>
      <c r="AH25">
        <f t="shared" si="8"/>
        <v>14660.8</v>
      </c>
      <c r="AI25">
        <f t="shared" si="8"/>
        <v>7330.4</v>
      </c>
      <c r="AJ25">
        <f t="shared" si="8"/>
        <v>3665.2</v>
      </c>
      <c r="AK25">
        <f t="shared" si="8"/>
        <v>0</v>
      </c>
      <c r="AL25">
        <f t="shared" si="8"/>
        <v>0</v>
      </c>
      <c r="AM25">
        <f t="shared" si="8"/>
        <v>0</v>
      </c>
    </row>
    <row r="26" spans="1:39" x14ac:dyDescent="0.3">
      <c r="K26" s="1" t="s">
        <v>17</v>
      </c>
      <c r="L26">
        <f>L3/$E$3</f>
        <v>0.16129032258064516</v>
      </c>
      <c r="M26">
        <f t="shared" ref="M26:X26" si="9">M3/$E$3</f>
        <v>0</v>
      </c>
      <c r="N26">
        <f t="shared" si="9"/>
        <v>6.4516129032258063E-2</v>
      </c>
      <c r="O26">
        <f t="shared" si="9"/>
        <v>0.32258064516129031</v>
      </c>
      <c r="P26">
        <f t="shared" si="9"/>
        <v>0</v>
      </c>
      <c r="Q26">
        <f t="shared" si="9"/>
        <v>0</v>
      </c>
      <c r="R26">
        <f t="shared" si="9"/>
        <v>0</v>
      </c>
      <c r="S26">
        <f t="shared" si="9"/>
        <v>0.12903225806451613</v>
      </c>
      <c r="T26">
        <f t="shared" si="9"/>
        <v>0</v>
      </c>
      <c r="U26">
        <f t="shared" si="9"/>
        <v>0.32258064516129031</v>
      </c>
      <c r="V26">
        <f t="shared" si="9"/>
        <v>0</v>
      </c>
      <c r="W26">
        <f t="shared" si="9"/>
        <v>0</v>
      </c>
      <c r="X26">
        <f t="shared" si="9"/>
        <v>0</v>
      </c>
      <c r="Z26" s="1" t="s">
        <v>24</v>
      </c>
      <c r="AA26">
        <f>L10*$D$10</f>
        <v>0</v>
      </c>
      <c r="AB26">
        <f t="shared" ref="AB26:AM26" si="10">M10*$D$10</f>
        <v>0</v>
      </c>
      <c r="AC26">
        <f t="shared" si="10"/>
        <v>0</v>
      </c>
      <c r="AD26">
        <f t="shared" si="10"/>
        <v>0</v>
      </c>
      <c r="AE26">
        <f t="shared" si="10"/>
        <v>17801.25</v>
      </c>
      <c r="AF26">
        <f t="shared" si="10"/>
        <v>24921.75</v>
      </c>
      <c r="AG26">
        <f t="shared" si="10"/>
        <v>17801.25</v>
      </c>
      <c r="AH26">
        <f t="shared" si="10"/>
        <v>0</v>
      </c>
      <c r="AI26">
        <f t="shared" si="10"/>
        <v>17801.25</v>
      </c>
      <c r="AJ26">
        <f t="shared" si="10"/>
        <v>42723</v>
      </c>
      <c r="AK26">
        <f t="shared" si="10"/>
        <v>0</v>
      </c>
      <c r="AL26">
        <f t="shared" si="10"/>
        <v>0</v>
      </c>
      <c r="AM26">
        <f t="shared" si="10"/>
        <v>0</v>
      </c>
    </row>
    <row r="27" spans="1:39" x14ac:dyDescent="0.3">
      <c r="K27" s="1" t="s">
        <v>18</v>
      </c>
      <c r="L27">
        <f>L4/$E$4</f>
        <v>0</v>
      </c>
      <c r="M27">
        <f t="shared" ref="M27:X27" si="11">M4/$E$4</f>
        <v>0.18421052631578946</v>
      </c>
      <c r="N27">
        <f t="shared" si="11"/>
        <v>7.8947368421052627E-2</v>
      </c>
      <c r="O27">
        <f t="shared" si="11"/>
        <v>0.31578947368421051</v>
      </c>
      <c r="P27">
        <f t="shared" si="11"/>
        <v>0</v>
      </c>
      <c r="Q27">
        <f t="shared" si="11"/>
        <v>0</v>
      </c>
      <c r="R27">
        <f t="shared" si="11"/>
        <v>0</v>
      </c>
      <c r="S27">
        <f t="shared" si="11"/>
        <v>0</v>
      </c>
      <c r="T27">
        <f t="shared" si="11"/>
        <v>0.15789473684210525</v>
      </c>
      <c r="U27">
        <f t="shared" si="11"/>
        <v>0.26315789473684209</v>
      </c>
      <c r="V27">
        <f t="shared" si="11"/>
        <v>0</v>
      </c>
      <c r="W27">
        <f t="shared" si="11"/>
        <v>0</v>
      </c>
      <c r="X27">
        <f t="shared" si="11"/>
        <v>0</v>
      </c>
      <c r="Z27" s="1" t="s">
        <v>25</v>
      </c>
      <c r="AA27">
        <f>L11*$D$11</f>
        <v>0</v>
      </c>
      <c r="AB27">
        <f t="shared" ref="AB27:AM27" si="12">M11*$D$11</f>
        <v>0</v>
      </c>
      <c r="AC27">
        <f t="shared" si="12"/>
        <v>0</v>
      </c>
      <c r="AD27">
        <f t="shared" si="12"/>
        <v>0</v>
      </c>
      <c r="AE27">
        <f t="shared" si="12"/>
        <v>12003.712500000001</v>
      </c>
      <c r="AF27">
        <f t="shared" si="12"/>
        <v>14004.331250000001</v>
      </c>
      <c r="AG27">
        <f t="shared" si="12"/>
        <v>0</v>
      </c>
      <c r="AH27">
        <f t="shared" si="12"/>
        <v>0</v>
      </c>
      <c r="AI27">
        <f t="shared" si="12"/>
        <v>10003.09375</v>
      </c>
      <c r="AJ27">
        <f t="shared" si="12"/>
        <v>16004.95</v>
      </c>
      <c r="AK27">
        <f t="shared" si="12"/>
        <v>0</v>
      </c>
      <c r="AL27">
        <f t="shared" si="12"/>
        <v>0</v>
      </c>
      <c r="AM27">
        <f t="shared" si="12"/>
        <v>0</v>
      </c>
    </row>
    <row r="28" spans="1:39" x14ac:dyDescent="0.3">
      <c r="K28" s="1" t="s">
        <v>19</v>
      </c>
      <c r="L28">
        <f>L5/$E$5</f>
        <v>0.13333333333333333</v>
      </c>
      <c r="M28">
        <f t="shared" ref="M28:X28" si="13">M5/$E$5</f>
        <v>0.26666666666666666</v>
      </c>
      <c r="N28">
        <f t="shared" si="13"/>
        <v>0</v>
      </c>
      <c r="O28">
        <f t="shared" si="13"/>
        <v>0.4</v>
      </c>
      <c r="P28">
        <f t="shared" si="13"/>
        <v>0</v>
      </c>
      <c r="Q28">
        <f t="shared" si="13"/>
        <v>0</v>
      </c>
      <c r="R28">
        <f t="shared" si="13"/>
        <v>3.3333333333333333E-2</v>
      </c>
      <c r="S28">
        <f t="shared" si="13"/>
        <v>0.16666666666666666</v>
      </c>
      <c r="T28">
        <f t="shared" si="13"/>
        <v>0</v>
      </c>
      <c r="U28">
        <f t="shared" si="13"/>
        <v>0</v>
      </c>
      <c r="V28">
        <f t="shared" si="13"/>
        <v>0</v>
      </c>
      <c r="W28">
        <f t="shared" si="13"/>
        <v>0</v>
      </c>
      <c r="X28">
        <f t="shared" si="13"/>
        <v>0</v>
      </c>
      <c r="Z28" s="1" t="s">
        <v>26</v>
      </c>
      <c r="AA28">
        <f>L12*$D$12</f>
        <v>0</v>
      </c>
      <c r="AB28">
        <f t="shared" ref="AB28:AM28" si="14">M12*$D$12</f>
        <v>0</v>
      </c>
      <c r="AC28">
        <f t="shared" si="14"/>
        <v>0</v>
      </c>
      <c r="AD28">
        <f t="shared" si="14"/>
        <v>0</v>
      </c>
      <c r="AE28">
        <f t="shared" si="14"/>
        <v>36739.875</v>
      </c>
      <c r="AF28">
        <f t="shared" si="14"/>
        <v>0</v>
      </c>
      <c r="AG28">
        <f t="shared" si="14"/>
        <v>11021.962500000001</v>
      </c>
      <c r="AH28">
        <f t="shared" si="14"/>
        <v>0</v>
      </c>
      <c r="AI28">
        <f t="shared" si="14"/>
        <v>11021.962500000001</v>
      </c>
      <c r="AJ28">
        <f t="shared" si="14"/>
        <v>0</v>
      </c>
      <c r="AK28">
        <f t="shared" si="14"/>
        <v>0</v>
      </c>
      <c r="AL28">
        <f t="shared" si="14"/>
        <v>0</v>
      </c>
      <c r="AM28">
        <f t="shared" si="14"/>
        <v>0</v>
      </c>
    </row>
    <row r="29" spans="1:39" x14ac:dyDescent="0.3">
      <c r="K29" s="1" t="s">
        <v>20</v>
      </c>
      <c r="L29">
        <f>L6/$E$6</f>
        <v>0</v>
      </c>
      <c r="M29">
        <f t="shared" ref="M29:X29" si="15">M6/$E$6</f>
        <v>0.2</v>
      </c>
      <c r="N29">
        <f t="shared" si="15"/>
        <v>0.1</v>
      </c>
      <c r="O29">
        <f t="shared" si="15"/>
        <v>0.46666666666666667</v>
      </c>
      <c r="P29">
        <f t="shared" si="15"/>
        <v>0</v>
      </c>
      <c r="Q29">
        <f t="shared" si="15"/>
        <v>0</v>
      </c>
      <c r="R29">
        <f t="shared" si="15"/>
        <v>0</v>
      </c>
      <c r="S29">
        <f t="shared" si="15"/>
        <v>0</v>
      </c>
      <c r="T29">
        <f t="shared" si="15"/>
        <v>0.23333333333333334</v>
      </c>
      <c r="U29">
        <f t="shared" si="15"/>
        <v>0</v>
      </c>
      <c r="V29">
        <f t="shared" si="15"/>
        <v>0</v>
      </c>
      <c r="W29">
        <f t="shared" si="15"/>
        <v>0</v>
      </c>
      <c r="X29">
        <f t="shared" si="15"/>
        <v>0</v>
      </c>
      <c r="Z29" s="1" t="s">
        <v>27</v>
      </c>
      <c r="AA29">
        <f>L13*$D$13</f>
        <v>0</v>
      </c>
      <c r="AB29">
        <f t="shared" ref="AB29:AM29" si="16">M13*$D$13</f>
        <v>0</v>
      </c>
      <c r="AC29">
        <f t="shared" si="16"/>
        <v>0</v>
      </c>
      <c r="AD29">
        <f t="shared" si="16"/>
        <v>0</v>
      </c>
      <c r="AE29">
        <f t="shared" si="16"/>
        <v>18854.7</v>
      </c>
      <c r="AF29">
        <f t="shared" si="16"/>
        <v>18854.7</v>
      </c>
      <c r="AG29">
        <f t="shared" si="16"/>
        <v>9427.35</v>
      </c>
      <c r="AH29">
        <f t="shared" si="16"/>
        <v>0</v>
      </c>
      <c r="AI29">
        <f t="shared" si="16"/>
        <v>23568.375</v>
      </c>
      <c r="AJ29">
        <f t="shared" si="16"/>
        <v>42423.075000000004</v>
      </c>
      <c r="AK29">
        <f t="shared" si="16"/>
        <v>0</v>
      </c>
      <c r="AL29">
        <f t="shared" si="16"/>
        <v>0</v>
      </c>
      <c r="AM29">
        <f t="shared" si="16"/>
        <v>0</v>
      </c>
    </row>
    <row r="30" spans="1:39" x14ac:dyDescent="0.3">
      <c r="K30" s="1" t="s">
        <v>21</v>
      </c>
      <c r="L30">
        <f>L7/$E$7</f>
        <v>7.1428571428571425E-2</v>
      </c>
      <c r="M30">
        <f t="shared" ref="M30:X30" si="17">M7/$E$7</f>
        <v>0.11904761904761904</v>
      </c>
      <c r="N30">
        <f t="shared" si="17"/>
        <v>4.7619047619047616E-2</v>
      </c>
      <c r="O30">
        <f t="shared" si="17"/>
        <v>0.2857142857142857</v>
      </c>
      <c r="P30">
        <f t="shared" si="17"/>
        <v>0</v>
      </c>
      <c r="Q30">
        <f t="shared" si="17"/>
        <v>0</v>
      </c>
      <c r="R30">
        <f t="shared" si="17"/>
        <v>0</v>
      </c>
      <c r="S30">
        <f t="shared" si="17"/>
        <v>9.5238095238095233E-2</v>
      </c>
      <c r="T30">
        <f t="shared" si="17"/>
        <v>0.11904761904761904</v>
      </c>
      <c r="U30">
        <f t="shared" si="17"/>
        <v>0.26190476190476192</v>
      </c>
      <c r="V30">
        <f t="shared" si="17"/>
        <v>0</v>
      </c>
      <c r="W30">
        <f t="shared" si="17"/>
        <v>0</v>
      </c>
      <c r="X30">
        <f t="shared" si="17"/>
        <v>0</v>
      </c>
      <c r="Z30" s="1" t="s">
        <v>28</v>
      </c>
      <c r="AA30">
        <f>L14*$D$14</f>
        <v>0</v>
      </c>
      <c r="AB30">
        <f t="shared" ref="AB30:AM30" si="18">M14*$D$14</f>
        <v>0</v>
      </c>
      <c r="AC30">
        <f t="shared" si="18"/>
        <v>0</v>
      </c>
      <c r="AD30">
        <f t="shared" si="18"/>
        <v>0</v>
      </c>
      <c r="AE30">
        <f t="shared" si="18"/>
        <v>11784.1875</v>
      </c>
      <c r="AF30">
        <f t="shared" si="18"/>
        <v>21211.537500000002</v>
      </c>
      <c r="AG30">
        <f t="shared" si="18"/>
        <v>7070.5125000000007</v>
      </c>
      <c r="AH30">
        <f t="shared" si="18"/>
        <v>18854.7</v>
      </c>
      <c r="AI30">
        <f t="shared" si="18"/>
        <v>11784.1875</v>
      </c>
      <c r="AJ30">
        <f t="shared" si="18"/>
        <v>0</v>
      </c>
      <c r="AK30">
        <f t="shared" si="18"/>
        <v>0</v>
      </c>
      <c r="AL30">
        <f t="shared" si="18"/>
        <v>0</v>
      </c>
      <c r="AM30">
        <f t="shared" si="18"/>
        <v>0</v>
      </c>
    </row>
    <row r="31" spans="1:39" x14ac:dyDescent="0.3">
      <c r="K31" s="1" t="s">
        <v>22</v>
      </c>
      <c r="L31">
        <f>L8/$E$8</f>
        <v>0</v>
      </c>
      <c r="M31">
        <f t="shared" ref="M31:X31" si="19">M8/$E$8</f>
        <v>0</v>
      </c>
      <c r="N31">
        <f t="shared" si="19"/>
        <v>7.4999999999999997E-2</v>
      </c>
      <c r="O31">
        <f t="shared" si="19"/>
        <v>0.35</v>
      </c>
      <c r="P31">
        <f t="shared" si="19"/>
        <v>0.1</v>
      </c>
      <c r="Q31">
        <f t="shared" si="19"/>
        <v>0.15</v>
      </c>
      <c r="R31">
        <f t="shared" si="19"/>
        <v>0</v>
      </c>
      <c r="S31">
        <f t="shared" si="19"/>
        <v>0</v>
      </c>
      <c r="T31">
        <f t="shared" si="19"/>
        <v>0.125</v>
      </c>
      <c r="U31">
        <f t="shared" si="19"/>
        <v>0.2</v>
      </c>
      <c r="V31">
        <f t="shared" si="19"/>
        <v>0</v>
      </c>
      <c r="W31">
        <f t="shared" si="19"/>
        <v>0</v>
      </c>
      <c r="X31">
        <f t="shared" si="19"/>
        <v>0</v>
      </c>
      <c r="Z31" s="1" t="s">
        <v>29</v>
      </c>
      <c r="AA31">
        <f>L15*$D$15</f>
        <v>0</v>
      </c>
      <c r="AB31">
        <f t="shared" ref="AB31:AM31" si="20">M15*$D$15</f>
        <v>0</v>
      </c>
      <c r="AC31">
        <f t="shared" si="20"/>
        <v>0</v>
      </c>
      <c r="AD31">
        <f t="shared" si="20"/>
        <v>0</v>
      </c>
      <c r="AE31">
        <f t="shared" si="20"/>
        <v>29234.799999999999</v>
      </c>
      <c r="AF31">
        <f t="shared" si="20"/>
        <v>43852.2</v>
      </c>
      <c r="AG31">
        <f t="shared" si="20"/>
        <v>14617.4</v>
      </c>
      <c r="AH31">
        <f t="shared" si="20"/>
        <v>51160.9</v>
      </c>
      <c r="AI31">
        <f t="shared" si="20"/>
        <v>0</v>
      </c>
      <c r="AJ31">
        <f t="shared" si="20"/>
        <v>0</v>
      </c>
      <c r="AK31">
        <f t="shared" si="20"/>
        <v>0</v>
      </c>
      <c r="AL31">
        <f t="shared" si="20"/>
        <v>0</v>
      </c>
      <c r="AM31">
        <f t="shared" si="20"/>
        <v>0</v>
      </c>
    </row>
    <row r="32" spans="1:39" x14ac:dyDescent="0.3">
      <c r="K32" s="1" t="s">
        <v>23</v>
      </c>
      <c r="L32">
        <f>L9/$E$9</f>
        <v>0</v>
      </c>
      <c r="M32">
        <f t="shared" ref="M32:X32" si="21">M9/$E$9</f>
        <v>0</v>
      </c>
      <c r="N32">
        <f t="shared" si="21"/>
        <v>0</v>
      </c>
      <c r="O32">
        <f t="shared" si="21"/>
        <v>0</v>
      </c>
      <c r="P32">
        <f t="shared" si="21"/>
        <v>0.26315789473684209</v>
      </c>
      <c r="Q32">
        <f t="shared" si="21"/>
        <v>0</v>
      </c>
      <c r="R32">
        <f t="shared" si="21"/>
        <v>0</v>
      </c>
      <c r="S32">
        <f t="shared" si="21"/>
        <v>0.42105263157894735</v>
      </c>
      <c r="T32">
        <f t="shared" si="21"/>
        <v>0.21052631578947367</v>
      </c>
      <c r="U32">
        <f t="shared" si="21"/>
        <v>0.10526315789473684</v>
      </c>
      <c r="V32">
        <f t="shared" si="21"/>
        <v>0</v>
      </c>
      <c r="W32">
        <f t="shared" si="21"/>
        <v>0</v>
      </c>
      <c r="X32">
        <f t="shared" si="21"/>
        <v>0</v>
      </c>
      <c r="Z32" s="1" t="s">
        <v>30</v>
      </c>
      <c r="AA32">
        <f>L16*$D$16</f>
        <v>0</v>
      </c>
      <c r="AB32">
        <f t="shared" ref="AB32:AM32" si="22">M16*$D$16</f>
        <v>0</v>
      </c>
      <c r="AC32">
        <f t="shared" si="22"/>
        <v>0</v>
      </c>
      <c r="AD32">
        <f t="shared" si="22"/>
        <v>0</v>
      </c>
      <c r="AE32">
        <f t="shared" si="22"/>
        <v>2748.8999999999996</v>
      </c>
      <c r="AF32">
        <f t="shared" si="22"/>
        <v>4581.5</v>
      </c>
      <c r="AG32">
        <f t="shared" si="22"/>
        <v>1832.6</v>
      </c>
      <c r="AH32">
        <f t="shared" si="22"/>
        <v>9163</v>
      </c>
      <c r="AI32">
        <f t="shared" si="22"/>
        <v>0</v>
      </c>
      <c r="AJ32">
        <f t="shared" si="22"/>
        <v>9163</v>
      </c>
      <c r="AK32">
        <f t="shared" si="22"/>
        <v>0</v>
      </c>
      <c r="AL32">
        <f t="shared" si="22"/>
        <v>0</v>
      </c>
      <c r="AM32">
        <f t="shared" si="22"/>
        <v>0</v>
      </c>
    </row>
    <row r="33" spans="11:39" x14ac:dyDescent="0.3">
      <c r="K33" s="1" t="s">
        <v>24</v>
      </c>
      <c r="L33">
        <f>L10/$E$10</f>
        <v>0</v>
      </c>
      <c r="M33">
        <f t="shared" ref="M33:X33" si="23">M10/$E$10</f>
        <v>0</v>
      </c>
      <c r="N33">
        <f t="shared" si="23"/>
        <v>0</v>
      </c>
      <c r="O33">
        <f t="shared" si="23"/>
        <v>0</v>
      </c>
      <c r="P33">
        <f t="shared" si="23"/>
        <v>0.14705882352941177</v>
      </c>
      <c r="Q33">
        <f t="shared" si="23"/>
        <v>0.20588235294117646</v>
      </c>
      <c r="R33">
        <f t="shared" si="23"/>
        <v>0.14705882352941177</v>
      </c>
      <c r="S33">
        <f t="shared" si="23"/>
        <v>0</v>
      </c>
      <c r="T33">
        <f t="shared" si="23"/>
        <v>0.14705882352941177</v>
      </c>
      <c r="U33">
        <f t="shared" si="23"/>
        <v>0.35294117647058826</v>
      </c>
      <c r="V33">
        <f t="shared" si="23"/>
        <v>0</v>
      </c>
      <c r="W33">
        <f t="shared" si="23"/>
        <v>0</v>
      </c>
      <c r="X33">
        <f t="shared" si="23"/>
        <v>0</v>
      </c>
      <c r="Z33" s="1" t="s">
        <v>31</v>
      </c>
      <c r="AA33">
        <f>L17*$D$17</f>
        <v>0</v>
      </c>
      <c r="AB33">
        <f t="shared" ref="AB33:AM33" si="24">M17*$D$17</f>
        <v>0</v>
      </c>
      <c r="AC33">
        <f t="shared" si="24"/>
        <v>0</v>
      </c>
      <c r="AD33">
        <f t="shared" si="24"/>
        <v>0</v>
      </c>
      <c r="AE33">
        <f t="shared" si="24"/>
        <v>0</v>
      </c>
      <c r="AF33">
        <f t="shared" si="24"/>
        <v>24240</v>
      </c>
      <c r="AG33">
        <f t="shared" si="24"/>
        <v>0</v>
      </c>
      <c r="AH33">
        <f t="shared" si="24"/>
        <v>96960</v>
      </c>
      <c r="AI33">
        <f t="shared" si="24"/>
        <v>24240</v>
      </c>
      <c r="AJ33">
        <f t="shared" si="24"/>
        <v>48480</v>
      </c>
      <c r="AK33">
        <f t="shared" si="24"/>
        <v>0</v>
      </c>
      <c r="AL33">
        <f t="shared" si="24"/>
        <v>0</v>
      </c>
      <c r="AM33">
        <f t="shared" si="24"/>
        <v>0</v>
      </c>
    </row>
    <row r="34" spans="11:39" x14ac:dyDescent="0.3">
      <c r="K34" s="1" t="s">
        <v>25</v>
      </c>
      <c r="L34">
        <f>L11/$E$11</f>
        <v>0</v>
      </c>
      <c r="M34">
        <f t="shared" ref="M34:X34" si="25">M11/$E$11</f>
        <v>0</v>
      </c>
      <c r="N34">
        <f t="shared" si="25"/>
        <v>0</v>
      </c>
      <c r="O34">
        <f t="shared" si="25"/>
        <v>0</v>
      </c>
      <c r="P34">
        <f t="shared" si="25"/>
        <v>0.23076923076923078</v>
      </c>
      <c r="Q34">
        <f t="shared" si="25"/>
        <v>0.26923076923076922</v>
      </c>
      <c r="R34">
        <f t="shared" si="25"/>
        <v>0</v>
      </c>
      <c r="S34">
        <f t="shared" si="25"/>
        <v>0</v>
      </c>
      <c r="T34">
        <f t="shared" si="25"/>
        <v>0.19230769230769232</v>
      </c>
      <c r="U34">
        <f t="shared" si="25"/>
        <v>0.30769230769230771</v>
      </c>
      <c r="V34">
        <f t="shared" si="25"/>
        <v>0</v>
      </c>
      <c r="W34">
        <f t="shared" si="25"/>
        <v>0</v>
      </c>
      <c r="X34">
        <f t="shared" si="25"/>
        <v>0</v>
      </c>
      <c r="Z34" s="1" t="s">
        <v>32</v>
      </c>
      <c r="AA34">
        <f>L18*$D$18</f>
        <v>0</v>
      </c>
      <c r="AB34">
        <f t="shared" ref="AB34:AL34" si="26">M18*$D$18</f>
        <v>0</v>
      </c>
      <c r="AC34">
        <f t="shared" si="26"/>
        <v>0</v>
      </c>
      <c r="AD34">
        <f t="shared" si="26"/>
        <v>0</v>
      </c>
      <c r="AE34">
        <f t="shared" si="26"/>
        <v>0</v>
      </c>
      <c r="AF34">
        <f t="shared" si="26"/>
        <v>0</v>
      </c>
      <c r="AG34">
        <f t="shared" si="26"/>
        <v>0</v>
      </c>
      <c r="AH34">
        <f t="shared" si="26"/>
        <v>0</v>
      </c>
      <c r="AI34">
        <f t="shared" si="26"/>
        <v>0</v>
      </c>
      <c r="AJ34">
        <f t="shared" si="26"/>
        <v>0</v>
      </c>
      <c r="AK34">
        <f t="shared" si="26"/>
        <v>7070.5125000000007</v>
      </c>
      <c r="AL34">
        <f t="shared" si="26"/>
        <v>28282.050000000003</v>
      </c>
      <c r="AM34">
        <f>X18*$D$18</f>
        <v>32995.724999999999</v>
      </c>
    </row>
    <row r="35" spans="11:39" x14ac:dyDescent="0.3">
      <c r="K35" s="1" t="s">
        <v>26</v>
      </c>
      <c r="L35">
        <f>L12/$E$12</f>
        <v>0</v>
      </c>
      <c r="M35">
        <f t="shared" ref="M35:X35" si="27">M12/$E$12</f>
        <v>0</v>
      </c>
      <c r="N35">
        <f t="shared" si="27"/>
        <v>0</v>
      </c>
      <c r="O35">
        <f t="shared" si="27"/>
        <v>0</v>
      </c>
      <c r="P35">
        <f t="shared" si="27"/>
        <v>0.625</v>
      </c>
      <c r="Q35">
        <f t="shared" si="27"/>
        <v>0</v>
      </c>
      <c r="R35">
        <f t="shared" si="27"/>
        <v>0.1875</v>
      </c>
      <c r="S35">
        <f t="shared" si="27"/>
        <v>0</v>
      </c>
      <c r="T35">
        <f t="shared" si="27"/>
        <v>0.1875</v>
      </c>
      <c r="U35">
        <f t="shared" si="27"/>
        <v>0</v>
      </c>
      <c r="V35">
        <f t="shared" si="27"/>
        <v>0</v>
      </c>
      <c r="W35">
        <f t="shared" si="27"/>
        <v>0</v>
      </c>
      <c r="X35">
        <f t="shared" si="27"/>
        <v>0</v>
      </c>
      <c r="Z35" s="1" t="s">
        <v>33</v>
      </c>
      <c r="AA35">
        <f>L19*$D$19</f>
        <v>0</v>
      </c>
      <c r="AB35">
        <f t="shared" ref="AB35:AM35" si="28">M19*$D$19</f>
        <v>0</v>
      </c>
      <c r="AC35">
        <f t="shared" si="28"/>
        <v>0</v>
      </c>
      <c r="AD35">
        <f t="shared" si="28"/>
        <v>0</v>
      </c>
      <c r="AE35">
        <f t="shared" si="28"/>
        <v>0</v>
      </c>
      <c r="AF35">
        <f t="shared" si="28"/>
        <v>0</v>
      </c>
      <c r="AG35">
        <f t="shared" si="28"/>
        <v>0</v>
      </c>
      <c r="AH35">
        <f t="shared" si="28"/>
        <v>0</v>
      </c>
      <c r="AI35">
        <f t="shared" si="28"/>
        <v>0</v>
      </c>
      <c r="AJ35">
        <f t="shared" si="28"/>
        <v>0</v>
      </c>
      <c r="AK35">
        <f t="shared" si="28"/>
        <v>27355.875</v>
      </c>
      <c r="AL35">
        <f t="shared" si="28"/>
        <v>27355.875</v>
      </c>
      <c r="AM35">
        <f t="shared" si="28"/>
        <v>82067.625</v>
      </c>
    </row>
    <row r="36" spans="11:39" x14ac:dyDescent="0.3">
      <c r="K36" s="1" t="s">
        <v>27</v>
      </c>
      <c r="L36">
        <f>L13/$E$13</f>
        <v>0</v>
      </c>
      <c r="M36">
        <f t="shared" ref="M36:X36" si="29">M13/$E$13</f>
        <v>0</v>
      </c>
      <c r="N36">
        <f t="shared" si="29"/>
        <v>0</v>
      </c>
      <c r="O36">
        <f t="shared" si="29"/>
        <v>0</v>
      </c>
      <c r="P36">
        <f t="shared" si="29"/>
        <v>0.16666666666666666</v>
      </c>
      <c r="Q36">
        <f t="shared" si="29"/>
        <v>0.16666666666666666</v>
      </c>
      <c r="R36">
        <f t="shared" si="29"/>
        <v>8.3333333333333329E-2</v>
      </c>
      <c r="S36">
        <f t="shared" si="29"/>
        <v>0</v>
      </c>
      <c r="T36">
        <f t="shared" si="29"/>
        <v>0.20833333333333334</v>
      </c>
      <c r="U36">
        <f t="shared" si="29"/>
        <v>0.375</v>
      </c>
      <c r="V36">
        <f t="shared" si="29"/>
        <v>0</v>
      </c>
      <c r="W36">
        <f t="shared" si="29"/>
        <v>0</v>
      </c>
      <c r="X36">
        <f t="shared" si="29"/>
        <v>0</v>
      </c>
      <c r="Z36" s="1" t="s">
        <v>34</v>
      </c>
      <c r="AA36">
        <f>L20*$D$20</f>
        <v>0</v>
      </c>
      <c r="AB36">
        <f t="shared" ref="AB36:AM36" si="30">M20*$D$20</f>
        <v>0</v>
      </c>
      <c r="AC36">
        <f t="shared" si="30"/>
        <v>0</v>
      </c>
      <c r="AD36">
        <f t="shared" si="30"/>
        <v>0</v>
      </c>
      <c r="AE36">
        <f t="shared" si="30"/>
        <v>0</v>
      </c>
      <c r="AF36">
        <f t="shared" si="30"/>
        <v>0</v>
      </c>
      <c r="AG36">
        <f t="shared" si="30"/>
        <v>0</v>
      </c>
      <c r="AH36">
        <f t="shared" si="30"/>
        <v>0</v>
      </c>
      <c r="AI36">
        <f t="shared" si="30"/>
        <v>0</v>
      </c>
      <c r="AJ36">
        <f t="shared" si="30"/>
        <v>0</v>
      </c>
      <c r="AK36">
        <f t="shared" si="30"/>
        <v>0</v>
      </c>
      <c r="AL36">
        <f t="shared" si="30"/>
        <v>137643.47500000001</v>
      </c>
      <c r="AM36">
        <f t="shared" si="30"/>
        <v>202416.875</v>
      </c>
    </row>
    <row r="37" spans="11:39" x14ac:dyDescent="0.3">
      <c r="K37" s="1" t="s">
        <v>28</v>
      </c>
      <c r="L37">
        <f>L14/$E$14</f>
        <v>0</v>
      </c>
      <c r="M37">
        <f t="shared" ref="M37:X37" si="31">M14/$E$14</f>
        <v>0</v>
      </c>
      <c r="N37">
        <f t="shared" si="31"/>
        <v>0</v>
      </c>
      <c r="O37">
        <f t="shared" si="31"/>
        <v>0</v>
      </c>
      <c r="P37">
        <f t="shared" si="31"/>
        <v>0.16666666666666666</v>
      </c>
      <c r="Q37">
        <f t="shared" si="31"/>
        <v>0.3</v>
      </c>
      <c r="R37">
        <f t="shared" si="31"/>
        <v>0.1</v>
      </c>
      <c r="S37">
        <f t="shared" si="31"/>
        <v>0.26666666666666666</v>
      </c>
      <c r="T37">
        <f t="shared" si="31"/>
        <v>0.16666666666666666</v>
      </c>
      <c r="U37">
        <f t="shared" si="31"/>
        <v>0</v>
      </c>
      <c r="V37">
        <f t="shared" si="31"/>
        <v>0</v>
      </c>
      <c r="W37">
        <f t="shared" si="31"/>
        <v>0</v>
      </c>
      <c r="X37">
        <f t="shared" si="31"/>
        <v>0</v>
      </c>
      <c r="Z37" s="1" t="s">
        <v>35</v>
      </c>
      <c r="AA37">
        <f>L21*$D$21</f>
        <v>0</v>
      </c>
      <c r="AB37">
        <f t="shared" ref="AB37:AM37" si="32">M21*$D$21</f>
        <v>0</v>
      </c>
      <c r="AC37">
        <f t="shared" si="32"/>
        <v>0</v>
      </c>
      <c r="AD37">
        <f t="shared" si="32"/>
        <v>0</v>
      </c>
      <c r="AE37">
        <f t="shared" si="32"/>
        <v>0</v>
      </c>
      <c r="AF37">
        <f t="shared" si="32"/>
        <v>0</v>
      </c>
      <c r="AG37">
        <f t="shared" si="32"/>
        <v>0</v>
      </c>
      <c r="AH37">
        <f t="shared" si="32"/>
        <v>0</v>
      </c>
      <c r="AI37">
        <f t="shared" si="32"/>
        <v>0</v>
      </c>
      <c r="AJ37">
        <f t="shared" si="32"/>
        <v>0</v>
      </c>
      <c r="AK37">
        <f t="shared" si="32"/>
        <v>17871.974999999999</v>
      </c>
      <c r="AL37">
        <f t="shared" si="32"/>
        <v>47658.6</v>
      </c>
      <c r="AM37">
        <f t="shared" si="32"/>
        <v>71487.899999999994</v>
      </c>
    </row>
    <row r="38" spans="11:39" x14ac:dyDescent="0.3">
      <c r="K38" s="1" t="s">
        <v>29</v>
      </c>
      <c r="L38">
        <f>L15/$E$15</f>
        <v>0</v>
      </c>
      <c r="M38">
        <f t="shared" ref="M38:X38" si="33">M15/$E$15</f>
        <v>0</v>
      </c>
      <c r="N38">
        <f t="shared" si="33"/>
        <v>0</v>
      </c>
      <c r="O38">
        <f t="shared" si="33"/>
        <v>0</v>
      </c>
      <c r="P38">
        <f t="shared" si="33"/>
        <v>0.21052631578947367</v>
      </c>
      <c r="Q38">
        <f t="shared" si="33"/>
        <v>0.31578947368421051</v>
      </c>
      <c r="R38">
        <f t="shared" si="33"/>
        <v>0.10526315789473684</v>
      </c>
      <c r="S38">
        <f t="shared" si="33"/>
        <v>0.36842105263157893</v>
      </c>
      <c r="T38">
        <f t="shared" si="33"/>
        <v>0</v>
      </c>
      <c r="U38">
        <f t="shared" si="33"/>
        <v>0</v>
      </c>
      <c r="V38">
        <f t="shared" si="33"/>
        <v>0</v>
      </c>
      <c r="W38">
        <f t="shared" si="33"/>
        <v>0</v>
      </c>
      <c r="X38">
        <f t="shared" si="33"/>
        <v>0</v>
      </c>
      <c r="Z38" s="1" t="s">
        <v>74</v>
      </c>
      <c r="AA38">
        <f>SUM(AA18:AA37)</f>
        <v>80057.881249999991</v>
      </c>
      <c r="AB38">
        <f t="shared" ref="AB38:AM38" si="34">SUM(AB18:AB37)</f>
        <v>245522.46875</v>
      </c>
      <c r="AC38">
        <f t="shared" si="34"/>
        <v>63863.55</v>
      </c>
      <c r="AD38">
        <f t="shared" si="34"/>
        <v>351679.76250000001</v>
      </c>
      <c r="AE38">
        <f t="shared" si="34"/>
        <v>160987.625</v>
      </c>
      <c r="AF38">
        <f t="shared" si="34"/>
        <v>185651.81875000001</v>
      </c>
      <c r="AG38">
        <f t="shared" si="34"/>
        <v>65490.125</v>
      </c>
      <c r="AH38">
        <f t="shared" si="34"/>
        <v>236906.32499999998</v>
      </c>
      <c r="AI38">
        <f t="shared" si="34"/>
        <v>220904.63125000001</v>
      </c>
      <c r="AJ38">
        <f t="shared" si="34"/>
        <v>389466.74375000002</v>
      </c>
      <c r="AK38">
        <f t="shared" si="34"/>
        <v>52298.362499999996</v>
      </c>
      <c r="AL38">
        <f t="shared" si="34"/>
        <v>240940.00000000003</v>
      </c>
      <c r="AM38">
        <f t="shared" si="34"/>
        <v>388968.125</v>
      </c>
    </row>
    <row r="39" spans="11:39" x14ac:dyDescent="0.3">
      <c r="K39" s="1" t="s">
        <v>30</v>
      </c>
      <c r="L39">
        <f>L16/$E$16</f>
        <v>0</v>
      </c>
      <c r="M39">
        <f t="shared" ref="M39:X39" si="35">M16/$E$16</f>
        <v>0</v>
      </c>
      <c r="N39">
        <f t="shared" si="35"/>
        <v>0</v>
      </c>
      <c r="O39">
        <f t="shared" si="35"/>
        <v>0</v>
      </c>
      <c r="P39">
        <f t="shared" si="35"/>
        <v>0.1</v>
      </c>
      <c r="Q39">
        <f t="shared" si="35"/>
        <v>0.16666666666666666</v>
      </c>
      <c r="R39">
        <f t="shared" si="35"/>
        <v>6.6666666666666666E-2</v>
      </c>
      <c r="S39">
        <f t="shared" si="35"/>
        <v>0.33333333333333331</v>
      </c>
      <c r="T39">
        <f t="shared" si="35"/>
        <v>0</v>
      </c>
      <c r="U39">
        <f t="shared" si="35"/>
        <v>0.33333333333333331</v>
      </c>
      <c r="V39">
        <f t="shared" si="35"/>
        <v>0</v>
      </c>
      <c r="W39">
        <f t="shared" si="35"/>
        <v>0</v>
      </c>
      <c r="X39">
        <f t="shared" si="35"/>
        <v>0</v>
      </c>
      <c r="Z39" s="1" t="s">
        <v>75</v>
      </c>
      <c r="AA39">
        <f>5*16*60*L78</f>
        <v>91200</v>
      </c>
      <c r="AB39">
        <f t="shared" ref="AB39:AM39" si="36">5*16*60*M78</f>
        <v>278400</v>
      </c>
      <c r="AC39">
        <f t="shared" si="36"/>
        <v>76800</v>
      </c>
      <c r="AD39">
        <f t="shared" si="36"/>
        <v>403200</v>
      </c>
      <c r="AE39">
        <f t="shared" si="36"/>
        <v>187200</v>
      </c>
      <c r="AF39">
        <f t="shared" si="36"/>
        <v>211200</v>
      </c>
      <c r="AG39">
        <f t="shared" si="36"/>
        <v>76800</v>
      </c>
      <c r="AH39">
        <f t="shared" si="36"/>
        <v>268800</v>
      </c>
      <c r="AI39">
        <f t="shared" si="36"/>
        <v>254400</v>
      </c>
      <c r="AJ39">
        <f t="shared" si="36"/>
        <v>441600</v>
      </c>
      <c r="AK39">
        <f t="shared" si="36"/>
        <v>62400</v>
      </c>
      <c r="AL39">
        <f t="shared" si="36"/>
        <v>273600</v>
      </c>
      <c r="AM39">
        <f t="shared" si="36"/>
        <v>441600</v>
      </c>
    </row>
    <row r="40" spans="11:39" x14ac:dyDescent="0.3">
      <c r="K40" s="1" t="s">
        <v>31</v>
      </c>
      <c r="L40">
        <f>L17/$E$17</f>
        <v>0</v>
      </c>
      <c r="M40">
        <f t="shared" ref="M40:X40" si="37">M17/$E$17</f>
        <v>0</v>
      </c>
      <c r="N40">
        <f t="shared" si="37"/>
        <v>0</v>
      </c>
      <c r="O40">
        <f t="shared" si="37"/>
        <v>0</v>
      </c>
      <c r="P40">
        <f t="shared" si="37"/>
        <v>0</v>
      </c>
      <c r="Q40">
        <f t="shared" si="37"/>
        <v>0.125</v>
      </c>
      <c r="R40">
        <f t="shared" si="37"/>
        <v>0</v>
      </c>
      <c r="S40">
        <f t="shared" si="37"/>
        <v>0.5</v>
      </c>
      <c r="T40">
        <f t="shared" si="37"/>
        <v>0.125</v>
      </c>
      <c r="U40">
        <f t="shared" si="37"/>
        <v>0.25</v>
      </c>
      <c r="V40">
        <f t="shared" si="37"/>
        <v>0</v>
      </c>
      <c r="W40">
        <f t="shared" si="37"/>
        <v>0</v>
      </c>
      <c r="X40">
        <f t="shared" si="37"/>
        <v>0</v>
      </c>
      <c r="Z40" s="30" t="s">
        <v>76</v>
      </c>
      <c r="AA40" s="32">
        <f>AA38/AA39</f>
        <v>0.87782764528508761</v>
      </c>
      <c r="AB40" s="32">
        <f t="shared" ref="AB40:AM40" si="38">AB38/AB39</f>
        <v>0.88190541936063216</v>
      </c>
      <c r="AC40" s="32">
        <f t="shared" si="38"/>
        <v>0.83155664062500001</v>
      </c>
      <c r="AD40" s="32">
        <f t="shared" si="38"/>
        <v>0.87222163318452384</v>
      </c>
      <c r="AE40" s="32">
        <f t="shared" si="38"/>
        <v>0.85997662927350427</v>
      </c>
      <c r="AF40" s="32">
        <f t="shared" si="38"/>
        <v>0.87903323271780309</v>
      </c>
      <c r="AG40" s="32">
        <f t="shared" si="38"/>
        <v>0.85273600260416671</v>
      </c>
      <c r="AH40" s="32">
        <f t="shared" si="38"/>
        <v>0.88134793526785704</v>
      </c>
      <c r="AI40" s="32">
        <f t="shared" si="38"/>
        <v>0.86833581466194976</v>
      </c>
      <c r="AJ40" s="32">
        <f t="shared" si="38"/>
        <v>0.88194461899909427</v>
      </c>
      <c r="AK40" s="32">
        <f t="shared" si="38"/>
        <v>0.83811478365384606</v>
      </c>
      <c r="AL40" s="32">
        <f t="shared" si="38"/>
        <v>0.88062865497076037</v>
      </c>
      <c r="AM40" s="32">
        <f t="shared" si="38"/>
        <v>0.88081550045289858</v>
      </c>
    </row>
    <row r="41" spans="11:39" x14ac:dyDescent="0.3">
      <c r="K41" s="1" t="s">
        <v>32</v>
      </c>
      <c r="L41">
        <f>L18/$E$18</f>
        <v>0</v>
      </c>
      <c r="M41">
        <f t="shared" ref="M41:X41" si="39">M18/$E$18</f>
        <v>0</v>
      </c>
      <c r="N41">
        <f t="shared" si="39"/>
        <v>0</v>
      </c>
      <c r="O41">
        <f t="shared" si="39"/>
        <v>0</v>
      </c>
      <c r="P41">
        <f t="shared" si="39"/>
        <v>0</v>
      </c>
      <c r="Q41">
        <f t="shared" si="39"/>
        <v>0</v>
      </c>
      <c r="R41">
        <f t="shared" si="39"/>
        <v>0</v>
      </c>
      <c r="S41">
        <f t="shared" si="39"/>
        <v>0</v>
      </c>
      <c r="T41">
        <f t="shared" si="39"/>
        <v>0</v>
      </c>
      <c r="U41">
        <f t="shared" si="39"/>
        <v>0</v>
      </c>
      <c r="V41">
        <f t="shared" si="39"/>
        <v>0.10344827586206896</v>
      </c>
      <c r="W41">
        <f t="shared" si="39"/>
        <v>0.41379310344827586</v>
      </c>
      <c r="X41">
        <f t="shared" si="39"/>
        <v>0.48275862068965519</v>
      </c>
    </row>
    <row r="42" spans="11:39" x14ac:dyDescent="0.3">
      <c r="K42" s="1" t="s">
        <v>33</v>
      </c>
      <c r="L42">
        <f>L19/$E$19</f>
        <v>0</v>
      </c>
      <c r="M42">
        <f t="shared" ref="M42:X42" si="40">M19/$E$19</f>
        <v>0</v>
      </c>
      <c r="N42">
        <f t="shared" si="40"/>
        <v>0</v>
      </c>
      <c r="O42">
        <f t="shared" si="40"/>
        <v>0</v>
      </c>
      <c r="P42">
        <f t="shared" si="40"/>
        <v>0</v>
      </c>
      <c r="Q42">
        <f t="shared" si="40"/>
        <v>0</v>
      </c>
      <c r="R42">
        <f t="shared" si="40"/>
        <v>0</v>
      </c>
      <c r="S42">
        <f t="shared" si="40"/>
        <v>0</v>
      </c>
      <c r="T42">
        <f t="shared" si="40"/>
        <v>0</v>
      </c>
      <c r="U42">
        <f t="shared" si="40"/>
        <v>0</v>
      </c>
      <c r="V42">
        <f t="shared" si="40"/>
        <v>0.2</v>
      </c>
      <c r="W42">
        <f t="shared" si="40"/>
        <v>0.2</v>
      </c>
      <c r="X42">
        <f t="shared" si="40"/>
        <v>0.6</v>
      </c>
      <c r="AK42" s="55" t="s">
        <v>94</v>
      </c>
      <c r="AL42" s="55"/>
      <c r="AM42" s="9">
        <f>(SUM(AA38:AM38)/SUM(AA39:AM39))</f>
        <v>0.87465356636345859</v>
      </c>
    </row>
    <row r="43" spans="11:39" x14ac:dyDescent="0.3">
      <c r="K43" s="1" t="s">
        <v>34</v>
      </c>
      <c r="L43">
        <f>L20/$E$20</f>
        <v>0</v>
      </c>
      <c r="M43">
        <f t="shared" ref="M43:X43" si="41">M20/$E$20</f>
        <v>0</v>
      </c>
      <c r="N43">
        <f t="shared" si="41"/>
        <v>0</v>
      </c>
      <c r="O43">
        <f t="shared" si="41"/>
        <v>0</v>
      </c>
      <c r="P43">
        <f t="shared" si="41"/>
        <v>0</v>
      </c>
      <c r="Q43">
        <f t="shared" si="41"/>
        <v>0</v>
      </c>
      <c r="R43">
        <f t="shared" si="41"/>
        <v>0</v>
      </c>
      <c r="S43">
        <f t="shared" si="41"/>
        <v>0</v>
      </c>
      <c r="T43">
        <f t="shared" si="41"/>
        <v>0</v>
      </c>
      <c r="U43">
        <f t="shared" si="41"/>
        <v>0</v>
      </c>
      <c r="V43">
        <f t="shared" si="41"/>
        <v>0</v>
      </c>
      <c r="W43">
        <f t="shared" si="41"/>
        <v>0.40476190476190477</v>
      </c>
      <c r="X43">
        <f t="shared" si="41"/>
        <v>0.59523809523809523</v>
      </c>
    </row>
    <row r="44" spans="11:39" x14ac:dyDescent="0.3">
      <c r="K44" s="1" t="s">
        <v>35</v>
      </c>
      <c r="L44">
        <f>L21/$E$21</f>
        <v>0</v>
      </c>
      <c r="M44">
        <f t="shared" ref="M44:X44" si="42">M21/$E$21</f>
        <v>0</v>
      </c>
      <c r="N44">
        <f t="shared" si="42"/>
        <v>0</v>
      </c>
      <c r="O44">
        <f t="shared" si="42"/>
        <v>0</v>
      </c>
      <c r="P44">
        <f t="shared" si="42"/>
        <v>0</v>
      </c>
      <c r="Q44">
        <f t="shared" si="42"/>
        <v>0</v>
      </c>
      <c r="R44">
        <f t="shared" si="42"/>
        <v>0</v>
      </c>
      <c r="S44">
        <f t="shared" si="42"/>
        <v>0</v>
      </c>
      <c r="T44">
        <f t="shared" si="42"/>
        <v>0</v>
      </c>
      <c r="U44">
        <f t="shared" si="42"/>
        <v>0</v>
      </c>
      <c r="V44">
        <f t="shared" si="42"/>
        <v>0.13043478260869565</v>
      </c>
      <c r="W44">
        <f t="shared" si="42"/>
        <v>0.34782608695652173</v>
      </c>
      <c r="X44">
        <f t="shared" si="42"/>
        <v>0.52173913043478259</v>
      </c>
    </row>
    <row r="47" spans="11:39" x14ac:dyDescent="0.3">
      <c r="K47" s="2" t="s">
        <v>97</v>
      </c>
      <c r="L47" s="2" t="s">
        <v>3</v>
      </c>
      <c r="M47" s="2" t="s">
        <v>4</v>
      </c>
      <c r="N47" s="2" t="s">
        <v>5</v>
      </c>
      <c r="O47" s="2" t="s">
        <v>6</v>
      </c>
      <c r="P47" s="2" t="s">
        <v>7</v>
      </c>
      <c r="Q47" s="2" t="s">
        <v>8</v>
      </c>
      <c r="R47" s="2" t="s">
        <v>9</v>
      </c>
      <c r="S47" s="2" t="s">
        <v>10</v>
      </c>
      <c r="T47" s="2" t="s">
        <v>11</v>
      </c>
      <c r="U47" s="2" t="s">
        <v>12</v>
      </c>
      <c r="V47" s="2" t="s">
        <v>13</v>
      </c>
      <c r="W47" s="2" t="s">
        <v>14</v>
      </c>
      <c r="X47" s="2" t="s">
        <v>15</v>
      </c>
      <c r="Z47" s="13" t="s">
        <v>0</v>
      </c>
      <c r="AA47" s="51" t="s">
        <v>77</v>
      </c>
      <c r="AB47" s="52"/>
      <c r="AC47" s="52"/>
      <c r="AD47" s="53"/>
      <c r="AE47" s="14" t="s">
        <v>78</v>
      </c>
      <c r="AF47" s="14" t="s">
        <v>102</v>
      </c>
    </row>
    <row r="48" spans="11:39" x14ac:dyDescent="0.3">
      <c r="K48" s="1" t="s">
        <v>16</v>
      </c>
      <c r="L48">
        <f>L25*$G$2</f>
        <v>39077.182541176473</v>
      </c>
      <c r="M48">
        <f t="shared" ref="M48:X48" si="43">M25*$G$2</f>
        <v>195385.91270588237</v>
      </c>
      <c r="N48">
        <f t="shared" si="43"/>
        <v>19538.591270588237</v>
      </c>
      <c r="O48">
        <f t="shared" si="43"/>
        <v>97692.956352941183</v>
      </c>
      <c r="P48">
        <f t="shared" si="43"/>
        <v>0</v>
      </c>
      <c r="Q48">
        <f t="shared" si="43"/>
        <v>0</v>
      </c>
      <c r="R48">
        <f t="shared" si="43"/>
        <v>0</v>
      </c>
      <c r="S48">
        <f t="shared" si="43"/>
        <v>0</v>
      </c>
      <c r="T48">
        <f t="shared" si="43"/>
        <v>48846.478176470591</v>
      </c>
      <c r="U48">
        <f t="shared" si="43"/>
        <v>97692.956352941183</v>
      </c>
      <c r="V48">
        <f t="shared" si="43"/>
        <v>0</v>
      </c>
      <c r="W48">
        <f t="shared" si="43"/>
        <v>0</v>
      </c>
      <c r="X48">
        <f t="shared" si="43"/>
        <v>0</v>
      </c>
      <c r="Z48" s="15" t="s">
        <v>79</v>
      </c>
      <c r="AA48" s="16" t="s">
        <v>80</v>
      </c>
      <c r="AB48" s="17" t="s">
        <v>81</v>
      </c>
      <c r="AC48" s="17" t="s">
        <v>82</v>
      </c>
      <c r="AD48" s="18" t="s">
        <v>83</v>
      </c>
      <c r="AE48" s="15" t="s">
        <v>84</v>
      </c>
      <c r="AF48" s="19" t="s">
        <v>101</v>
      </c>
    </row>
    <row r="49" spans="11:32" x14ac:dyDescent="0.3">
      <c r="K49" s="1" t="s">
        <v>17</v>
      </c>
      <c r="L49">
        <f>L26*$G$3</f>
        <v>28576.672338709679</v>
      </c>
      <c r="M49">
        <f t="shared" ref="M49:X49" si="44">M26*$G$3</f>
        <v>0</v>
      </c>
      <c r="N49">
        <f t="shared" si="44"/>
        <v>11430.668935483871</v>
      </c>
      <c r="O49">
        <f t="shared" si="44"/>
        <v>57153.344677419358</v>
      </c>
      <c r="P49">
        <f t="shared" si="44"/>
        <v>0</v>
      </c>
      <c r="Q49">
        <f t="shared" si="44"/>
        <v>0</v>
      </c>
      <c r="R49">
        <f t="shared" si="44"/>
        <v>0</v>
      </c>
      <c r="S49">
        <f t="shared" si="44"/>
        <v>22861.337870967742</v>
      </c>
      <c r="T49">
        <f t="shared" si="44"/>
        <v>0</v>
      </c>
      <c r="U49">
        <f t="shared" si="44"/>
        <v>57153.344677419358</v>
      </c>
      <c r="V49">
        <f t="shared" si="44"/>
        <v>0</v>
      </c>
      <c r="W49">
        <f t="shared" si="44"/>
        <v>0</v>
      </c>
      <c r="X49">
        <f t="shared" si="44"/>
        <v>0</v>
      </c>
      <c r="Z49" s="19" t="s">
        <v>16</v>
      </c>
      <c r="AA49" s="20">
        <v>2</v>
      </c>
      <c r="AB49" s="20">
        <v>6</v>
      </c>
      <c r="AC49" s="20">
        <v>6</v>
      </c>
      <c r="AD49" s="21">
        <v>2</v>
      </c>
      <c r="AE49" s="22">
        <v>12</v>
      </c>
      <c r="AF49" s="33">
        <f>AE49*D2</f>
        <v>413592.89999999997</v>
      </c>
    </row>
    <row r="50" spans="11:32" x14ac:dyDescent="0.3">
      <c r="K50" s="1" t="s">
        <v>18</v>
      </c>
      <c r="L50">
        <f>L27*$G$4</f>
        <v>0</v>
      </c>
      <c r="M50">
        <f t="shared" ref="M50:X50" si="45">M27*$G$4</f>
        <v>19771.230149999999</v>
      </c>
      <c r="N50">
        <f t="shared" si="45"/>
        <v>8473.3843499999984</v>
      </c>
      <c r="O50">
        <f t="shared" si="45"/>
        <v>33893.537399999994</v>
      </c>
      <c r="P50">
        <f t="shared" si="45"/>
        <v>0</v>
      </c>
      <c r="Q50">
        <f t="shared" si="45"/>
        <v>0</v>
      </c>
      <c r="R50">
        <f t="shared" si="45"/>
        <v>0</v>
      </c>
      <c r="S50">
        <f t="shared" si="45"/>
        <v>0</v>
      </c>
      <c r="T50">
        <f t="shared" si="45"/>
        <v>16946.768699999997</v>
      </c>
      <c r="U50">
        <f t="shared" si="45"/>
        <v>28244.614499999996</v>
      </c>
      <c r="V50">
        <f t="shared" si="45"/>
        <v>0</v>
      </c>
      <c r="W50">
        <f t="shared" si="45"/>
        <v>0</v>
      </c>
      <c r="X50">
        <f t="shared" si="45"/>
        <v>0</v>
      </c>
      <c r="Z50" s="19" t="s">
        <v>17</v>
      </c>
      <c r="AA50" s="20">
        <v>8</v>
      </c>
      <c r="AB50" s="20">
        <v>8</v>
      </c>
      <c r="AC50" s="20">
        <v>4</v>
      </c>
      <c r="AD50" s="21">
        <v>14</v>
      </c>
      <c r="AE50" s="23">
        <v>100</v>
      </c>
      <c r="AF50" s="33">
        <f t="shared" ref="AF50:AF68" si="46">AE50*D3</f>
        <v>2016370</v>
      </c>
    </row>
    <row r="51" spans="11:32" x14ac:dyDescent="0.3">
      <c r="K51" s="1" t="s">
        <v>19</v>
      </c>
      <c r="L51">
        <f>L28*$G$5</f>
        <v>16866.439906666667</v>
      </c>
      <c r="M51">
        <f t="shared" ref="M51:X51" si="47">M28*$G$5</f>
        <v>33732.879813333333</v>
      </c>
      <c r="N51">
        <f t="shared" si="47"/>
        <v>0</v>
      </c>
      <c r="O51">
        <f t="shared" si="47"/>
        <v>50599.31972</v>
      </c>
      <c r="P51">
        <f t="shared" si="47"/>
        <v>0</v>
      </c>
      <c r="Q51">
        <f t="shared" si="47"/>
        <v>0</v>
      </c>
      <c r="R51">
        <f t="shared" si="47"/>
        <v>4216.6099766666666</v>
      </c>
      <c r="S51">
        <f t="shared" si="47"/>
        <v>21083.049883333333</v>
      </c>
      <c r="T51">
        <f t="shared" si="47"/>
        <v>0</v>
      </c>
      <c r="U51">
        <f t="shared" si="47"/>
        <v>0</v>
      </c>
      <c r="V51">
        <f t="shared" si="47"/>
        <v>0</v>
      </c>
      <c r="W51">
        <f t="shared" si="47"/>
        <v>0</v>
      </c>
      <c r="X51">
        <f t="shared" si="47"/>
        <v>0</v>
      </c>
      <c r="Z51" s="19" t="s">
        <v>18</v>
      </c>
      <c r="AA51" s="20">
        <v>6</v>
      </c>
      <c r="AB51" s="20">
        <v>6</v>
      </c>
      <c r="AC51" s="20">
        <v>6</v>
      </c>
      <c r="AD51" s="21">
        <v>6</v>
      </c>
      <c r="AE51" s="24">
        <v>50</v>
      </c>
      <c r="AF51" s="33">
        <f t="shared" si="46"/>
        <v>498235.00000000006</v>
      </c>
    </row>
    <row r="52" spans="11:32" x14ac:dyDescent="0.3">
      <c r="K52" s="1" t="s">
        <v>20</v>
      </c>
      <c r="L52">
        <f>L29*$G$6</f>
        <v>0</v>
      </c>
      <c r="M52">
        <f t="shared" ref="M52:X52" si="48">M29*$G$6</f>
        <v>19066.326530000002</v>
      </c>
      <c r="N52">
        <f t="shared" si="48"/>
        <v>9533.163265000001</v>
      </c>
      <c r="O52">
        <f t="shared" si="48"/>
        <v>44488.095236666668</v>
      </c>
      <c r="P52">
        <f t="shared" si="48"/>
        <v>0</v>
      </c>
      <c r="Q52">
        <f t="shared" si="48"/>
        <v>0</v>
      </c>
      <c r="R52">
        <f t="shared" si="48"/>
        <v>0</v>
      </c>
      <c r="S52">
        <f t="shared" si="48"/>
        <v>0</v>
      </c>
      <c r="T52">
        <f t="shared" si="48"/>
        <v>22244.047618333334</v>
      </c>
      <c r="U52">
        <f t="shared" si="48"/>
        <v>0</v>
      </c>
      <c r="V52">
        <f t="shared" si="48"/>
        <v>0</v>
      </c>
      <c r="W52">
        <f t="shared" si="48"/>
        <v>0</v>
      </c>
      <c r="X52">
        <f t="shared" si="48"/>
        <v>0</v>
      </c>
      <c r="Z52" s="19" t="s">
        <v>19</v>
      </c>
      <c r="AA52" s="20">
        <v>12</v>
      </c>
      <c r="AB52" s="20">
        <v>6</v>
      </c>
      <c r="AC52" s="20">
        <v>4</v>
      </c>
      <c r="AD52" s="21">
        <v>16</v>
      </c>
      <c r="AE52" s="24">
        <v>120</v>
      </c>
      <c r="AF52" s="33">
        <f t="shared" si="46"/>
        <v>1785144</v>
      </c>
    </row>
    <row r="53" spans="11:32" x14ac:dyDescent="0.3">
      <c r="K53" s="1" t="s">
        <v>21</v>
      </c>
      <c r="L53">
        <f>L30*$G$7</f>
        <v>6248.2780614285712</v>
      </c>
      <c r="M53">
        <f t="shared" ref="M53:X53" si="49">M30*$G$7</f>
        <v>10413.79676904762</v>
      </c>
      <c r="N53">
        <f t="shared" si="49"/>
        <v>4165.5187076190477</v>
      </c>
      <c r="O53">
        <f t="shared" si="49"/>
        <v>24993.112245714285</v>
      </c>
      <c r="P53">
        <f t="shared" si="49"/>
        <v>0</v>
      </c>
      <c r="Q53">
        <f t="shared" si="49"/>
        <v>0</v>
      </c>
      <c r="R53">
        <f t="shared" si="49"/>
        <v>0</v>
      </c>
      <c r="S53">
        <f t="shared" si="49"/>
        <v>8331.0374152380955</v>
      </c>
      <c r="T53">
        <f t="shared" si="49"/>
        <v>10413.79676904762</v>
      </c>
      <c r="U53">
        <f t="shared" si="49"/>
        <v>22910.352891904764</v>
      </c>
      <c r="V53">
        <f t="shared" si="49"/>
        <v>0</v>
      </c>
      <c r="W53">
        <f t="shared" si="49"/>
        <v>0</v>
      </c>
      <c r="X53">
        <f t="shared" si="49"/>
        <v>0</v>
      </c>
      <c r="Z53" s="19" t="s">
        <v>20</v>
      </c>
      <c r="AA53" s="20">
        <v>8</v>
      </c>
      <c r="AB53" s="20">
        <v>4</v>
      </c>
      <c r="AC53" s="20">
        <v>6</v>
      </c>
      <c r="AD53" s="21">
        <v>5</v>
      </c>
      <c r="AE53" s="24">
        <v>50</v>
      </c>
      <c r="AF53" s="33">
        <f t="shared" si="46"/>
        <v>560550</v>
      </c>
    </row>
    <row r="54" spans="11:32" x14ac:dyDescent="0.3">
      <c r="K54" s="1" t="s">
        <v>22</v>
      </c>
      <c r="L54">
        <f>L31*$G$8</f>
        <v>0</v>
      </c>
      <c r="M54">
        <f t="shared" ref="M54:X54" si="50">M31*$G$8</f>
        <v>0</v>
      </c>
      <c r="N54">
        <f t="shared" si="50"/>
        <v>19266.326527500001</v>
      </c>
      <c r="O54">
        <f t="shared" si="50"/>
        <v>89909.523795000001</v>
      </c>
      <c r="P54">
        <f t="shared" si="50"/>
        <v>25688.435370000003</v>
      </c>
      <c r="Q54">
        <f t="shared" si="50"/>
        <v>38532.653055000002</v>
      </c>
      <c r="R54">
        <f t="shared" si="50"/>
        <v>0</v>
      </c>
      <c r="S54">
        <f t="shared" si="50"/>
        <v>0</v>
      </c>
      <c r="T54">
        <f t="shared" si="50"/>
        <v>32110.544212500001</v>
      </c>
      <c r="U54">
        <f t="shared" si="50"/>
        <v>51376.870740000006</v>
      </c>
      <c r="V54">
        <f t="shared" si="50"/>
        <v>0</v>
      </c>
      <c r="W54">
        <f t="shared" si="50"/>
        <v>0</v>
      </c>
      <c r="X54">
        <f t="shared" si="50"/>
        <v>0</v>
      </c>
      <c r="Z54" s="19" t="s">
        <v>21</v>
      </c>
      <c r="AA54" s="20">
        <v>2</v>
      </c>
      <c r="AB54" s="20">
        <v>8</v>
      </c>
      <c r="AC54" s="20">
        <v>6</v>
      </c>
      <c r="AD54" s="21">
        <v>3</v>
      </c>
      <c r="AE54" s="24">
        <v>15</v>
      </c>
      <c r="AF54" s="33">
        <f t="shared" si="46"/>
        <v>110219.625</v>
      </c>
    </row>
    <row r="55" spans="11:32" x14ac:dyDescent="0.3">
      <c r="K55" s="1" t="s">
        <v>23</v>
      </c>
      <c r="L55">
        <f>L32*$G$9</f>
        <v>0</v>
      </c>
      <c r="M55">
        <f t="shared" ref="M55:X55" si="51">M32*$G$9</f>
        <v>0</v>
      </c>
      <c r="N55">
        <f t="shared" si="51"/>
        <v>0</v>
      </c>
      <c r="O55">
        <f t="shared" si="51"/>
        <v>0</v>
      </c>
      <c r="P55">
        <f t="shared" si="51"/>
        <v>10388.888889473683</v>
      </c>
      <c r="Q55">
        <f t="shared" si="51"/>
        <v>0</v>
      </c>
      <c r="R55">
        <f t="shared" si="51"/>
        <v>0</v>
      </c>
      <c r="S55">
        <f t="shared" si="51"/>
        <v>16622.222223157893</v>
      </c>
      <c r="T55">
        <f t="shared" si="51"/>
        <v>8311.1111115789463</v>
      </c>
      <c r="U55">
        <f t="shared" si="51"/>
        <v>4155.5555557894731</v>
      </c>
      <c r="V55">
        <f t="shared" si="51"/>
        <v>0</v>
      </c>
      <c r="W55">
        <f t="shared" si="51"/>
        <v>0</v>
      </c>
      <c r="X55">
        <f t="shared" si="51"/>
        <v>0</v>
      </c>
      <c r="Z55" s="19" t="s">
        <v>22</v>
      </c>
      <c r="AA55" s="20">
        <v>2</v>
      </c>
      <c r="AB55" s="20">
        <v>2</v>
      </c>
      <c r="AC55" s="20">
        <v>12</v>
      </c>
      <c r="AD55" s="21">
        <v>1</v>
      </c>
      <c r="AE55" s="24">
        <v>25</v>
      </c>
      <c r="AF55" s="33">
        <f t="shared" si="46"/>
        <v>566430</v>
      </c>
    </row>
    <row r="56" spans="11:32" x14ac:dyDescent="0.3">
      <c r="K56" s="1" t="s">
        <v>24</v>
      </c>
      <c r="L56">
        <f>L33*$G$10</f>
        <v>0</v>
      </c>
      <c r="M56">
        <f t="shared" ref="M56:X56" si="52">M33*$G$10</f>
        <v>0</v>
      </c>
      <c r="N56">
        <f t="shared" si="52"/>
        <v>0</v>
      </c>
      <c r="O56">
        <f t="shared" si="52"/>
        <v>0</v>
      </c>
      <c r="P56">
        <f t="shared" si="52"/>
        <v>20182.823132352944</v>
      </c>
      <c r="Q56">
        <f t="shared" si="52"/>
        <v>28255.952385294117</v>
      </c>
      <c r="R56">
        <f t="shared" si="52"/>
        <v>20182.823132352944</v>
      </c>
      <c r="S56">
        <f t="shared" si="52"/>
        <v>0</v>
      </c>
      <c r="T56">
        <f t="shared" si="52"/>
        <v>20182.823132352944</v>
      </c>
      <c r="U56">
        <f t="shared" si="52"/>
        <v>48438.77551764706</v>
      </c>
      <c r="V56">
        <f t="shared" si="52"/>
        <v>0</v>
      </c>
      <c r="W56">
        <f t="shared" si="52"/>
        <v>0</v>
      </c>
      <c r="X56">
        <f t="shared" si="52"/>
        <v>0</v>
      </c>
      <c r="Z56" s="19" t="s">
        <v>23</v>
      </c>
      <c r="AA56" s="20">
        <v>4</v>
      </c>
      <c r="AB56" s="20">
        <v>4</v>
      </c>
      <c r="AC56" s="20">
        <v>4</v>
      </c>
      <c r="AD56" s="21">
        <v>1</v>
      </c>
      <c r="AE56" s="24">
        <v>20</v>
      </c>
      <c r="AF56" s="33">
        <f t="shared" si="46"/>
        <v>146608</v>
      </c>
    </row>
    <row r="57" spans="11:32" x14ac:dyDescent="0.3">
      <c r="K57" s="1" t="s">
        <v>25</v>
      </c>
      <c r="L57">
        <f>L34*$G$11</f>
        <v>0</v>
      </c>
      <c r="M57">
        <f t="shared" ref="M57:X57" si="53">M34*$G$11</f>
        <v>0</v>
      </c>
      <c r="N57">
        <f t="shared" si="53"/>
        <v>0</v>
      </c>
      <c r="O57">
        <f t="shared" si="53"/>
        <v>0</v>
      </c>
      <c r="P57">
        <f t="shared" si="53"/>
        <v>13609.651361538461</v>
      </c>
      <c r="Q57">
        <f t="shared" si="53"/>
        <v>15877.926588461538</v>
      </c>
      <c r="R57">
        <f t="shared" si="53"/>
        <v>0</v>
      </c>
      <c r="S57">
        <f t="shared" si="53"/>
        <v>0</v>
      </c>
      <c r="T57">
        <f t="shared" si="53"/>
        <v>11341.376134615384</v>
      </c>
      <c r="U57">
        <f t="shared" si="53"/>
        <v>18146.201815384615</v>
      </c>
      <c r="V57">
        <f t="shared" si="53"/>
        <v>0</v>
      </c>
      <c r="W57">
        <f t="shared" si="53"/>
        <v>0</v>
      </c>
      <c r="X57">
        <f t="shared" si="53"/>
        <v>0</v>
      </c>
      <c r="Z57" s="19" t="s">
        <v>24</v>
      </c>
      <c r="AA57" s="20">
        <v>2</v>
      </c>
      <c r="AB57" s="20">
        <v>4</v>
      </c>
      <c r="AC57" s="20">
        <v>12</v>
      </c>
      <c r="AD57" s="21">
        <v>2</v>
      </c>
      <c r="AE57" s="24">
        <v>40</v>
      </c>
      <c r="AF57" s="33">
        <f t="shared" si="46"/>
        <v>569640</v>
      </c>
    </row>
    <row r="58" spans="11:32" x14ac:dyDescent="0.3">
      <c r="K58" s="1" t="s">
        <v>26</v>
      </c>
      <c r="L58">
        <f>L35*$G$12</f>
        <v>0</v>
      </c>
      <c r="M58">
        <f t="shared" ref="M58:X58" si="54">M35*$G$12</f>
        <v>0</v>
      </c>
      <c r="N58">
        <f t="shared" si="54"/>
        <v>0</v>
      </c>
      <c r="O58">
        <f t="shared" si="54"/>
        <v>0</v>
      </c>
      <c r="P58">
        <f t="shared" si="54"/>
        <v>41655.187075000002</v>
      </c>
      <c r="Q58">
        <f t="shared" si="54"/>
        <v>0</v>
      </c>
      <c r="R58">
        <f t="shared" si="54"/>
        <v>12496.556122500002</v>
      </c>
      <c r="S58">
        <f t="shared" si="54"/>
        <v>0</v>
      </c>
      <c r="T58">
        <f t="shared" si="54"/>
        <v>12496.556122500002</v>
      </c>
      <c r="U58">
        <f t="shared" si="54"/>
        <v>0</v>
      </c>
      <c r="V58">
        <f t="shared" si="54"/>
        <v>0</v>
      </c>
      <c r="W58">
        <f t="shared" si="54"/>
        <v>0</v>
      </c>
      <c r="X58">
        <f t="shared" si="54"/>
        <v>0</v>
      </c>
      <c r="Z58" s="19" t="s">
        <v>25</v>
      </c>
      <c r="AA58" s="20">
        <v>4</v>
      </c>
      <c r="AB58" s="20">
        <v>4</v>
      </c>
      <c r="AC58" s="20">
        <v>4</v>
      </c>
      <c r="AD58" s="21">
        <v>1</v>
      </c>
      <c r="AE58" s="24">
        <v>20</v>
      </c>
      <c r="AF58" s="33">
        <f t="shared" si="46"/>
        <v>160049.5</v>
      </c>
    </row>
    <row r="59" spans="11:32" x14ac:dyDescent="0.3">
      <c r="K59" s="1" t="s">
        <v>27</v>
      </c>
      <c r="L59">
        <f>L36*$G$13</f>
        <v>0</v>
      </c>
      <c r="M59">
        <f t="shared" ref="M59:X59" si="55">M36*$G$13</f>
        <v>0</v>
      </c>
      <c r="N59">
        <f t="shared" si="55"/>
        <v>0</v>
      </c>
      <c r="O59">
        <f t="shared" si="55"/>
        <v>0</v>
      </c>
      <c r="P59">
        <f t="shared" si="55"/>
        <v>21377.210883333333</v>
      </c>
      <c r="Q59">
        <f t="shared" si="55"/>
        <v>21377.210883333333</v>
      </c>
      <c r="R59">
        <f t="shared" si="55"/>
        <v>10688.605441666667</v>
      </c>
      <c r="S59">
        <f t="shared" si="55"/>
        <v>0</v>
      </c>
      <c r="T59">
        <f t="shared" si="55"/>
        <v>26721.513604166666</v>
      </c>
      <c r="U59">
        <f t="shared" si="55"/>
        <v>48098.724487500003</v>
      </c>
      <c r="V59">
        <f t="shared" si="55"/>
        <v>0</v>
      </c>
      <c r="W59">
        <f t="shared" si="55"/>
        <v>0</v>
      </c>
      <c r="X59">
        <f t="shared" si="55"/>
        <v>0</v>
      </c>
      <c r="Z59" s="19" t="s">
        <v>26</v>
      </c>
      <c r="AA59" s="20">
        <v>4</v>
      </c>
      <c r="AB59" s="20">
        <v>6</v>
      </c>
      <c r="AC59" s="20">
        <v>4</v>
      </c>
      <c r="AD59" s="21">
        <v>2</v>
      </c>
      <c r="AE59" s="24">
        <v>30</v>
      </c>
      <c r="AF59" s="33">
        <f t="shared" si="46"/>
        <v>440878.5</v>
      </c>
    </row>
    <row r="60" spans="11:32" x14ac:dyDescent="0.3">
      <c r="K60" s="1" t="s">
        <v>28</v>
      </c>
      <c r="L60">
        <f>L37*$G$14</f>
        <v>0</v>
      </c>
      <c r="M60">
        <f t="shared" ref="M60:X60" si="56">M37*$G$14</f>
        <v>0</v>
      </c>
      <c r="N60">
        <f t="shared" si="56"/>
        <v>0</v>
      </c>
      <c r="O60">
        <f t="shared" si="56"/>
        <v>0</v>
      </c>
      <c r="P60">
        <f t="shared" si="56"/>
        <v>13360.756803333332</v>
      </c>
      <c r="Q60">
        <f t="shared" si="56"/>
        <v>24049.362245999997</v>
      </c>
      <c r="R60">
        <f t="shared" si="56"/>
        <v>8016.4540820000002</v>
      </c>
      <c r="S60">
        <f t="shared" si="56"/>
        <v>21377.21088533333</v>
      </c>
      <c r="T60">
        <f t="shared" si="56"/>
        <v>13360.756803333332</v>
      </c>
      <c r="U60">
        <f t="shared" si="56"/>
        <v>0</v>
      </c>
      <c r="V60">
        <f t="shared" si="56"/>
        <v>0</v>
      </c>
      <c r="W60">
        <f t="shared" si="56"/>
        <v>0</v>
      </c>
      <c r="X60">
        <f t="shared" si="56"/>
        <v>0</v>
      </c>
      <c r="Z60" s="19" t="s">
        <v>27</v>
      </c>
      <c r="AA60" s="20">
        <v>6</v>
      </c>
      <c r="AB60" s="20">
        <v>6</v>
      </c>
      <c r="AC60" s="20">
        <v>4</v>
      </c>
      <c r="AD60" s="21">
        <v>2</v>
      </c>
      <c r="AE60" s="24">
        <v>30</v>
      </c>
      <c r="AF60" s="33">
        <f t="shared" si="46"/>
        <v>565641</v>
      </c>
    </row>
    <row r="61" spans="11:32" x14ac:dyDescent="0.3">
      <c r="K61" s="1" t="s">
        <v>29</v>
      </c>
      <c r="L61">
        <f>L38*$G$15</f>
        <v>0</v>
      </c>
      <c r="M61">
        <f t="shared" ref="M61:X61" si="57">M38*$G$15</f>
        <v>0</v>
      </c>
      <c r="N61">
        <f t="shared" si="57"/>
        <v>0</v>
      </c>
      <c r="O61">
        <f t="shared" si="57"/>
        <v>0</v>
      </c>
      <c r="P61">
        <f t="shared" si="57"/>
        <v>33146.031747368419</v>
      </c>
      <c r="Q61">
        <f t="shared" si="57"/>
        <v>49719.047621052632</v>
      </c>
      <c r="R61">
        <f t="shared" si="57"/>
        <v>16573.01587368421</v>
      </c>
      <c r="S61">
        <f t="shared" si="57"/>
        <v>58005.555557894731</v>
      </c>
      <c r="T61">
        <f t="shared" si="57"/>
        <v>0</v>
      </c>
      <c r="U61">
        <f t="shared" si="57"/>
        <v>0</v>
      </c>
      <c r="V61">
        <f t="shared" si="57"/>
        <v>0</v>
      </c>
      <c r="W61">
        <f t="shared" si="57"/>
        <v>0</v>
      </c>
      <c r="X61">
        <f t="shared" si="57"/>
        <v>0</v>
      </c>
      <c r="Z61" s="19" t="s">
        <v>28</v>
      </c>
      <c r="AA61" s="20">
        <v>2</v>
      </c>
      <c r="AB61" s="20">
        <v>2</v>
      </c>
      <c r="AC61" s="20">
        <v>12</v>
      </c>
      <c r="AD61" s="21">
        <v>1</v>
      </c>
      <c r="AE61" s="24">
        <v>25</v>
      </c>
      <c r="AF61" s="33">
        <f t="shared" si="46"/>
        <v>235683.75</v>
      </c>
    </row>
    <row r="62" spans="11:32" x14ac:dyDescent="0.3">
      <c r="K62" s="1" t="s">
        <v>30</v>
      </c>
      <c r="L62">
        <f>L39*$G$16</f>
        <v>0</v>
      </c>
      <c r="M62">
        <f t="shared" ref="M62:X62" si="58">M39*$G$16</f>
        <v>0</v>
      </c>
      <c r="N62">
        <f t="shared" si="58"/>
        <v>0</v>
      </c>
      <c r="O62">
        <f t="shared" si="58"/>
        <v>0</v>
      </c>
      <c r="P62">
        <f t="shared" si="58"/>
        <v>3116.666667</v>
      </c>
      <c r="Q62">
        <f t="shared" si="58"/>
        <v>5194.4444449999992</v>
      </c>
      <c r="R62">
        <f t="shared" si="58"/>
        <v>2077.7777779999997</v>
      </c>
      <c r="S62">
        <f t="shared" si="58"/>
        <v>10388.888889999998</v>
      </c>
      <c r="T62">
        <f t="shared" si="58"/>
        <v>0</v>
      </c>
      <c r="U62">
        <f t="shared" si="58"/>
        <v>10388.888889999998</v>
      </c>
      <c r="V62">
        <f t="shared" si="58"/>
        <v>0</v>
      </c>
      <c r="W62">
        <f t="shared" si="58"/>
        <v>0</v>
      </c>
      <c r="X62">
        <f t="shared" si="58"/>
        <v>0</v>
      </c>
      <c r="Z62" s="19" t="s">
        <v>29</v>
      </c>
      <c r="AA62" s="20">
        <v>2</v>
      </c>
      <c r="AB62" s="20">
        <v>4</v>
      </c>
      <c r="AC62" s="20">
        <v>6</v>
      </c>
      <c r="AD62" s="21">
        <v>1</v>
      </c>
      <c r="AE62" s="24">
        <v>20</v>
      </c>
      <c r="AF62" s="33">
        <f t="shared" si="46"/>
        <v>584696</v>
      </c>
    </row>
    <row r="63" spans="11:32" x14ac:dyDescent="0.3">
      <c r="K63" s="1" t="s">
        <v>31</v>
      </c>
      <c r="L63">
        <f>L40*$G$17</f>
        <v>0</v>
      </c>
      <c r="M63">
        <f t="shared" ref="M63:X63" si="59">M40*$G$17</f>
        <v>0</v>
      </c>
      <c r="N63">
        <f t="shared" si="59"/>
        <v>0</v>
      </c>
      <c r="O63">
        <f t="shared" si="59"/>
        <v>0</v>
      </c>
      <c r="P63">
        <f t="shared" si="59"/>
        <v>0</v>
      </c>
      <c r="Q63">
        <f t="shared" si="59"/>
        <v>27482.993200000001</v>
      </c>
      <c r="R63">
        <f t="shared" si="59"/>
        <v>0</v>
      </c>
      <c r="S63">
        <f t="shared" si="59"/>
        <v>109931.9728</v>
      </c>
      <c r="T63">
        <f t="shared" si="59"/>
        <v>27482.993200000001</v>
      </c>
      <c r="U63">
        <f t="shared" si="59"/>
        <v>54965.986400000002</v>
      </c>
      <c r="V63">
        <f t="shared" si="59"/>
        <v>0</v>
      </c>
      <c r="W63">
        <f t="shared" si="59"/>
        <v>0</v>
      </c>
      <c r="X63">
        <f t="shared" si="59"/>
        <v>0</v>
      </c>
      <c r="Z63" s="19" t="s">
        <v>30</v>
      </c>
      <c r="AA63" s="20">
        <v>4</v>
      </c>
      <c r="AB63" s="20">
        <v>6</v>
      </c>
      <c r="AC63" s="20">
        <v>4</v>
      </c>
      <c r="AD63" s="21">
        <v>2</v>
      </c>
      <c r="AE63" s="24">
        <v>25</v>
      </c>
      <c r="AF63" s="33">
        <f t="shared" si="46"/>
        <v>91630</v>
      </c>
    </row>
    <row r="64" spans="11:32" x14ac:dyDescent="0.3">
      <c r="K64" s="1" t="s">
        <v>32</v>
      </c>
      <c r="L64">
        <f>L41*$G$18</f>
        <v>0</v>
      </c>
      <c r="M64">
        <f t="shared" ref="M64:X64" si="60">M41*$G$18</f>
        <v>0</v>
      </c>
      <c r="N64">
        <f t="shared" si="60"/>
        <v>0</v>
      </c>
      <c r="O64">
        <f t="shared" si="60"/>
        <v>0</v>
      </c>
      <c r="P64">
        <f t="shared" si="60"/>
        <v>0</v>
      </c>
      <c r="Q64">
        <f t="shared" si="60"/>
        <v>0</v>
      </c>
      <c r="R64">
        <f t="shared" si="60"/>
        <v>0</v>
      </c>
      <c r="S64">
        <f t="shared" si="60"/>
        <v>0</v>
      </c>
      <c r="T64">
        <f t="shared" si="60"/>
        <v>0</v>
      </c>
      <c r="U64">
        <f t="shared" si="60"/>
        <v>0</v>
      </c>
      <c r="V64">
        <f t="shared" si="60"/>
        <v>8016.4540820689663</v>
      </c>
      <c r="W64">
        <f t="shared" si="60"/>
        <v>32065.816328275865</v>
      </c>
      <c r="X64">
        <f t="shared" si="60"/>
        <v>37410.119049655179</v>
      </c>
      <c r="Z64" s="19" t="s">
        <v>31</v>
      </c>
      <c r="AA64" s="20">
        <v>4</v>
      </c>
      <c r="AB64" s="20">
        <v>4</v>
      </c>
      <c r="AC64" s="20">
        <v>4</v>
      </c>
      <c r="AD64" s="21">
        <v>1</v>
      </c>
      <c r="AE64" s="24">
        <v>20</v>
      </c>
      <c r="AF64" s="33">
        <f t="shared" si="46"/>
        <v>387840</v>
      </c>
    </row>
    <row r="65" spans="11:32" x14ac:dyDescent="0.3">
      <c r="K65" s="1" t="s">
        <v>33</v>
      </c>
      <c r="L65">
        <f>L42*$G$19</f>
        <v>0</v>
      </c>
      <c r="M65">
        <f t="shared" ref="M65:X65" si="61">M42*$G$19</f>
        <v>0</v>
      </c>
      <c r="N65">
        <f t="shared" si="61"/>
        <v>0</v>
      </c>
      <c r="O65">
        <f t="shared" si="61"/>
        <v>0</v>
      </c>
      <c r="P65">
        <f t="shared" si="61"/>
        <v>0</v>
      </c>
      <c r="Q65">
        <f t="shared" si="61"/>
        <v>0</v>
      </c>
      <c r="R65">
        <f t="shared" si="61"/>
        <v>0</v>
      </c>
      <c r="S65">
        <f t="shared" si="61"/>
        <v>0</v>
      </c>
      <c r="T65">
        <f t="shared" si="61"/>
        <v>0</v>
      </c>
      <c r="U65">
        <f t="shared" si="61"/>
        <v>0</v>
      </c>
      <c r="V65">
        <f t="shared" si="61"/>
        <v>31015.731300000003</v>
      </c>
      <c r="W65">
        <f t="shared" si="61"/>
        <v>31015.731300000003</v>
      </c>
      <c r="X65">
        <f t="shared" si="61"/>
        <v>93047.193899999998</v>
      </c>
      <c r="Z65" s="19" t="s">
        <v>32</v>
      </c>
      <c r="AA65" s="20">
        <v>12</v>
      </c>
      <c r="AB65" s="20">
        <v>2</v>
      </c>
      <c r="AC65" s="20">
        <v>2</v>
      </c>
      <c r="AD65" s="21">
        <v>4</v>
      </c>
      <c r="AE65" s="24">
        <v>80</v>
      </c>
      <c r="AF65" s="33">
        <f t="shared" si="46"/>
        <v>754188</v>
      </c>
    </row>
    <row r="66" spans="11:32" x14ac:dyDescent="0.3">
      <c r="K66" s="1" t="s">
        <v>34</v>
      </c>
      <c r="L66">
        <f>L43*$G$20</f>
        <v>0</v>
      </c>
      <c r="M66">
        <f t="shared" ref="M66:X66" si="62">M43*$G$20</f>
        <v>0</v>
      </c>
      <c r="N66">
        <f t="shared" si="62"/>
        <v>0</v>
      </c>
      <c r="O66">
        <f t="shared" si="62"/>
        <v>0</v>
      </c>
      <c r="P66">
        <f t="shared" si="62"/>
        <v>0</v>
      </c>
      <c r="Q66">
        <f t="shared" si="62"/>
        <v>0</v>
      </c>
      <c r="R66">
        <f t="shared" si="62"/>
        <v>0</v>
      </c>
      <c r="S66">
        <f t="shared" si="62"/>
        <v>0</v>
      </c>
      <c r="T66">
        <f t="shared" si="62"/>
        <v>0</v>
      </c>
      <c r="U66">
        <f t="shared" si="62"/>
        <v>0</v>
      </c>
      <c r="V66">
        <f t="shared" si="62"/>
        <v>0</v>
      </c>
      <c r="W66">
        <f t="shared" si="62"/>
        <v>156058.36168571428</v>
      </c>
      <c r="X66">
        <f t="shared" si="62"/>
        <v>229497.59071428573</v>
      </c>
      <c r="Z66" s="19" t="s">
        <v>33</v>
      </c>
      <c r="AA66" s="20">
        <v>12</v>
      </c>
      <c r="AB66" s="20">
        <v>2</v>
      </c>
      <c r="AC66" s="20">
        <v>2</v>
      </c>
      <c r="AD66" s="21">
        <v>4</v>
      </c>
      <c r="AE66" s="24">
        <v>80</v>
      </c>
      <c r="AF66" s="33">
        <f t="shared" si="46"/>
        <v>1750776</v>
      </c>
    </row>
    <row r="67" spans="11:32" x14ac:dyDescent="0.3">
      <c r="K67" s="1" t="s">
        <v>35</v>
      </c>
      <c r="L67">
        <f>L44*$G$21</f>
        <v>0</v>
      </c>
      <c r="M67">
        <f t="shared" ref="M67:X67" si="63">M44*$G$21</f>
        <v>0</v>
      </c>
      <c r="N67">
        <f t="shared" si="63"/>
        <v>0</v>
      </c>
      <c r="O67">
        <f t="shared" si="63"/>
        <v>0</v>
      </c>
      <c r="P67">
        <f t="shared" si="63"/>
        <v>0</v>
      </c>
      <c r="Q67">
        <f t="shared" si="63"/>
        <v>0</v>
      </c>
      <c r="R67">
        <f t="shared" si="63"/>
        <v>0</v>
      </c>
      <c r="S67">
        <f t="shared" si="63"/>
        <v>0</v>
      </c>
      <c r="T67">
        <f t="shared" si="63"/>
        <v>0</v>
      </c>
      <c r="U67">
        <f t="shared" si="63"/>
        <v>0</v>
      </c>
      <c r="V67">
        <f t="shared" si="63"/>
        <v>20263.010204347825</v>
      </c>
      <c r="W67">
        <f t="shared" si="63"/>
        <v>54034.693878260863</v>
      </c>
      <c r="X67">
        <f t="shared" si="63"/>
        <v>81052.040817391302</v>
      </c>
      <c r="Z67" s="19" t="s">
        <v>34</v>
      </c>
      <c r="AA67" s="20">
        <v>12</v>
      </c>
      <c r="AB67" s="20">
        <v>2</v>
      </c>
      <c r="AC67" s="20">
        <v>2</v>
      </c>
      <c r="AD67" s="21">
        <v>4</v>
      </c>
      <c r="AE67" s="24">
        <v>80</v>
      </c>
      <c r="AF67" s="33">
        <f t="shared" si="46"/>
        <v>2590936</v>
      </c>
    </row>
    <row r="68" spans="11:32" x14ac:dyDescent="0.3">
      <c r="Z68" s="15" t="s">
        <v>35</v>
      </c>
      <c r="AA68" s="25">
        <v>12</v>
      </c>
      <c r="AB68" s="25">
        <v>2</v>
      </c>
      <c r="AC68" s="25">
        <v>2</v>
      </c>
      <c r="AD68" s="26">
        <v>4</v>
      </c>
      <c r="AE68" s="27">
        <v>80</v>
      </c>
      <c r="AF68" s="34">
        <f t="shared" si="46"/>
        <v>1906344</v>
      </c>
    </row>
    <row r="69" spans="11:32" x14ac:dyDescent="0.3">
      <c r="K69" s="2" t="s">
        <v>37</v>
      </c>
      <c r="L69">
        <f>SUM(L48:L67)</f>
        <v>90768.572847981384</v>
      </c>
      <c r="M69">
        <f t="shared" ref="M69:X69" si="64">SUM(M48:M67)</f>
        <v>278370.14596826333</v>
      </c>
      <c r="N69">
        <f t="shared" si="64"/>
        <v>72407.653056191164</v>
      </c>
      <c r="O69">
        <f t="shared" si="64"/>
        <v>398729.88942774147</v>
      </c>
      <c r="P69">
        <f t="shared" si="64"/>
        <v>182525.65192940019</v>
      </c>
      <c r="Q69">
        <f t="shared" si="64"/>
        <v>210489.59042414161</v>
      </c>
      <c r="R69">
        <f t="shared" si="64"/>
        <v>74251.842406870492</v>
      </c>
      <c r="S69">
        <f t="shared" si="64"/>
        <v>268601.27552592516</v>
      </c>
      <c r="T69">
        <f t="shared" si="64"/>
        <v>250458.76558489879</v>
      </c>
      <c r="U69">
        <f t="shared" si="64"/>
        <v>441572.27182858647</v>
      </c>
      <c r="V69">
        <f t="shared" si="64"/>
        <v>59295.195586416798</v>
      </c>
      <c r="W69">
        <f t="shared" si="64"/>
        <v>273174.603192251</v>
      </c>
      <c r="X69">
        <f t="shared" si="64"/>
        <v>441006.9444813322</v>
      </c>
      <c r="AC69" s="56" t="s">
        <v>85</v>
      </c>
      <c r="AD69" s="56"/>
      <c r="AE69" s="56"/>
      <c r="AF69" s="35">
        <f>SUM(AF49:AF68)</f>
        <v>16135452.275</v>
      </c>
    </row>
    <row r="70" spans="11:32" x14ac:dyDescent="0.3">
      <c r="K70" t="s">
        <v>38</v>
      </c>
      <c r="L70">
        <f>8*60*5</f>
        <v>2400</v>
      </c>
      <c r="M70">
        <f t="shared" ref="M70:X70" si="65">8*60*5</f>
        <v>2400</v>
      </c>
      <c r="N70">
        <f t="shared" si="65"/>
        <v>2400</v>
      </c>
      <c r="O70">
        <f t="shared" si="65"/>
        <v>2400</v>
      </c>
      <c r="P70">
        <f t="shared" si="65"/>
        <v>2400</v>
      </c>
      <c r="Q70">
        <f t="shared" si="65"/>
        <v>2400</v>
      </c>
      <c r="R70">
        <f t="shared" si="65"/>
        <v>2400</v>
      </c>
      <c r="S70">
        <f t="shared" si="65"/>
        <v>2400</v>
      </c>
      <c r="T70">
        <f t="shared" si="65"/>
        <v>2400</v>
      </c>
      <c r="U70">
        <f t="shared" si="65"/>
        <v>2400</v>
      </c>
      <c r="V70">
        <f t="shared" si="65"/>
        <v>2400</v>
      </c>
      <c r="W70">
        <f t="shared" si="65"/>
        <v>2400</v>
      </c>
      <c r="X70">
        <f t="shared" si="65"/>
        <v>2400</v>
      </c>
      <c r="AC70" s="56" t="s">
        <v>93</v>
      </c>
      <c r="AD70" s="56"/>
      <c r="AE70" s="56"/>
      <c r="AF70" s="35">
        <f>AF69*49</f>
        <v>790637161.47500002</v>
      </c>
    </row>
    <row r="71" spans="11:32" x14ac:dyDescent="0.3">
      <c r="K71" t="s">
        <v>39</v>
      </c>
      <c r="L71">
        <f>16*5*60</f>
        <v>4800</v>
      </c>
      <c r="M71">
        <f t="shared" ref="M71:X71" si="66">16*5*60</f>
        <v>4800</v>
      </c>
      <c r="N71">
        <f t="shared" si="66"/>
        <v>4800</v>
      </c>
      <c r="O71">
        <f t="shared" si="66"/>
        <v>4800</v>
      </c>
      <c r="P71">
        <f t="shared" si="66"/>
        <v>4800</v>
      </c>
      <c r="Q71">
        <f t="shared" si="66"/>
        <v>4800</v>
      </c>
      <c r="R71">
        <f t="shared" si="66"/>
        <v>4800</v>
      </c>
      <c r="S71">
        <f t="shared" si="66"/>
        <v>4800</v>
      </c>
      <c r="T71">
        <f t="shared" si="66"/>
        <v>4800</v>
      </c>
      <c r="U71">
        <f t="shared" si="66"/>
        <v>4800</v>
      </c>
      <c r="V71">
        <f t="shared" si="66"/>
        <v>4800</v>
      </c>
      <c r="W71">
        <f t="shared" si="66"/>
        <v>4800</v>
      </c>
      <c r="X71">
        <f t="shared" si="66"/>
        <v>4800</v>
      </c>
    </row>
    <row r="73" spans="11:32" x14ac:dyDescent="0.3">
      <c r="K73" t="s">
        <v>40</v>
      </c>
      <c r="L73">
        <f>L69/L70</f>
        <v>37.820238686658911</v>
      </c>
      <c r="M73">
        <f t="shared" ref="M73:X73" si="67">M69/M70</f>
        <v>115.98756082010972</v>
      </c>
      <c r="N73">
        <f t="shared" si="67"/>
        <v>30.169855440079651</v>
      </c>
      <c r="O73">
        <f t="shared" si="67"/>
        <v>166.1374539282256</v>
      </c>
      <c r="P73">
        <f t="shared" si="67"/>
        <v>76.052354970583409</v>
      </c>
      <c r="Q73">
        <f t="shared" si="67"/>
        <v>87.703996010059001</v>
      </c>
      <c r="R73">
        <f t="shared" si="67"/>
        <v>30.93826766952937</v>
      </c>
      <c r="S73">
        <f t="shared" si="67"/>
        <v>111.91719813580215</v>
      </c>
      <c r="T73">
        <f t="shared" si="67"/>
        <v>104.35781899370782</v>
      </c>
      <c r="U73">
        <f t="shared" si="67"/>
        <v>183.98844659524437</v>
      </c>
      <c r="V73">
        <f t="shared" si="67"/>
        <v>24.706331494340333</v>
      </c>
      <c r="W73">
        <f t="shared" si="67"/>
        <v>113.82275133010458</v>
      </c>
      <c r="X73">
        <f t="shared" si="67"/>
        <v>183.75289353388843</v>
      </c>
    </row>
    <row r="74" spans="11:32" x14ac:dyDescent="0.3">
      <c r="K74" t="s">
        <v>41</v>
      </c>
      <c r="L74">
        <f>L69/L71</f>
        <v>18.910119343329455</v>
      </c>
      <c r="M74">
        <f t="shared" ref="M74:X74" si="68">M69/M71</f>
        <v>57.99378041005486</v>
      </c>
      <c r="N74">
        <f t="shared" si="68"/>
        <v>15.084927720039826</v>
      </c>
      <c r="O74">
        <f t="shared" si="68"/>
        <v>83.068726964112798</v>
      </c>
      <c r="P74">
        <f t="shared" si="68"/>
        <v>38.026177485291704</v>
      </c>
      <c r="Q74">
        <f t="shared" si="68"/>
        <v>43.8519980050295</v>
      </c>
      <c r="R74">
        <f t="shared" si="68"/>
        <v>15.469133834764685</v>
      </c>
      <c r="S74">
        <f t="shared" si="68"/>
        <v>55.958599067901076</v>
      </c>
      <c r="T74">
        <f t="shared" si="68"/>
        <v>52.178909496853912</v>
      </c>
      <c r="U74">
        <f t="shared" si="68"/>
        <v>91.994223297622185</v>
      </c>
      <c r="V74">
        <f t="shared" si="68"/>
        <v>12.353165747170166</v>
      </c>
      <c r="W74">
        <f t="shared" si="68"/>
        <v>56.91137566505229</v>
      </c>
      <c r="X74">
        <f t="shared" si="68"/>
        <v>91.876446766944213</v>
      </c>
    </row>
    <row r="76" spans="11:32" x14ac:dyDescent="0.3">
      <c r="K76" s="38" t="s">
        <v>42</v>
      </c>
      <c r="L76" s="39" t="s">
        <v>3</v>
      </c>
      <c r="M76" s="39" t="s">
        <v>4</v>
      </c>
      <c r="N76" s="39" t="s">
        <v>5</v>
      </c>
      <c r="O76" s="39" t="s">
        <v>6</v>
      </c>
      <c r="P76" s="39" t="s">
        <v>7</v>
      </c>
      <c r="Q76" s="39" t="s">
        <v>8</v>
      </c>
      <c r="R76" s="39" t="s">
        <v>9</v>
      </c>
      <c r="S76" s="39" t="s">
        <v>10</v>
      </c>
      <c r="T76" s="39" t="s">
        <v>11</v>
      </c>
      <c r="U76" s="39" t="s">
        <v>12</v>
      </c>
      <c r="V76" s="39" t="s">
        <v>13</v>
      </c>
      <c r="W76" s="39" t="s">
        <v>14</v>
      </c>
      <c r="X76" s="40" t="s">
        <v>15</v>
      </c>
    </row>
    <row r="77" spans="11:32" x14ac:dyDescent="0.3">
      <c r="K77" s="41" t="s">
        <v>40</v>
      </c>
      <c r="L77">
        <f>ROUNDUP(L73,0)</f>
        <v>38</v>
      </c>
      <c r="M77">
        <f t="shared" ref="M77:X77" si="69">ROUNDUP(M73,0)</f>
        <v>116</v>
      </c>
      <c r="N77">
        <f t="shared" si="69"/>
        <v>31</v>
      </c>
      <c r="O77">
        <f t="shared" si="69"/>
        <v>167</v>
      </c>
      <c r="P77">
        <f t="shared" si="69"/>
        <v>77</v>
      </c>
      <c r="Q77">
        <f t="shared" si="69"/>
        <v>88</v>
      </c>
      <c r="R77">
        <f t="shared" si="69"/>
        <v>31</v>
      </c>
      <c r="S77">
        <f t="shared" si="69"/>
        <v>112</v>
      </c>
      <c r="T77">
        <f t="shared" si="69"/>
        <v>105</v>
      </c>
      <c r="U77">
        <f t="shared" si="69"/>
        <v>184</v>
      </c>
      <c r="V77">
        <f t="shared" si="69"/>
        <v>25</v>
      </c>
      <c r="W77">
        <f t="shared" si="69"/>
        <v>114</v>
      </c>
      <c r="X77" s="42">
        <f t="shared" si="69"/>
        <v>184</v>
      </c>
      <c r="Y77" t="s">
        <v>90</v>
      </c>
    </row>
    <row r="78" spans="11:32" x14ac:dyDescent="0.3">
      <c r="K78" s="43" t="s">
        <v>41</v>
      </c>
      <c r="L78" s="4">
        <f>ROUNDUP(L74,0)</f>
        <v>19</v>
      </c>
      <c r="M78" s="4">
        <f t="shared" ref="M78:X78" si="70">ROUNDUP(M74,0)</f>
        <v>58</v>
      </c>
      <c r="N78" s="4">
        <f t="shared" si="70"/>
        <v>16</v>
      </c>
      <c r="O78" s="4">
        <f t="shared" si="70"/>
        <v>84</v>
      </c>
      <c r="P78" s="4">
        <f t="shared" si="70"/>
        <v>39</v>
      </c>
      <c r="Q78" s="4">
        <f t="shared" si="70"/>
        <v>44</v>
      </c>
      <c r="R78" s="4">
        <f t="shared" si="70"/>
        <v>16</v>
      </c>
      <c r="S78" s="4">
        <f t="shared" si="70"/>
        <v>56</v>
      </c>
      <c r="T78" s="4">
        <f t="shared" si="70"/>
        <v>53</v>
      </c>
      <c r="U78" s="4">
        <f t="shared" si="70"/>
        <v>92</v>
      </c>
      <c r="V78" s="4">
        <f t="shared" si="70"/>
        <v>13</v>
      </c>
      <c r="W78" s="4">
        <f t="shared" si="70"/>
        <v>57</v>
      </c>
      <c r="X78" s="44">
        <f t="shared" si="70"/>
        <v>92</v>
      </c>
      <c r="Y78" s="12">
        <f>SUM(L78:X78)</f>
        <v>639</v>
      </c>
    </row>
    <row r="79" spans="11:32" x14ac:dyDescent="0.3">
      <c r="K79" s="3" t="s">
        <v>92</v>
      </c>
      <c r="L79" s="3">
        <f>L78-'Y1(Task3)'!L78</f>
        <v>2</v>
      </c>
      <c r="M79" s="3">
        <f>M78-'Y1(Task3)'!M78</f>
        <v>6</v>
      </c>
      <c r="N79" s="3">
        <f>N78-'Y1(Task3)'!N78</f>
        <v>2</v>
      </c>
      <c r="O79" s="3">
        <f>O78-'Y1(Task3)'!O78</f>
        <v>11</v>
      </c>
      <c r="P79" s="3">
        <f>P78-'Y1(Task3)'!P78</f>
        <v>6</v>
      </c>
      <c r="Q79" s="3">
        <f>Q78-'Y1(Task3)'!Q78</f>
        <v>5</v>
      </c>
      <c r="R79" s="3">
        <f>R78-'Y1(Task3)'!R78</f>
        <v>2</v>
      </c>
      <c r="S79" s="3">
        <f>S78-'Y1(Task3)'!S78</f>
        <v>6</v>
      </c>
      <c r="T79" s="3">
        <f>T78-'Y1(Task3)'!T78</f>
        <v>7</v>
      </c>
      <c r="U79" s="3">
        <f>U78-'Y1(Task3)'!U78</f>
        <v>12</v>
      </c>
      <c r="V79" s="3">
        <f>V78-'Y1(Task3)'!V78</f>
        <v>2</v>
      </c>
      <c r="W79" s="3">
        <f>W78-'Y1(Task3)'!W78</f>
        <v>7</v>
      </c>
      <c r="X79" s="3">
        <f>X78-'Y1(Task3)'!X78</f>
        <v>12</v>
      </c>
      <c r="Y79">
        <f>Y78-'Y1(Task3)'!Y78</f>
        <v>80</v>
      </c>
    </row>
    <row r="81" spans="11:25" x14ac:dyDescent="0.3">
      <c r="K81" t="s">
        <v>48</v>
      </c>
      <c r="L81">
        <v>7</v>
      </c>
      <c r="M81">
        <v>7</v>
      </c>
      <c r="N81">
        <v>7</v>
      </c>
      <c r="O81">
        <v>7</v>
      </c>
      <c r="P81">
        <v>6</v>
      </c>
      <c r="Q81">
        <v>6</v>
      </c>
      <c r="R81">
        <v>6</v>
      </c>
      <c r="S81">
        <v>5</v>
      </c>
      <c r="T81">
        <v>5</v>
      </c>
      <c r="U81">
        <v>5</v>
      </c>
      <c r="V81">
        <v>3</v>
      </c>
      <c r="W81">
        <v>3</v>
      </c>
      <c r="X81">
        <v>3</v>
      </c>
    </row>
    <row r="82" spans="11:25" x14ac:dyDescent="0.3">
      <c r="L82">
        <v>8</v>
      </c>
      <c r="M82">
        <v>8</v>
      </c>
      <c r="N82">
        <v>8</v>
      </c>
      <c r="O82">
        <v>8</v>
      </c>
      <c r="P82">
        <v>16</v>
      </c>
      <c r="Q82">
        <v>16</v>
      </c>
      <c r="R82">
        <v>16</v>
      </c>
      <c r="S82">
        <v>24</v>
      </c>
      <c r="T82">
        <v>24</v>
      </c>
      <c r="U82">
        <v>24</v>
      </c>
      <c r="V82">
        <v>6</v>
      </c>
      <c r="W82">
        <v>6</v>
      </c>
      <c r="X82">
        <v>6</v>
      </c>
    </row>
    <row r="83" spans="11:25" x14ac:dyDescent="0.3">
      <c r="K83" t="s">
        <v>49</v>
      </c>
      <c r="L83">
        <v>14</v>
      </c>
      <c r="M83">
        <v>14</v>
      </c>
      <c r="N83">
        <v>14</v>
      </c>
      <c r="O83">
        <v>14</v>
      </c>
      <c r="P83">
        <v>22</v>
      </c>
      <c r="Q83">
        <v>22</v>
      </c>
      <c r="R83">
        <v>22</v>
      </c>
      <c r="S83">
        <v>14</v>
      </c>
      <c r="T83">
        <v>14</v>
      </c>
      <c r="U83">
        <v>14</v>
      </c>
      <c r="V83">
        <v>14</v>
      </c>
      <c r="W83">
        <v>14</v>
      </c>
      <c r="X83">
        <v>14</v>
      </c>
    </row>
    <row r="84" spans="11:25" x14ac:dyDescent="0.3">
      <c r="L84">
        <v>14</v>
      </c>
      <c r="M84">
        <v>14</v>
      </c>
      <c r="N84">
        <v>14</v>
      </c>
      <c r="O84">
        <v>14</v>
      </c>
      <c r="P84">
        <v>15</v>
      </c>
      <c r="Q84">
        <v>15</v>
      </c>
      <c r="R84">
        <v>15</v>
      </c>
      <c r="S84">
        <v>36</v>
      </c>
      <c r="T84">
        <v>36</v>
      </c>
      <c r="U84">
        <v>36</v>
      </c>
      <c r="V84">
        <v>7</v>
      </c>
      <c r="W84">
        <v>7</v>
      </c>
      <c r="X84">
        <v>7</v>
      </c>
    </row>
    <row r="86" spans="11:25" x14ac:dyDescent="0.3">
      <c r="K86" t="s">
        <v>43</v>
      </c>
      <c r="L86" s="5">
        <f>1*20+1/4*40</f>
        <v>30</v>
      </c>
      <c r="M86" s="5">
        <f t="shared" ref="M86:O86" si="71">1*20+1/4*40</f>
        <v>30</v>
      </c>
      <c r="N86" s="5">
        <f t="shared" si="71"/>
        <v>30</v>
      </c>
      <c r="O86" s="5">
        <f t="shared" si="71"/>
        <v>30</v>
      </c>
      <c r="P86" s="5">
        <f>1*20+1/2*60</f>
        <v>50</v>
      </c>
      <c r="Q86" s="5">
        <f t="shared" ref="Q86:R86" si="72">1*20+1/2*60</f>
        <v>50</v>
      </c>
      <c r="R86" s="5">
        <f t="shared" si="72"/>
        <v>50</v>
      </c>
      <c r="S86" s="5">
        <v>120</v>
      </c>
      <c r="T86" s="5">
        <v>120</v>
      </c>
      <c r="U86" s="5">
        <v>120</v>
      </c>
      <c r="V86" s="5">
        <v>20</v>
      </c>
      <c r="W86" s="5">
        <v>20</v>
      </c>
      <c r="X86" s="5">
        <v>20</v>
      </c>
    </row>
    <row r="87" spans="11:25" x14ac:dyDescent="0.3">
      <c r="K87" t="s">
        <v>44</v>
      </c>
      <c r="L87" s="6">
        <v>150000</v>
      </c>
      <c r="M87" s="6">
        <v>200000</v>
      </c>
      <c r="N87" s="6">
        <v>250000</v>
      </c>
      <c r="O87" s="6">
        <v>300000</v>
      </c>
      <c r="P87" s="6">
        <v>400000</v>
      </c>
      <c r="Q87" s="6">
        <v>400000</v>
      </c>
      <c r="R87" s="6">
        <v>400000</v>
      </c>
      <c r="S87" s="6">
        <v>1000000</v>
      </c>
      <c r="T87" s="6">
        <v>500000</v>
      </c>
      <c r="U87" s="6">
        <v>500000</v>
      </c>
      <c r="V87" s="6">
        <v>80000</v>
      </c>
      <c r="W87" s="6">
        <v>100000</v>
      </c>
      <c r="X87" s="6">
        <v>50000</v>
      </c>
      <c r="Y87" s="5"/>
    </row>
    <row r="89" spans="11:25" x14ac:dyDescent="0.3">
      <c r="K89" s="2" t="s">
        <v>50</v>
      </c>
      <c r="L89" s="2" t="s">
        <v>3</v>
      </c>
      <c r="M89" s="2" t="s">
        <v>4</v>
      </c>
      <c r="N89" s="2" t="s">
        <v>5</v>
      </c>
      <c r="O89" s="2" t="s">
        <v>6</v>
      </c>
      <c r="P89" s="2" t="s">
        <v>7</v>
      </c>
      <c r="Q89" s="2" t="s">
        <v>8</v>
      </c>
      <c r="R89" s="2" t="s">
        <v>9</v>
      </c>
      <c r="S89" s="2" t="s">
        <v>10</v>
      </c>
      <c r="T89" s="2" t="s">
        <v>11</v>
      </c>
      <c r="U89" s="2" t="s">
        <v>12</v>
      </c>
      <c r="V89" s="2" t="s">
        <v>13</v>
      </c>
      <c r="W89" s="2" t="s">
        <v>14</v>
      </c>
      <c r="X89" s="2" t="s">
        <v>15</v>
      </c>
    </row>
    <row r="90" spans="11:25" x14ac:dyDescent="0.3">
      <c r="K90" s="1" t="s">
        <v>45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1:25" x14ac:dyDescent="0.3">
      <c r="K91" s="1" t="s">
        <v>46</v>
      </c>
      <c r="L91">
        <v>0.25</v>
      </c>
      <c r="M91">
        <v>0.25</v>
      </c>
      <c r="N91">
        <v>0.25</v>
      </c>
      <c r="O91">
        <v>0.25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0.5</v>
      </c>
      <c r="W91">
        <v>0.5</v>
      </c>
      <c r="X91">
        <v>0.5</v>
      </c>
    </row>
    <row r="92" spans="11:25" x14ac:dyDescent="0.3">
      <c r="K92" s="1" t="s">
        <v>47</v>
      </c>
      <c r="L92">
        <v>0</v>
      </c>
      <c r="M92">
        <v>0</v>
      </c>
      <c r="N92">
        <v>0</v>
      </c>
      <c r="O92">
        <v>0</v>
      </c>
      <c r="P92">
        <v>0.5</v>
      </c>
      <c r="Q92">
        <v>0.5</v>
      </c>
      <c r="R92">
        <v>0.5</v>
      </c>
      <c r="S92">
        <v>2</v>
      </c>
      <c r="T92">
        <v>2</v>
      </c>
      <c r="U92">
        <v>2</v>
      </c>
      <c r="V92">
        <v>0</v>
      </c>
      <c r="W92">
        <v>0</v>
      </c>
      <c r="X92">
        <v>0</v>
      </c>
    </row>
    <row r="94" spans="11:25" x14ac:dyDescent="0.3">
      <c r="K94" t="s">
        <v>71</v>
      </c>
      <c r="L94">
        <f>49*5*16</f>
        <v>3920</v>
      </c>
      <c r="M94">
        <f t="shared" ref="M94:X94" si="73">49*5*16</f>
        <v>3920</v>
      </c>
      <c r="N94">
        <f t="shared" si="73"/>
        <v>3920</v>
      </c>
      <c r="O94">
        <f t="shared" si="73"/>
        <v>3920</v>
      </c>
      <c r="P94">
        <f t="shared" si="73"/>
        <v>3920</v>
      </c>
      <c r="Q94">
        <f t="shared" si="73"/>
        <v>3920</v>
      </c>
      <c r="R94">
        <f t="shared" si="73"/>
        <v>3920</v>
      </c>
      <c r="S94">
        <f t="shared" si="73"/>
        <v>3920</v>
      </c>
      <c r="T94">
        <f t="shared" si="73"/>
        <v>3920</v>
      </c>
      <c r="U94">
        <f t="shared" si="73"/>
        <v>3920</v>
      </c>
      <c r="V94">
        <f t="shared" si="73"/>
        <v>3920</v>
      </c>
      <c r="W94">
        <f t="shared" si="73"/>
        <v>3920</v>
      </c>
      <c r="X94">
        <f t="shared" si="73"/>
        <v>3920</v>
      </c>
    </row>
    <row r="96" spans="11:25" x14ac:dyDescent="0.3">
      <c r="K96" s="2" t="s">
        <v>51</v>
      </c>
      <c r="L96" s="2" t="s">
        <v>3</v>
      </c>
      <c r="M96" s="2" t="s">
        <v>4</v>
      </c>
      <c r="N96" s="2" t="s">
        <v>5</v>
      </c>
      <c r="O96" s="2" t="s">
        <v>6</v>
      </c>
      <c r="P96" s="2" t="s">
        <v>7</v>
      </c>
      <c r="Q96" s="2" t="s">
        <v>8</v>
      </c>
      <c r="R96" s="2" t="s">
        <v>9</v>
      </c>
      <c r="S96" s="2" t="s">
        <v>10</v>
      </c>
      <c r="T96" s="2" t="s">
        <v>11</v>
      </c>
      <c r="U96" s="2" t="s">
        <v>12</v>
      </c>
      <c r="V96" s="2" t="s">
        <v>13</v>
      </c>
      <c r="W96" s="2" t="s">
        <v>14</v>
      </c>
      <c r="X96" s="2" t="s">
        <v>15</v>
      </c>
      <c r="Y96" s="2" t="s">
        <v>52</v>
      </c>
    </row>
    <row r="97" spans="11:25" x14ac:dyDescent="0.3">
      <c r="K97" s="1" t="s">
        <v>45</v>
      </c>
      <c r="L97">
        <f t="shared" ref="L97:X97" si="74">ROUNDUP(L90*L78*2,0)</f>
        <v>38</v>
      </c>
      <c r="M97">
        <f t="shared" si="74"/>
        <v>116</v>
      </c>
      <c r="N97">
        <f t="shared" si="74"/>
        <v>32</v>
      </c>
      <c r="O97">
        <f t="shared" si="74"/>
        <v>168</v>
      </c>
      <c r="P97">
        <f t="shared" si="74"/>
        <v>78</v>
      </c>
      <c r="Q97">
        <f t="shared" si="74"/>
        <v>88</v>
      </c>
      <c r="R97">
        <f t="shared" si="74"/>
        <v>32</v>
      </c>
      <c r="S97">
        <f t="shared" si="74"/>
        <v>0</v>
      </c>
      <c r="T97">
        <f t="shared" si="74"/>
        <v>0</v>
      </c>
      <c r="U97">
        <f t="shared" si="74"/>
        <v>0</v>
      </c>
      <c r="V97">
        <f t="shared" si="74"/>
        <v>0</v>
      </c>
      <c r="W97">
        <f t="shared" si="74"/>
        <v>0</v>
      </c>
      <c r="X97">
        <f t="shared" si="74"/>
        <v>0</v>
      </c>
      <c r="Y97">
        <f>SUM(L97:X97)</f>
        <v>552</v>
      </c>
    </row>
    <row r="98" spans="11:25" x14ac:dyDescent="0.3">
      <c r="K98" s="1" t="s">
        <v>46</v>
      </c>
      <c r="L98">
        <f t="shared" ref="L98:X98" si="75">ROUNDUP(L91*L78*2,0)</f>
        <v>10</v>
      </c>
      <c r="M98">
        <f t="shared" si="75"/>
        <v>29</v>
      </c>
      <c r="N98">
        <f t="shared" si="75"/>
        <v>8</v>
      </c>
      <c r="O98">
        <f t="shared" si="75"/>
        <v>42</v>
      </c>
      <c r="P98">
        <f t="shared" si="75"/>
        <v>0</v>
      </c>
      <c r="Q98">
        <f t="shared" si="75"/>
        <v>0</v>
      </c>
      <c r="R98">
        <f t="shared" si="75"/>
        <v>0</v>
      </c>
      <c r="S98">
        <f t="shared" si="75"/>
        <v>0</v>
      </c>
      <c r="T98">
        <f t="shared" si="75"/>
        <v>0</v>
      </c>
      <c r="U98">
        <f t="shared" si="75"/>
        <v>0</v>
      </c>
      <c r="V98">
        <f t="shared" si="75"/>
        <v>13</v>
      </c>
      <c r="W98">
        <f t="shared" si="75"/>
        <v>57</v>
      </c>
      <c r="X98">
        <f t="shared" si="75"/>
        <v>92</v>
      </c>
      <c r="Y98">
        <f t="shared" ref="Y98:Y99" si="76">SUM(L98:X98)</f>
        <v>251</v>
      </c>
    </row>
    <row r="99" spans="11:25" x14ac:dyDescent="0.3">
      <c r="K99" s="1" t="s">
        <v>47</v>
      </c>
      <c r="L99">
        <f t="shared" ref="L99:X99" si="77">ROUNDUP(L92*L78*2,0)</f>
        <v>0</v>
      </c>
      <c r="M99">
        <f t="shared" si="77"/>
        <v>0</v>
      </c>
      <c r="N99">
        <f t="shared" si="77"/>
        <v>0</v>
      </c>
      <c r="O99">
        <f t="shared" si="77"/>
        <v>0</v>
      </c>
      <c r="P99">
        <f t="shared" si="77"/>
        <v>39</v>
      </c>
      <c r="Q99">
        <f t="shared" si="77"/>
        <v>44</v>
      </c>
      <c r="R99">
        <f t="shared" si="77"/>
        <v>16</v>
      </c>
      <c r="S99">
        <f t="shared" si="77"/>
        <v>224</v>
      </c>
      <c r="T99">
        <f t="shared" si="77"/>
        <v>212</v>
      </c>
      <c r="U99">
        <f t="shared" si="77"/>
        <v>368</v>
      </c>
      <c r="V99">
        <f t="shared" si="77"/>
        <v>0</v>
      </c>
      <c r="W99">
        <f t="shared" si="77"/>
        <v>0</v>
      </c>
      <c r="X99">
        <f t="shared" si="77"/>
        <v>0</v>
      </c>
      <c r="Y99">
        <f t="shared" si="76"/>
        <v>903</v>
      </c>
    </row>
    <row r="100" spans="11:25" x14ac:dyDescent="0.3">
      <c r="K100" s="30" t="s">
        <v>53</v>
      </c>
      <c r="L100" s="30">
        <f>SUM(L97:L99)</f>
        <v>48</v>
      </c>
      <c r="M100" s="30">
        <f t="shared" ref="M100:X100" si="78">SUM(M97:M99)</f>
        <v>145</v>
      </c>
      <c r="N100" s="30">
        <f t="shared" si="78"/>
        <v>40</v>
      </c>
      <c r="O100" s="30">
        <f t="shared" si="78"/>
        <v>210</v>
      </c>
      <c r="P100" s="30">
        <f t="shared" si="78"/>
        <v>117</v>
      </c>
      <c r="Q100" s="30">
        <f t="shared" si="78"/>
        <v>132</v>
      </c>
      <c r="R100" s="30">
        <f t="shared" si="78"/>
        <v>48</v>
      </c>
      <c r="S100" s="30">
        <f t="shared" si="78"/>
        <v>224</v>
      </c>
      <c r="T100" s="30">
        <f t="shared" si="78"/>
        <v>212</v>
      </c>
      <c r="U100" s="30">
        <f t="shared" si="78"/>
        <v>368</v>
      </c>
      <c r="V100" s="30">
        <f t="shared" si="78"/>
        <v>13</v>
      </c>
      <c r="W100" s="30">
        <f t="shared" si="78"/>
        <v>57</v>
      </c>
      <c r="X100" s="30">
        <f t="shared" si="78"/>
        <v>92</v>
      </c>
      <c r="Y100" s="30">
        <f>SUM(Y97:Y99)</f>
        <v>1706</v>
      </c>
    </row>
    <row r="103" spans="11:25" x14ac:dyDescent="0.3">
      <c r="K103" t="s">
        <v>98</v>
      </c>
      <c r="L103" s="5">
        <f t="shared" ref="L103:R103" si="79">L78*L87/10</f>
        <v>285000</v>
      </c>
      <c r="M103" s="5">
        <f t="shared" si="79"/>
        <v>1160000</v>
      </c>
      <c r="N103" s="5">
        <f t="shared" si="79"/>
        <v>400000</v>
      </c>
      <c r="O103" s="5">
        <f t="shared" si="79"/>
        <v>2520000</v>
      </c>
      <c r="P103" s="5">
        <f t="shared" si="79"/>
        <v>1560000</v>
      </c>
      <c r="Q103" s="5">
        <f t="shared" si="79"/>
        <v>1760000</v>
      </c>
      <c r="R103" s="5">
        <f t="shared" si="79"/>
        <v>640000</v>
      </c>
      <c r="S103" s="5">
        <f>S78*S87/15</f>
        <v>3733333.3333333335</v>
      </c>
      <c r="T103" s="5">
        <f>T78*T87/15</f>
        <v>1766666.6666666667</v>
      </c>
      <c r="U103" s="5">
        <f>U78*U87/15</f>
        <v>3066666.6666666665</v>
      </c>
      <c r="V103" s="5">
        <f>V78*V87/8</f>
        <v>130000</v>
      </c>
      <c r="W103" s="5">
        <f>W78*W87/8</f>
        <v>712500</v>
      </c>
      <c r="X103" s="5">
        <f>X78*X87/8</f>
        <v>575000</v>
      </c>
      <c r="Y103" s="5"/>
    </row>
    <row r="104" spans="11:25" x14ac:dyDescent="0.3">
      <c r="K104" t="s">
        <v>99</v>
      </c>
      <c r="L104" s="5">
        <f t="shared" ref="L104:X104" si="80">L86*16*5*49*L78</f>
        <v>2234400</v>
      </c>
      <c r="M104" s="5">
        <f t="shared" si="80"/>
        <v>6820800</v>
      </c>
      <c r="N104" s="5">
        <f t="shared" si="80"/>
        <v>1881600</v>
      </c>
      <c r="O104" s="5">
        <f t="shared" si="80"/>
        <v>9878400</v>
      </c>
      <c r="P104" s="5">
        <f t="shared" si="80"/>
        <v>7644000</v>
      </c>
      <c r="Q104" s="5">
        <f t="shared" si="80"/>
        <v>8624000</v>
      </c>
      <c r="R104" s="5">
        <f t="shared" si="80"/>
        <v>3136000</v>
      </c>
      <c r="S104" s="5">
        <f t="shared" si="80"/>
        <v>26342400</v>
      </c>
      <c r="T104" s="5">
        <f t="shared" si="80"/>
        <v>24931200</v>
      </c>
      <c r="U104" s="5">
        <f t="shared" si="80"/>
        <v>43276800</v>
      </c>
      <c r="V104" s="5">
        <f t="shared" si="80"/>
        <v>1019200</v>
      </c>
      <c r="W104" s="5">
        <f t="shared" si="80"/>
        <v>4468800</v>
      </c>
      <c r="X104" s="5">
        <f t="shared" si="80"/>
        <v>7212800</v>
      </c>
      <c r="Y104" s="5"/>
    </row>
    <row r="105" spans="11:25" x14ac:dyDescent="0.3"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8"/>
    </row>
    <row r="107" spans="11:25" x14ac:dyDescent="0.3">
      <c r="K107" s="29" t="s">
        <v>100</v>
      </c>
      <c r="L107" s="36">
        <f>SUM(L103:X103)</f>
        <v>18309166.666666668</v>
      </c>
    </row>
    <row r="108" spans="11:25" x14ac:dyDescent="0.3">
      <c r="K108" s="29" t="s">
        <v>87</v>
      </c>
      <c r="L108" s="36">
        <f>SUM(L104:X104)</f>
        <v>147470400</v>
      </c>
    </row>
    <row r="109" spans="11:25" x14ac:dyDescent="0.3">
      <c r="K109" s="47" t="s">
        <v>86</v>
      </c>
      <c r="L109" s="37">
        <f>882*344*250</f>
        <v>75852000</v>
      </c>
    </row>
    <row r="110" spans="11:25" x14ac:dyDescent="0.3">
      <c r="K110" s="29" t="s">
        <v>88</v>
      </c>
      <c r="L110" s="36">
        <f>SUM(L107:L109)</f>
        <v>241631566.66666666</v>
      </c>
    </row>
  </sheetData>
  <mergeCells count="4">
    <mergeCell ref="AA47:AD47"/>
    <mergeCell ref="AC69:AE69"/>
    <mergeCell ref="AC70:AE70"/>
    <mergeCell ref="AK42:AL42"/>
  </mergeCells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FEA2-26F3-4DDD-BD45-713D7BEBE2B2}">
  <dimension ref="A1:AM110"/>
  <sheetViews>
    <sheetView topLeftCell="H97" zoomScale="59" zoomScaleNormal="85" workbookViewId="0">
      <selection activeCell="AV22" sqref="AV22"/>
    </sheetView>
  </sheetViews>
  <sheetFormatPr defaultRowHeight="16.2" x14ac:dyDescent="0.3"/>
  <cols>
    <col min="11" max="11" width="19.5546875" customWidth="1"/>
    <col min="12" max="12" width="15.88671875" bestFit="1" customWidth="1"/>
    <col min="13" max="24" width="12.77734375" bestFit="1" customWidth="1"/>
    <col min="25" max="25" width="13.6640625" bestFit="1" customWidth="1"/>
    <col min="32" max="32" width="17.21875" customWidth="1"/>
  </cols>
  <sheetData>
    <row r="1" spans="1:39" x14ac:dyDescent="0.3">
      <c r="A1" t="s">
        <v>0</v>
      </c>
      <c r="B1" t="s">
        <v>89</v>
      </c>
      <c r="C1" t="s">
        <v>55</v>
      </c>
      <c r="D1" t="s">
        <v>54</v>
      </c>
      <c r="E1" t="s">
        <v>1</v>
      </c>
      <c r="F1" t="s">
        <v>56</v>
      </c>
      <c r="G1" t="s">
        <v>57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Z1" s="45" t="s">
        <v>72</v>
      </c>
      <c r="AA1" s="45" t="s">
        <v>3</v>
      </c>
      <c r="AB1" s="45" t="s">
        <v>4</v>
      </c>
      <c r="AC1" s="45" t="s">
        <v>5</v>
      </c>
      <c r="AD1" s="45" t="s">
        <v>6</v>
      </c>
      <c r="AE1" s="45" t="s">
        <v>7</v>
      </c>
      <c r="AF1" s="45" t="s">
        <v>8</v>
      </c>
      <c r="AG1" s="45" t="s">
        <v>9</v>
      </c>
      <c r="AH1" s="45" t="s">
        <v>10</v>
      </c>
      <c r="AI1" s="45" t="s">
        <v>11</v>
      </c>
      <c r="AJ1" s="45" t="s">
        <v>12</v>
      </c>
      <c r="AK1" s="45" t="s">
        <v>13</v>
      </c>
      <c r="AL1" s="45" t="s">
        <v>14</v>
      </c>
      <c r="AM1" s="45" t="s">
        <v>15</v>
      </c>
    </row>
    <row r="2" spans="1:39" x14ac:dyDescent="0.3">
      <c r="A2" t="s">
        <v>16</v>
      </c>
      <c r="B2">
        <v>1419600</v>
      </c>
      <c r="C2">
        <v>1958.0700859618</v>
      </c>
      <c r="D2">
        <v>35233.449999999997</v>
      </c>
      <c r="E2">
        <v>12.75</v>
      </c>
      <c r="F2">
        <v>412381.59239924198</v>
      </c>
      <c r="G2">
        <v>509327.0833</v>
      </c>
      <c r="K2" s="1" t="s">
        <v>16</v>
      </c>
      <c r="L2">
        <v>1</v>
      </c>
      <c r="M2">
        <v>5</v>
      </c>
      <c r="N2">
        <v>0.5</v>
      </c>
      <c r="O2">
        <v>2.5</v>
      </c>
      <c r="P2">
        <v>0</v>
      </c>
      <c r="Q2">
        <v>0</v>
      </c>
      <c r="R2">
        <v>0</v>
      </c>
      <c r="S2">
        <v>0</v>
      </c>
      <c r="T2">
        <v>1.25</v>
      </c>
      <c r="U2">
        <v>2.5</v>
      </c>
      <c r="V2">
        <v>0</v>
      </c>
      <c r="W2">
        <v>0</v>
      </c>
      <c r="X2">
        <v>0</v>
      </c>
      <c r="Z2" s="45" t="s">
        <v>58</v>
      </c>
      <c r="AA2" s="46">
        <v>0</v>
      </c>
      <c r="AB2" s="46">
        <v>146</v>
      </c>
      <c r="AC2" s="46">
        <v>311</v>
      </c>
      <c r="AD2" s="46">
        <v>0</v>
      </c>
      <c r="AE2" s="46">
        <v>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</row>
    <row r="3" spans="1:39" x14ac:dyDescent="0.3">
      <c r="A3" t="s">
        <v>17</v>
      </c>
      <c r="B3">
        <v>795600</v>
      </c>
      <c r="C3">
        <v>1153.3396324120199</v>
      </c>
      <c r="D3">
        <v>19629.8</v>
      </c>
      <c r="E3">
        <v>7.75</v>
      </c>
      <c r="F3">
        <v>141598.746671361</v>
      </c>
      <c r="G3">
        <v>172484.07029999999</v>
      </c>
      <c r="K3" s="1" t="s">
        <v>17</v>
      </c>
      <c r="L3">
        <v>1.25</v>
      </c>
      <c r="M3">
        <v>0</v>
      </c>
      <c r="N3">
        <v>0.5</v>
      </c>
      <c r="O3">
        <v>2.5</v>
      </c>
      <c r="P3">
        <v>0</v>
      </c>
      <c r="Q3">
        <v>0</v>
      </c>
      <c r="R3">
        <v>0</v>
      </c>
      <c r="S3">
        <v>1</v>
      </c>
      <c r="T3">
        <v>0</v>
      </c>
      <c r="U3">
        <v>2.5</v>
      </c>
      <c r="V3">
        <v>0</v>
      </c>
      <c r="W3">
        <v>0</v>
      </c>
      <c r="X3">
        <v>0</v>
      </c>
      <c r="Z3" s="45" t="s">
        <v>59</v>
      </c>
      <c r="AA3" s="46">
        <v>146</v>
      </c>
      <c r="AB3" s="46">
        <v>0</v>
      </c>
      <c r="AC3" s="46">
        <v>165</v>
      </c>
      <c r="AD3" s="46">
        <v>357</v>
      </c>
      <c r="AE3" s="46">
        <v>0</v>
      </c>
      <c r="AF3" s="46">
        <v>0</v>
      </c>
      <c r="AG3" s="46">
        <v>0</v>
      </c>
      <c r="AH3" s="46">
        <v>0</v>
      </c>
      <c r="AI3" s="46">
        <v>0</v>
      </c>
      <c r="AJ3" s="46">
        <v>0</v>
      </c>
      <c r="AK3" s="46">
        <v>0</v>
      </c>
      <c r="AL3" s="46">
        <v>0</v>
      </c>
      <c r="AM3" s="46">
        <v>0</v>
      </c>
    </row>
    <row r="4" spans="1:39" x14ac:dyDescent="0.3">
      <c r="A4" t="s">
        <v>18</v>
      </c>
      <c r="B4">
        <v>884000</v>
      </c>
      <c r="C4">
        <v>1181.7522843381601</v>
      </c>
      <c r="D4">
        <v>11450.95</v>
      </c>
      <c r="E4">
        <v>9.5</v>
      </c>
      <c r="F4">
        <v>190417.925553573</v>
      </c>
      <c r="G4">
        <v>123337.8968</v>
      </c>
      <c r="K4" s="1" t="s">
        <v>18</v>
      </c>
      <c r="L4">
        <v>0</v>
      </c>
      <c r="M4">
        <v>1.75</v>
      </c>
      <c r="N4">
        <v>0.75</v>
      </c>
      <c r="O4">
        <v>3</v>
      </c>
      <c r="P4">
        <v>0</v>
      </c>
      <c r="Q4">
        <v>0</v>
      </c>
      <c r="R4">
        <v>0</v>
      </c>
      <c r="S4">
        <v>0</v>
      </c>
      <c r="T4">
        <v>1.5</v>
      </c>
      <c r="U4">
        <v>2.5</v>
      </c>
      <c r="V4">
        <v>0</v>
      </c>
      <c r="W4">
        <v>0</v>
      </c>
      <c r="X4">
        <v>0</v>
      </c>
      <c r="Z4" s="45" t="s">
        <v>60</v>
      </c>
      <c r="AA4" s="46">
        <v>0</v>
      </c>
      <c r="AB4" s="46">
        <v>0</v>
      </c>
      <c r="AC4" s="46">
        <v>0</v>
      </c>
      <c r="AD4" s="46">
        <v>193</v>
      </c>
      <c r="AE4" s="46">
        <v>0</v>
      </c>
      <c r="AF4" s="46">
        <v>0</v>
      </c>
      <c r="AG4" s="46">
        <v>0</v>
      </c>
      <c r="AH4" s="46">
        <v>0</v>
      </c>
      <c r="AI4" s="46">
        <f>236+211</f>
        <v>447</v>
      </c>
      <c r="AJ4" s="46">
        <v>0</v>
      </c>
      <c r="AK4" s="46">
        <v>0</v>
      </c>
      <c r="AL4" s="46">
        <v>0</v>
      </c>
      <c r="AM4" s="46">
        <v>0</v>
      </c>
    </row>
    <row r="5" spans="1:39" x14ac:dyDescent="0.3">
      <c r="A5" t="s">
        <v>19</v>
      </c>
      <c r="B5">
        <v>546000</v>
      </c>
      <c r="C5">
        <v>941.86802929889495</v>
      </c>
      <c r="D5">
        <v>15248.3</v>
      </c>
      <c r="E5">
        <v>7.5</v>
      </c>
      <c r="F5">
        <v>96945.684524579599</v>
      </c>
      <c r="G5">
        <v>129662.41499999999</v>
      </c>
      <c r="K5" s="1" t="s">
        <v>19</v>
      </c>
      <c r="L5">
        <v>1</v>
      </c>
      <c r="M5">
        <v>2</v>
      </c>
      <c r="N5">
        <v>0</v>
      </c>
      <c r="O5">
        <v>3</v>
      </c>
      <c r="P5">
        <v>0</v>
      </c>
      <c r="Q5">
        <v>0</v>
      </c>
      <c r="R5">
        <v>0.25</v>
      </c>
      <c r="S5">
        <v>1.25</v>
      </c>
      <c r="T5">
        <v>0</v>
      </c>
      <c r="U5">
        <v>0</v>
      </c>
      <c r="V5">
        <v>0</v>
      </c>
      <c r="W5">
        <v>0</v>
      </c>
      <c r="X5">
        <v>0</v>
      </c>
      <c r="Z5" s="45" t="s">
        <v>61</v>
      </c>
      <c r="AA5" s="46">
        <v>0</v>
      </c>
      <c r="AB5" s="46">
        <v>0</v>
      </c>
      <c r="AC5" s="46">
        <v>193</v>
      </c>
      <c r="AD5" s="46">
        <v>0</v>
      </c>
      <c r="AE5" s="46">
        <v>0</v>
      </c>
      <c r="AF5" s="46">
        <v>0</v>
      </c>
      <c r="AG5" s="46">
        <v>89</v>
      </c>
      <c r="AH5" s="46">
        <f>209+219</f>
        <v>428</v>
      </c>
      <c r="AI5" s="46">
        <f>428+209</f>
        <v>637</v>
      </c>
      <c r="AJ5" s="46">
        <v>0</v>
      </c>
      <c r="AK5" s="46">
        <v>0</v>
      </c>
      <c r="AL5" s="46">
        <v>0</v>
      </c>
      <c r="AM5" s="46">
        <v>0</v>
      </c>
    </row>
    <row r="6" spans="1:39" x14ac:dyDescent="0.3">
      <c r="A6" t="s">
        <v>20</v>
      </c>
      <c r="B6">
        <v>509600</v>
      </c>
      <c r="C6">
        <v>867.57841587507596</v>
      </c>
      <c r="D6">
        <v>11059.5</v>
      </c>
      <c r="E6">
        <v>7.5</v>
      </c>
      <c r="F6">
        <v>90260.504300531597</v>
      </c>
      <c r="G6">
        <v>94043.36735</v>
      </c>
      <c r="K6" s="1" t="s">
        <v>20</v>
      </c>
      <c r="L6">
        <v>0</v>
      </c>
      <c r="M6">
        <v>1.5</v>
      </c>
      <c r="N6">
        <v>0.75</v>
      </c>
      <c r="O6">
        <v>3.5</v>
      </c>
      <c r="P6">
        <v>0</v>
      </c>
      <c r="Q6">
        <v>0</v>
      </c>
      <c r="R6">
        <v>0</v>
      </c>
      <c r="S6">
        <v>0</v>
      </c>
      <c r="T6">
        <v>1.75</v>
      </c>
      <c r="U6">
        <v>0</v>
      </c>
      <c r="V6">
        <v>0</v>
      </c>
      <c r="W6">
        <v>0</v>
      </c>
      <c r="X6">
        <v>0</v>
      </c>
      <c r="Z6" s="45" t="s">
        <v>62</v>
      </c>
      <c r="AA6" s="46">
        <v>0</v>
      </c>
      <c r="AB6" s="46">
        <v>0</v>
      </c>
      <c r="AC6" s="46">
        <v>0</v>
      </c>
      <c r="AD6" s="46">
        <v>0</v>
      </c>
      <c r="AE6" s="46">
        <v>0</v>
      </c>
      <c r="AF6" s="46">
        <v>282</v>
      </c>
      <c r="AG6" s="46">
        <v>485</v>
      </c>
      <c r="AH6" s="46">
        <f>633+131</f>
        <v>764</v>
      </c>
      <c r="AI6" s="46">
        <v>0</v>
      </c>
      <c r="AJ6" s="46">
        <v>0</v>
      </c>
      <c r="AK6" s="46">
        <v>0</v>
      </c>
      <c r="AL6" s="46">
        <v>0</v>
      </c>
      <c r="AM6" s="46">
        <v>0</v>
      </c>
    </row>
    <row r="7" spans="1:39" x14ac:dyDescent="0.3">
      <c r="A7" t="s">
        <v>21</v>
      </c>
      <c r="B7">
        <v>514800</v>
      </c>
      <c r="C7">
        <v>869.68163936359701</v>
      </c>
      <c r="D7">
        <v>7810.2</v>
      </c>
      <c r="E7">
        <v>10.5</v>
      </c>
      <c r="F7">
        <v>127471.590240027</v>
      </c>
      <c r="G7">
        <v>92978.571429999996</v>
      </c>
      <c r="K7" s="1" t="s">
        <v>21</v>
      </c>
      <c r="L7">
        <v>0.75</v>
      </c>
      <c r="M7">
        <v>1.25</v>
      </c>
      <c r="N7">
        <v>0.5</v>
      </c>
      <c r="O7">
        <v>3</v>
      </c>
      <c r="P7">
        <v>0</v>
      </c>
      <c r="Q7">
        <v>0</v>
      </c>
      <c r="R7">
        <v>0</v>
      </c>
      <c r="S7">
        <v>1</v>
      </c>
      <c r="T7">
        <v>1.25</v>
      </c>
      <c r="U7">
        <v>2.75</v>
      </c>
      <c r="V7">
        <v>0</v>
      </c>
      <c r="W7">
        <v>0</v>
      </c>
      <c r="X7">
        <v>0</v>
      </c>
      <c r="Z7" s="45" t="s">
        <v>63</v>
      </c>
      <c r="AA7" s="46">
        <v>0</v>
      </c>
      <c r="AB7" s="46">
        <v>0</v>
      </c>
      <c r="AC7" s="46">
        <v>89</v>
      </c>
      <c r="AD7" s="46">
        <v>0</v>
      </c>
      <c r="AE7" s="46">
        <v>0</v>
      </c>
      <c r="AF7" s="46">
        <v>0</v>
      </c>
      <c r="AG7" s="46">
        <v>202</v>
      </c>
      <c r="AH7" s="46">
        <v>350</v>
      </c>
      <c r="AI7" s="46">
        <f>287+123</f>
        <v>410</v>
      </c>
      <c r="AJ7" s="46">
        <v>0</v>
      </c>
      <c r="AK7" s="46">
        <v>0</v>
      </c>
      <c r="AL7" s="46">
        <v>0</v>
      </c>
      <c r="AM7" s="46">
        <v>0</v>
      </c>
    </row>
    <row r="8" spans="1:39" x14ac:dyDescent="0.3">
      <c r="A8" t="s">
        <v>22</v>
      </c>
      <c r="B8">
        <v>878800</v>
      </c>
      <c r="C8">
        <v>1453.1795378516599</v>
      </c>
      <c r="D8">
        <v>21383.4</v>
      </c>
      <c r="E8">
        <v>10</v>
      </c>
      <c r="F8">
        <v>206431.42436915901</v>
      </c>
      <c r="G8">
        <v>242442.17689999999</v>
      </c>
      <c r="K8" s="1" t="s">
        <v>22</v>
      </c>
      <c r="L8">
        <v>0</v>
      </c>
      <c r="M8">
        <v>0</v>
      </c>
      <c r="N8">
        <v>0.75</v>
      </c>
      <c r="O8">
        <v>3.5</v>
      </c>
      <c r="P8">
        <v>1</v>
      </c>
      <c r="Q8">
        <v>1.5</v>
      </c>
      <c r="R8">
        <v>0</v>
      </c>
      <c r="S8">
        <v>0</v>
      </c>
      <c r="T8">
        <v>1.25</v>
      </c>
      <c r="U8">
        <v>2</v>
      </c>
      <c r="V8">
        <v>0</v>
      </c>
      <c r="W8">
        <v>0</v>
      </c>
      <c r="X8">
        <v>0</v>
      </c>
      <c r="Z8" s="45" t="s">
        <v>64</v>
      </c>
      <c r="AA8" s="46">
        <v>0</v>
      </c>
      <c r="AB8" s="46">
        <v>0</v>
      </c>
      <c r="AC8" s="46">
        <v>0</v>
      </c>
      <c r="AD8" s="46">
        <v>0</v>
      </c>
      <c r="AE8" s="46">
        <f>489</f>
        <v>489</v>
      </c>
      <c r="AF8" s="46">
        <v>202</v>
      </c>
      <c r="AG8" s="46">
        <v>0</v>
      </c>
      <c r="AH8" s="46">
        <f>148+131</f>
        <v>279</v>
      </c>
      <c r="AI8" s="46">
        <f>489+121</f>
        <v>610</v>
      </c>
      <c r="AJ8" s="46">
        <v>0</v>
      </c>
      <c r="AK8" s="46">
        <v>0</v>
      </c>
      <c r="AL8" s="46">
        <v>0</v>
      </c>
      <c r="AM8" s="46">
        <v>0</v>
      </c>
    </row>
    <row r="9" spans="1:39" x14ac:dyDescent="0.3">
      <c r="A9" t="s">
        <v>23</v>
      </c>
      <c r="B9">
        <v>826800</v>
      </c>
      <c r="C9">
        <v>1194.61934716267</v>
      </c>
      <c r="D9">
        <v>8377.6</v>
      </c>
      <c r="E9">
        <v>4.75</v>
      </c>
      <c r="F9">
        <v>90141.393724788402</v>
      </c>
      <c r="G9">
        <v>45117.460319999998</v>
      </c>
      <c r="K9" s="1" t="s">
        <v>23</v>
      </c>
      <c r="L9">
        <v>0</v>
      </c>
      <c r="M9">
        <v>0</v>
      </c>
      <c r="N9">
        <v>0</v>
      </c>
      <c r="O9">
        <v>0</v>
      </c>
      <c r="P9">
        <v>1.25</v>
      </c>
      <c r="Q9">
        <v>0</v>
      </c>
      <c r="R9">
        <v>0</v>
      </c>
      <c r="S9">
        <v>2</v>
      </c>
      <c r="T9">
        <v>1</v>
      </c>
      <c r="U9">
        <v>0.5</v>
      </c>
      <c r="V9">
        <v>0</v>
      </c>
      <c r="W9">
        <v>0</v>
      </c>
      <c r="X9">
        <v>0</v>
      </c>
      <c r="Z9" s="45" t="s">
        <v>65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f>636</f>
        <v>636</v>
      </c>
      <c r="AJ9" s="46">
        <f>317</f>
        <v>317</v>
      </c>
      <c r="AK9" s="46">
        <v>0</v>
      </c>
      <c r="AL9" s="46">
        <v>0</v>
      </c>
      <c r="AM9" s="46">
        <v>0</v>
      </c>
    </row>
    <row r="10" spans="1:39" x14ac:dyDescent="0.3">
      <c r="A10" t="s">
        <v>24</v>
      </c>
      <c r="B10">
        <v>639600</v>
      </c>
      <c r="C10">
        <v>969.63514153124004</v>
      </c>
      <c r="D10">
        <v>13332</v>
      </c>
      <c r="E10">
        <v>8.5</v>
      </c>
      <c r="F10">
        <v>125779.724196109</v>
      </c>
      <c r="G10">
        <v>128482.9932</v>
      </c>
      <c r="K10" s="1" t="s">
        <v>24</v>
      </c>
      <c r="L10">
        <v>0</v>
      </c>
      <c r="M10">
        <v>0</v>
      </c>
      <c r="N10">
        <v>0</v>
      </c>
      <c r="O10">
        <v>0</v>
      </c>
      <c r="P10">
        <v>1.25</v>
      </c>
      <c r="Q10">
        <v>1.75</v>
      </c>
      <c r="R10">
        <v>1.25</v>
      </c>
      <c r="S10">
        <v>0</v>
      </c>
      <c r="T10">
        <v>1.25</v>
      </c>
      <c r="U10">
        <v>3</v>
      </c>
      <c r="V10">
        <v>0</v>
      </c>
      <c r="W10">
        <v>0</v>
      </c>
      <c r="X10">
        <v>0</v>
      </c>
      <c r="Z10" s="45" t="s">
        <v>66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f>319</f>
        <v>319</v>
      </c>
      <c r="AK10" s="46">
        <v>0</v>
      </c>
      <c r="AL10" s="46">
        <v>0</v>
      </c>
      <c r="AM10" s="46">
        <v>0</v>
      </c>
    </row>
    <row r="11" spans="1:39" x14ac:dyDescent="0.3">
      <c r="A11" t="s">
        <v>25</v>
      </c>
      <c r="B11">
        <v>374400</v>
      </c>
      <c r="C11">
        <v>530.96428968724103</v>
      </c>
      <c r="D11">
        <v>8151.4</v>
      </c>
      <c r="E11">
        <v>6.5</v>
      </c>
      <c r="F11">
        <v>55689.876947343699</v>
      </c>
      <c r="G11">
        <v>60072.675739999999</v>
      </c>
      <c r="K11" s="1" t="s">
        <v>25</v>
      </c>
      <c r="L11">
        <v>0</v>
      </c>
      <c r="M11">
        <v>0</v>
      </c>
      <c r="N11">
        <v>0</v>
      </c>
      <c r="O11">
        <v>0</v>
      </c>
      <c r="P11">
        <v>1.5</v>
      </c>
      <c r="Q11">
        <v>1.75</v>
      </c>
      <c r="R11">
        <v>0</v>
      </c>
      <c r="S11">
        <v>0</v>
      </c>
      <c r="T11">
        <v>1.25</v>
      </c>
      <c r="U11">
        <v>2</v>
      </c>
      <c r="V11">
        <v>0</v>
      </c>
      <c r="W11">
        <v>0</v>
      </c>
      <c r="X11">
        <v>0</v>
      </c>
      <c r="Z11" s="45" t="s">
        <v>67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6">
        <v>0</v>
      </c>
      <c r="AG11" s="46">
        <v>0</v>
      </c>
      <c r="AH11" s="46">
        <v>0</v>
      </c>
      <c r="AI11" s="46">
        <v>319</v>
      </c>
      <c r="AJ11" s="46">
        <v>0</v>
      </c>
      <c r="AK11" s="46">
        <v>0</v>
      </c>
      <c r="AL11" s="46">
        <v>0</v>
      </c>
      <c r="AM11" s="46">
        <v>0</v>
      </c>
    </row>
    <row r="12" spans="1:39" x14ac:dyDescent="0.3">
      <c r="A12" t="s">
        <v>26</v>
      </c>
      <c r="B12">
        <v>977600</v>
      </c>
      <c r="C12">
        <v>1495.63467361621</v>
      </c>
      <c r="D12">
        <v>15620.4</v>
      </c>
      <c r="E12">
        <v>4</v>
      </c>
      <c r="F12">
        <v>90609.998478817695</v>
      </c>
      <c r="G12">
        <v>70840.816330000001</v>
      </c>
      <c r="K12" s="1" t="s">
        <v>26</v>
      </c>
      <c r="L12">
        <v>0</v>
      </c>
      <c r="M12">
        <v>0</v>
      </c>
      <c r="N12">
        <v>0</v>
      </c>
      <c r="O12">
        <v>0</v>
      </c>
      <c r="P12">
        <v>2.5</v>
      </c>
      <c r="Q12">
        <v>0</v>
      </c>
      <c r="R12">
        <v>0.75</v>
      </c>
      <c r="S12">
        <v>0</v>
      </c>
      <c r="T12">
        <v>0.75</v>
      </c>
      <c r="U12">
        <v>0</v>
      </c>
      <c r="V12">
        <v>0</v>
      </c>
      <c r="W12">
        <v>0</v>
      </c>
      <c r="X12">
        <v>0</v>
      </c>
      <c r="Z12" s="45" t="s">
        <v>68</v>
      </c>
      <c r="AA12" s="46">
        <v>0</v>
      </c>
      <c r="AB12" s="46">
        <v>0</v>
      </c>
      <c r="AC12" s="46">
        <v>0</v>
      </c>
      <c r="AD12" s="46">
        <v>0</v>
      </c>
      <c r="AE12" s="46">
        <v>0</v>
      </c>
      <c r="AF12" s="46">
        <v>0</v>
      </c>
      <c r="AG12" s="46">
        <v>0</v>
      </c>
      <c r="AH12" s="46">
        <v>0</v>
      </c>
      <c r="AI12" s="46">
        <v>0</v>
      </c>
      <c r="AJ12" s="46">
        <v>0</v>
      </c>
      <c r="AK12" s="46">
        <v>0</v>
      </c>
      <c r="AL12" s="46">
        <v>85.5</v>
      </c>
      <c r="AM12" s="46">
        <v>95</v>
      </c>
    </row>
    <row r="13" spans="1:39" x14ac:dyDescent="0.3">
      <c r="A13" t="s">
        <v>27</v>
      </c>
      <c r="B13">
        <v>1128400</v>
      </c>
      <c r="C13">
        <v>1580.22637132006</v>
      </c>
      <c r="D13">
        <v>18947.400000000001</v>
      </c>
      <c r="E13">
        <v>6</v>
      </c>
      <c r="F13">
        <v>154622.36036092101</v>
      </c>
      <c r="G13">
        <v>128893.87760000001</v>
      </c>
      <c r="K13" s="1" t="s">
        <v>27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0.5</v>
      </c>
      <c r="S13">
        <v>0</v>
      </c>
      <c r="T13">
        <v>1.25</v>
      </c>
      <c r="U13">
        <v>2.25</v>
      </c>
      <c r="V13">
        <v>0</v>
      </c>
      <c r="W13">
        <v>0</v>
      </c>
      <c r="X13">
        <v>0</v>
      </c>
      <c r="Z13" s="45" t="s">
        <v>69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  <c r="AI13" s="46">
        <v>0</v>
      </c>
      <c r="AJ13" s="46">
        <v>0</v>
      </c>
      <c r="AK13" s="46">
        <v>85.5</v>
      </c>
      <c r="AL13" s="46">
        <v>0</v>
      </c>
      <c r="AM13" s="46">
        <f>85.5+95</f>
        <v>180.5</v>
      </c>
    </row>
    <row r="14" spans="1:39" x14ac:dyDescent="0.3">
      <c r="A14" t="s">
        <v>28</v>
      </c>
      <c r="B14">
        <v>551200</v>
      </c>
      <c r="C14">
        <v>801.44100987389697</v>
      </c>
      <c r="D14">
        <v>9473.7000000000007</v>
      </c>
      <c r="E14">
        <v>7.5</v>
      </c>
      <c r="F14">
        <v>94982.814287242494</v>
      </c>
      <c r="G14">
        <v>80558.673469999994</v>
      </c>
      <c r="K14" s="1" t="s">
        <v>28</v>
      </c>
      <c r="L14">
        <v>0</v>
      </c>
      <c r="M14">
        <v>0</v>
      </c>
      <c r="N14">
        <v>0</v>
      </c>
      <c r="O14">
        <v>0</v>
      </c>
      <c r="P14">
        <v>1.25</v>
      </c>
      <c r="Q14">
        <v>2.25</v>
      </c>
      <c r="R14">
        <v>0.75</v>
      </c>
      <c r="S14">
        <v>2</v>
      </c>
      <c r="T14">
        <v>1.25</v>
      </c>
      <c r="U14">
        <v>0</v>
      </c>
      <c r="V14">
        <v>0</v>
      </c>
      <c r="W14">
        <v>0</v>
      </c>
      <c r="X14">
        <v>0</v>
      </c>
      <c r="Z14" s="45" t="s">
        <v>70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  <c r="AH14" s="46">
        <v>0</v>
      </c>
      <c r="AI14" s="46">
        <v>0</v>
      </c>
      <c r="AJ14" s="46">
        <v>0</v>
      </c>
      <c r="AK14" s="46">
        <v>0</v>
      </c>
      <c r="AL14" s="46">
        <f>180.5</f>
        <v>180.5</v>
      </c>
      <c r="AM14" s="46">
        <v>0</v>
      </c>
    </row>
    <row r="15" spans="1:39" x14ac:dyDescent="0.3">
      <c r="A15" t="s">
        <v>29</v>
      </c>
      <c r="B15">
        <v>1310400</v>
      </c>
      <c r="C15">
        <v>1602.4020430879</v>
      </c>
      <c r="D15">
        <v>28212.5</v>
      </c>
      <c r="E15">
        <v>4.75</v>
      </c>
      <c r="F15">
        <v>139305.69215859901</v>
      </c>
      <c r="G15">
        <v>151938.06690000001</v>
      </c>
      <c r="K15" s="1" t="s">
        <v>29</v>
      </c>
      <c r="L15">
        <v>0</v>
      </c>
      <c r="M15">
        <v>0</v>
      </c>
      <c r="N15">
        <v>0</v>
      </c>
      <c r="O15">
        <v>0</v>
      </c>
      <c r="P15">
        <v>1</v>
      </c>
      <c r="Q15">
        <v>1.5</v>
      </c>
      <c r="R15">
        <v>0.5</v>
      </c>
      <c r="S15">
        <v>1.75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39" x14ac:dyDescent="0.3">
      <c r="A16" t="s">
        <v>30</v>
      </c>
      <c r="B16">
        <v>400400</v>
      </c>
      <c r="C16">
        <v>642.86019535294804</v>
      </c>
      <c r="D16">
        <v>4188.8</v>
      </c>
      <c r="E16">
        <v>7.5</v>
      </c>
      <c r="F16">
        <v>70169.235969564703</v>
      </c>
      <c r="G16">
        <v>35619.047619999998</v>
      </c>
      <c r="K16" s="1" t="s">
        <v>30</v>
      </c>
      <c r="L16">
        <v>0</v>
      </c>
      <c r="M16">
        <v>0</v>
      </c>
      <c r="N16">
        <v>0</v>
      </c>
      <c r="O16">
        <v>0</v>
      </c>
      <c r="P16">
        <v>0.75</v>
      </c>
      <c r="Q16">
        <v>1.25</v>
      </c>
      <c r="R16">
        <v>0.5</v>
      </c>
      <c r="S16">
        <v>2.5</v>
      </c>
      <c r="T16">
        <v>0</v>
      </c>
      <c r="U16">
        <v>2.5</v>
      </c>
      <c r="V16">
        <v>0</v>
      </c>
      <c r="W16">
        <v>0</v>
      </c>
      <c r="X16">
        <v>0</v>
      </c>
    </row>
    <row r="17" spans="1:39" x14ac:dyDescent="0.3">
      <c r="A17" t="s">
        <v>31</v>
      </c>
      <c r="B17">
        <v>681200</v>
      </c>
      <c r="C17">
        <v>1622.0239019390301</v>
      </c>
      <c r="D17">
        <v>19846.5</v>
      </c>
      <c r="E17">
        <v>10</v>
      </c>
      <c r="F17">
        <v>172780.56697671299</v>
      </c>
      <c r="G17">
        <v>225017.0068</v>
      </c>
      <c r="K17" s="1" t="s">
        <v>31</v>
      </c>
      <c r="L17">
        <v>0</v>
      </c>
      <c r="M17">
        <v>0</v>
      </c>
      <c r="N17">
        <v>0</v>
      </c>
      <c r="O17">
        <v>0</v>
      </c>
      <c r="P17">
        <v>0</v>
      </c>
      <c r="Q17">
        <v>1.25</v>
      </c>
      <c r="R17">
        <v>0</v>
      </c>
      <c r="S17">
        <v>5</v>
      </c>
      <c r="T17">
        <v>1.25</v>
      </c>
      <c r="U17">
        <v>2.5</v>
      </c>
      <c r="V17">
        <v>0</v>
      </c>
      <c r="W17">
        <v>0</v>
      </c>
      <c r="X17">
        <v>0</v>
      </c>
      <c r="Z17" s="2" t="s">
        <v>73</v>
      </c>
      <c r="AA17" s="2" t="s">
        <v>3</v>
      </c>
      <c r="AB17" s="2" t="s">
        <v>4</v>
      </c>
      <c r="AC17" s="2" t="s">
        <v>5</v>
      </c>
      <c r="AD17" s="2" t="s">
        <v>6</v>
      </c>
      <c r="AE17" s="2" t="s">
        <v>7</v>
      </c>
      <c r="AF17" s="2" t="s">
        <v>8</v>
      </c>
      <c r="AG17" s="2" t="s">
        <v>9</v>
      </c>
      <c r="AH17" s="2" t="s">
        <v>10</v>
      </c>
      <c r="AI17" s="2" t="s">
        <v>11</v>
      </c>
      <c r="AJ17" s="2" t="s">
        <v>12</v>
      </c>
      <c r="AK17" s="2" t="s">
        <v>13</v>
      </c>
      <c r="AL17" s="2" t="s">
        <v>14</v>
      </c>
      <c r="AM17" s="2" t="s">
        <v>15</v>
      </c>
    </row>
    <row r="18" spans="1:39" x14ac:dyDescent="0.3">
      <c r="A18" t="s">
        <v>32</v>
      </c>
      <c r="B18">
        <v>681200</v>
      </c>
      <c r="C18">
        <v>862.13063439900498</v>
      </c>
      <c r="D18">
        <v>9473.7000000000007</v>
      </c>
      <c r="E18">
        <v>7.25</v>
      </c>
      <c r="F18">
        <v>111075.08479889799</v>
      </c>
      <c r="G18">
        <v>77873.384349999993</v>
      </c>
      <c r="K18" s="1" t="s">
        <v>32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0.75</v>
      </c>
      <c r="W18">
        <v>3</v>
      </c>
      <c r="X18">
        <v>3.5</v>
      </c>
      <c r="Z18" s="1" t="s">
        <v>16</v>
      </c>
      <c r="AA18">
        <f>L2*$D$2</f>
        <v>35233.449999999997</v>
      </c>
      <c r="AB18">
        <f t="shared" ref="AB18:AM18" si="0">M2*$D$2</f>
        <v>176167.25</v>
      </c>
      <c r="AC18">
        <f t="shared" si="0"/>
        <v>17616.724999999999</v>
      </c>
      <c r="AD18">
        <f t="shared" si="0"/>
        <v>88083.625</v>
      </c>
      <c r="AE18">
        <f t="shared" si="0"/>
        <v>0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44041.8125</v>
      </c>
      <c r="AJ18">
        <f t="shared" si="0"/>
        <v>88083.625</v>
      </c>
      <c r="AK18">
        <f t="shared" si="0"/>
        <v>0</v>
      </c>
      <c r="AL18">
        <f t="shared" si="0"/>
        <v>0</v>
      </c>
      <c r="AM18">
        <f t="shared" si="0"/>
        <v>0</v>
      </c>
    </row>
    <row r="19" spans="1:39" x14ac:dyDescent="0.3">
      <c r="A19" t="s">
        <v>33</v>
      </c>
      <c r="B19">
        <v>998400</v>
      </c>
      <c r="C19">
        <v>1435.1360160679401</v>
      </c>
      <c r="D19">
        <v>21219.9</v>
      </c>
      <c r="E19">
        <v>6.25</v>
      </c>
      <c r="F19">
        <v>143104.158779789</v>
      </c>
      <c r="G19">
        <v>150367.7721</v>
      </c>
      <c r="K19" s="1" t="s">
        <v>33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1.25</v>
      </c>
      <c r="W19">
        <v>1.25</v>
      </c>
      <c r="X19">
        <v>3.75</v>
      </c>
      <c r="Z19" s="1" t="s">
        <v>17</v>
      </c>
      <c r="AA19">
        <f>L3*$D$3</f>
        <v>24537.25</v>
      </c>
      <c r="AB19">
        <f t="shared" ref="AB19:AM19" si="1">M3*$D$3</f>
        <v>0</v>
      </c>
      <c r="AC19">
        <f t="shared" si="1"/>
        <v>9814.9</v>
      </c>
      <c r="AD19">
        <f t="shared" si="1"/>
        <v>49074.5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19629.8</v>
      </c>
      <c r="AI19">
        <f t="shared" si="1"/>
        <v>0</v>
      </c>
      <c r="AJ19">
        <f t="shared" si="1"/>
        <v>49074.5</v>
      </c>
      <c r="AK19">
        <f t="shared" si="1"/>
        <v>0</v>
      </c>
      <c r="AL19">
        <f t="shared" si="1"/>
        <v>0</v>
      </c>
      <c r="AM19">
        <f t="shared" si="1"/>
        <v>0</v>
      </c>
    </row>
    <row r="20" spans="1:39" x14ac:dyDescent="0.3">
      <c r="A20" t="s">
        <v>34</v>
      </c>
      <c r="B20">
        <v>1435200</v>
      </c>
      <c r="C20">
        <v>2005.66505371467</v>
      </c>
      <c r="D20">
        <v>33569.949999999997</v>
      </c>
      <c r="E20">
        <v>10.5</v>
      </c>
      <c r="F20">
        <v>344045.63359385298</v>
      </c>
      <c r="G20">
        <v>399642.26189999998</v>
      </c>
      <c r="K20" s="1" t="s">
        <v>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4.25</v>
      </c>
      <c r="X20">
        <v>6.25</v>
      </c>
      <c r="Z20" s="1" t="s">
        <v>18</v>
      </c>
      <c r="AA20">
        <f>L4*$D$4</f>
        <v>0</v>
      </c>
      <c r="AB20">
        <f t="shared" ref="AB20:AM20" si="2">M4*$D$4</f>
        <v>20039.162500000002</v>
      </c>
      <c r="AC20">
        <f t="shared" si="2"/>
        <v>8588.2125000000015</v>
      </c>
      <c r="AD20">
        <f t="shared" si="2"/>
        <v>34352.850000000006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2"/>
        <v>0</v>
      </c>
      <c r="AI20">
        <f t="shared" si="2"/>
        <v>17176.425000000003</v>
      </c>
      <c r="AJ20">
        <f t="shared" si="2"/>
        <v>28627.375</v>
      </c>
      <c r="AK20">
        <f t="shared" si="2"/>
        <v>0</v>
      </c>
      <c r="AL20">
        <f t="shared" si="2"/>
        <v>0</v>
      </c>
      <c r="AM20">
        <f t="shared" si="2"/>
        <v>0</v>
      </c>
    </row>
    <row r="21" spans="1:39" x14ac:dyDescent="0.3">
      <c r="A21" t="s">
        <v>35</v>
      </c>
      <c r="B21">
        <v>1170000</v>
      </c>
      <c r="C21">
        <v>1662.5397623931999</v>
      </c>
      <c r="D21">
        <v>24008.7</v>
      </c>
      <c r="E21">
        <v>5.75</v>
      </c>
      <c r="F21">
        <v>153998.90717015299</v>
      </c>
      <c r="G21">
        <v>156519.3027</v>
      </c>
      <c r="K21" s="1" t="s">
        <v>35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0.75</v>
      </c>
      <c r="W21">
        <v>2</v>
      </c>
      <c r="X21">
        <v>3</v>
      </c>
      <c r="Z21" s="1" t="s">
        <v>19</v>
      </c>
      <c r="AA21">
        <f>L5*$D$5</f>
        <v>15248.3</v>
      </c>
      <c r="AB21">
        <f t="shared" ref="AB21:AM21" si="3">M5*$D$5</f>
        <v>30496.6</v>
      </c>
      <c r="AC21">
        <f t="shared" si="3"/>
        <v>0</v>
      </c>
      <c r="AD21">
        <f t="shared" si="3"/>
        <v>45744.899999999994</v>
      </c>
      <c r="AE21">
        <f t="shared" si="3"/>
        <v>0</v>
      </c>
      <c r="AF21">
        <f t="shared" si="3"/>
        <v>0</v>
      </c>
      <c r="AG21">
        <f t="shared" si="3"/>
        <v>3812.0749999999998</v>
      </c>
      <c r="AH21">
        <f t="shared" si="3"/>
        <v>19060.375</v>
      </c>
      <c r="AI21">
        <f t="shared" si="3"/>
        <v>0</v>
      </c>
      <c r="AJ21">
        <f t="shared" si="3"/>
        <v>0</v>
      </c>
      <c r="AK21">
        <f t="shared" si="3"/>
        <v>0</v>
      </c>
      <c r="AL21">
        <f t="shared" si="3"/>
        <v>0</v>
      </c>
      <c r="AM21">
        <f t="shared" si="3"/>
        <v>0</v>
      </c>
    </row>
    <row r="22" spans="1:39" x14ac:dyDescent="0.3">
      <c r="D22">
        <f>SUM(D2:D21)</f>
        <v>336238.15</v>
      </c>
      <c r="Z22" s="1" t="s">
        <v>20</v>
      </c>
      <c r="AA22">
        <f>L6*$D$6</f>
        <v>0</v>
      </c>
      <c r="AB22">
        <f t="shared" ref="AB22:AM22" si="4">M6*$D$6</f>
        <v>16589.25</v>
      </c>
      <c r="AC22">
        <f t="shared" si="4"/>
        <v>8294.625</v>
      </c>
      <c r="AD22">
        <f t="shared" si="4"/>
        <v>38708.25</v>
      </c>
      <c r="AE22">
        <f t="shared" si="4"/>
        <v>0</v>
      </c>
      <c r="AF22">
        <f t="shared" si="4"/>
        <v>0</v>
      </c>
      <c r="AG22">
        <f t="shared" si="4"/>
        <v>0</v>
      </c>
      <c r="AH22">
        <f t="shared" si="4"/>
        <v>0</v>
      </c>
      <c r="AI22">
        <f t="shared" si="4"/>
        <v>19354.125</v>
      </c>
      <c r="AJ22">
        <f t="shared" si="4"/>
        <v>0</v>
      </c>
      <c r="AK22">
        <f t="shared" si="4"/>
        <v>0</v>
      </c>
      <c r="AL22">
        <f t="shared" si="4"/>
        <v>0</v>
      </c>
      <c r="AM22">
        <f t="shared" si="4"/>
        <v>0</v>
      </c>
    </row>
    <row r="23" spans="1:39" x14ac:dyDescent="0.3">
      <c r="Z23" s="1" t="s">
        <v>21</v>
      </c>
      <c r="AA23">
        <f>L7*$D$7</f>
        <v>5857.65</v>
      </c>
      <c r="AB23">
        <f t="shared" ref="AB23:AM23" si="5">M7*$D$7</f>
        <v>9762.75</v>
      </c>
      <c r="AC23">
        <f t="shared" si="5"/>
        <v>3905.1</v>
      </c>
      <c r="AD23">
        <f t="shared" si="5"/>
        <v>23430.6</v>
      </c>
      <c r="AE23">
        <f t="shared" si="5"/>
        <v>0</v>
      </c>
      <c r="AF23">
        <f t="shared" si="5"/>
        <v>0</v>
      </c>
      <c r="AG23">
        <f t="shared" si="5"/>
        <v>0</v>
      </c>
      <c r="AH23">
        <f t="shared" si="5"/>
        <v>7810.2</v>
      </c>
      <c r="AI23">
        <f t="shared" si="5"/>
        <v>9762.75</v>
      </c>
      <c r="AJ23">
        <f t="shared" si="5"/>
        <v>21478.05</v>
      </c>
      <c r="AK23">
        <f t="shared" si="5"/>
        <v>0</v>
      </c>
      <c r="AL23">
        <f t="shared" si="5"/>
        <v>0</v>
      </c>
      <c r="AM23">
        <f t="shared" si="5"/>
        <v>0</v>
      </c>
    </row>
    <row r="24" spans="1:39" x14ac:dyDescent="0.3">
      <c r="K24" s="2" t="s">
        <v>36</v>
      </c>
      <c r="L24" s="2" t="s">
        <v>3</v>
      </c>
      <c r="M24" s="2" t="s">
        <v>4</v>
      </c>
      <c r="N24" s="2" t="s">
        <v>5</v>
      </c>
      <c r="O24" s="2" t="s">
        <v>6</v>
      </c>
      <c r="P24" s="2" t="s">
        <v>7</v>
      </c>
      <c r="Q24" s="2" t="s">
        <v>8</v>
      </c>
      <c r="R24" s="2" t="s">
        <v>9</v>
      </c>
      <c r="S24" s="2" t="s">
        <v>10</v>
      </c>
      <c r="T24" s="2" t="s">
        <v>11</v>
      </c>
      <c r="U24" s="2" t="s">
        <v>12</v>
      </c>
      <c r="V24" s="2" t="s">
        <v>13</v>
      </c>
      <c r="W24" s="2" t="s">
        <v>14</v>
      </c>
      <c r="X24" s="2" t="s">
        <v>15</v>
      </c>
      <c r="Z24" s="1" t="s">
        <v>22</v>
      </c>
      <c r="AA24">
        <f>L8*$D$8</f>
        <v>0</v>
      </c>
      <c r="AB24">
        <f t="shared" ref="AB24:AM24" si="6">M8*$D$8</f>
        <v>0</v>
      </c>
      <c r="AC24">
        <f t="shared" si="6"/>
        <v>16037.550000000001</v>
      </c>
      <c r="AD24">
        <f t="shared" si="6"/>
        <v>74841.900000000009</v>
      </c>
      <c r="AE24">
        <f t="shared" si="6"/>
        <v>21383.4</v>
      </c>
      <c r="AF24">
        <f t="shared" si="6"/>
        <v>32075.100000000002</v>
      </c>
      <c r="AG24">
        <f t="shared" si="6"/>
        <v>0</v>
      </c>
      <c r="AH24">
        <f t="shared" si="6"/>
        <v>0</v>
      </c>
      <c r="AI24">
        <f t="shared" si="6"/>
        <v>26729.25</v>
      </c>
      <c r="AJ24">
        <f t="shared" si="6"/>
        <v>42766.8</v>
      </c>
      <c r="AK24">
        <f t="shared" si="6"/>
        <v>0</v>
      </c>
      <c r="AL24">
        <f t="shared" si="6"/>
        <v>0</v>
      </c>
      <c r="AM24">
        <f t="shared" si="6"/>
        <v>0</v>
      </c>
    </row>
    <row r="25" spans="1:39" x14ac:dyDescent="0.3">
      <c r="K25" s="1" t="s">
        <v>16</v>
      </c>
      <c r="L25">
        <f>L2/$E$2</f>
        <v>7.8431372549019607E-2</v>
      </c>
      <c r="M25">
        <f t="shared" ref="M25:X25" si="7">M2/$E$2</f>
        <v>0.39215686274509803</v>
      </c>
      <c r="N25">
        <f t="shared" si="7"/>
        <v>3.9215686274509803E-2</v>
      </c>
      <c r="O25">
        <f t="shared" si="7"/>
        <v>0.19607843137254902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9.8039215686274508E-2</v>
      </c>
      <c r="U25">
        <f t="shared" si="7"/>
        <v>0.19607843137254902</v>
      </c>
      <c r="V25">
        <f t="shared" si="7"/>
        <v>0</v>
      </c>
      <c r="W25">
        <f t="shared" si="7"/>
        <v>0</v>
      </c>
      <c r="X25">
        <f t="shared" si="7"/>
        <v>0</v>
      </c>
      <c r="Z25" s="1" t="s">
        <v>23</v>
      </c>
      <c r="AA25">
        <f>L9*$D$9</f>
        <v>0</v>
      </c>
      <c r="AB25">
        <f t="shared" ref="AB25:AM25" si="8">M9*$D$9</f>
        <v>0</v>
      </c>
      <c r="AC25">
        <f t="shared" si="8"/>
        <v>0</v>
      </c>
      <c r="AD25">
        <f t="shared" si="8"/>
        <v>0</v>
      </c>
      <c r="AE25">
        <f t="shared" si="8"/>
        <v>10472</v>
      </c>
      <c r="AF25">
        <f t="shared" si="8"/>
        <v>0</v>
      </c>
      <c r="AG25">
        <f t="shared" si="8"/>
        <v>0</v>
      </c>
      <c r="AH25">
        <f t="shared" si="8"/>
        <v>16755.2</v>
      </c>
      <c r="AI25">
        <f t="shared" si="8"/>
        <v>8377.6</v>
      </c>
      <c r="AJ25">
        <f t="shared" si="8"/>
        <v>4188.8</v>
      </c>
      <c r="AK25">
        <f t="shared" si="8"/>
        <v>0</v>
      </c>
      <c r="AL25">
        <f t="shared" si="8"/>
        <v>0</v>
      </c>
      <c r="AM25">
        <f t="shared" si="8"/>
        <v>0</v>
      </c>
    </row>
    <row r="26" spans="1:39" x14ac:dyDescent="0.3">
      <c r="K26" s="1" t="s">
        <v>17</v>
      </c>
      <c r="L26">
        <f>L3/$E$3</f>
        <v>0.16129032258064516</v>
      </c>
      <c r="M26">
        <f t="shared" ref="M26:X26" si="9">M3/$E$3</f>
        <v>0</v>
      </c>
      <c r="N26">
        <f t="shared" si="9"/>
        <v>6.4516129032258063E-2</v>
      </c>
      <c r="O26">
        <f t="shared" si="9"/>
        <v>0.32258064516129031</v>
      </c>
      <c r="P26">
        <f t="shared" si="9"/>
        <v>0</v>
      </c>
      <c r="Q26">
        <f t="shared" si="9"/>
        <v>0</v>
      </c>
      <c r="R26">
        <f t="shared" si="9"/>
        <v>0</v>
      </c>
      <c r="S26">
        <f t="shared" si="9"/>
        <v>0.12903225806451613</v>
      </c>
      <c r="T26">
        <f t="shared" si="9"/>
        <v>0</v>
      </c>
      <c r="U26">
        <f t="shared" si="9"/>
        <v>0.32258064516129031</v>
      </c>
      <c r="V26">
        <f t="shared" si="9"/>
        <v>0</v>
      </c>
      <c r="W26">
        <f t="shared" si="9"/>
        <v>0</v>
      </c>
      <c r="X26">
        <f t="shared" si="9"/>
        <v>0</v>
      </c>
      <c r="Z26" s="1" t="s">
        <v>24</v>
      </c>
      <c r="AA26">
        <f>L10*$D$10</f>
        <v>0</v>
      </c>
      <c r="AB26">
        <f t="shared" ref="AB26:AM26" si="10">M10*$D$10</f>
        <v>0</v>
      </c>
      <c r="AC26">
        <f t="shared" si="10"/>
        <v>0</v>
      </c>
      <c r="AD26">
        <f t="shared" si="10"/>
        <v>0</v>
      </c>
      <c r="AE26">
        <f t="shared" si="10"/>
        <v>16665</v>
      </c>
      <c r="AF26">
        <f t="shared" si="10"/>
        <v>23331</v>
      </c>
      <c r="AG26">
        <f t="shared" si="10"/>
        <v>16665</v>
      </c>
      <c r="AH26">
        <f t="shared" si="10"/>
        <v>0</v>
      </c>
      <c r="AI26">
        <f t="shared" si="10"/>
        <v>16665</v>
      </c>
      <c r="AJ26">
        <f t="shared" si="10"/>
        <v>39996</v>
      </c>
      <c r="AK26">
        <f t="shared" si="10"/>
        <v>0</v>
      </c>
      <c r="AL26">
        <f t="shared" si="10"/>
        <v>0</v>
      </c>
      <c r="AM26">
        <f t="shared" si="10"/>
        <v>0</v>
      </c>
    </row>
    <row r="27" spans="1:39" x14ac:dyDescent="0.3">
      <c r="K27" s="1" t="s">
        <v>18</v>
      </c>
      <c r="L27">
        <f>L4/$E$4</f>
        <v>0</v>
      </c>
      <c r="M27">
        <f t="shared" ref="M27:X27" si="11">M4/$E$4</f>
        <v>0.18421052631578946</v>
      </c>
      <c r="N27">
        <f t="shared" si="11"/>
        <v>7.8947368421052627E-2</v>
      </c>
      <c r="O27">
        <f t="shared" si="11"/>
        <v>0.31578947368421051</v>
      </c>
      <c r="P27">
        <f t="shared" si="11"/>
        <v>0</v>
      </c>
      <c r="Q27">
        <f t="shared" si="11"/>
        <v>0</v>
      </c>
      <c r="R27">
        <f t="shared" si="11"/>
        <v>0</v>
      </c>
      <c r="S27">
        <f t="shared" si="11"/>
        <v>0</v>
      </c>
      <c r="T27">
        <f t="shared" si="11"/>
        <v>0.15789473684210525</v>
      </c>
      <c r="U27">
        <f t="shared" si="11"/>
        <v>0.26315789473684209</v>
      </c>
      <c r="V27">
        <f t="shared" si="11"/>
        <v>0</v>
      </c>
      <c r="W27">
        <f t="shared" si="11"/>
        <v>0</v>
      </c>
      <c r="X27">
        <f t="shared" si="11"/>
        <v>0</v>
      </c>
      <c r="Z27" s="1" t="s">
        <v>25</v>
      </c>
      <c r="AA27">
        <f>L11*$D$11</f>
        <v>0</v>
      </c>
      <c r="AB27">
        <f t="shared" ref="AB27:AM27" si="12">M11*$D$11</f>
        <v>0</v>
      </c>
      <c r="AC27">
        <f t="shared" si="12"/>
        <v>0</v>
      </c>
      <c r="AD27">
        <f t="shared" si="12"/>
        <v>0</v>
      </c>
      <c r="AE27">
        <f t="shared" si="12"/>
        <v>12227.099999999999</v>
      </c>
      <c r="AF27">
        <f t="shared" si="12"/>
        <v>14264.949999999999</v>
      </c>
      <c r="AG27">
        <f t="shared" si="12"/>
        <v>0</v>
      </c>
      <c r="AH27">
        <f t="shared" si="12"/>
        <v>0</v>
      </c>
      <c r="AI27">
        <f t="shared" si="12"/>
        <v>10189.25</v>
      </c>
      <c r="AJ27">
        <f t="shared" si="12"/>
        <v>16302.8</v>
      </c>
      <c r="AK27">
        <f t="shared" si="12"/>
        <v>0</v>
      </c>
      <c r="AL27">
        <f t="shared" si="12"/>
        <v>0</v>
      </c>
      <c r="AM27">
        <f t="shared" si="12"/>
        <v>0</v>
      </c>
    </row>
    <row r="28" spans="1:39" x14ac:dyDescent="0.3">
      <c r="K28" s="1" t="s">
        <v>19</v>
      </c>
      <c r="L28">
        <f>L5/$E$5</f>
        <v>0.13333333333333333</v>
      </c>
      <c r="M28">
        <f t="shared" ref="M28:X28" si="13">M5/$E$5</f>
        <v>0.26666666666666666</v>
      </c>
      <c r="N28">
        <f t="shared" si="13"/>
        <v>0</v>
      </c>
      <c r="O28">
        <f t="shared" si="13"/>
        <v>0.4</v>
      </c>
      <c r="P28">
        <f t="shared" si="13"/>
        <v>0</v>
      </c>
      <c r="Q28">
        <f t="shared" si="13"/>
        <v>0</v>
      </c>
      <c r="R28">
        <f t="shared" si="13"/>
        <v>3.3333333333333333E-2</v>
      </c>
      <c r="S28">
        <f t="shared" si="13"/>
        <v>0.16666666666666666</v>
      </c>
      <c r="T28">
        <f t="shared" si="13"/>
        <v>0</v>
      </c>
      <c r="U28">
        <f t="shared" si="13"/>
        <v>0</v>
      </c>
      <c r="V28">
        <f t="shared" si="13"/>
        <v>0</v>
      </c>
      <c r="W28">
        <f t="shared" si="13"/>
        <v>0</v>
      </c>
      <c r="X28">
        <f t="shared" si="13"/>
        <v>0</v>
      </c>
      <c r="Z28" s="1" t="s">
        <v>26</v>
      </c>
      <c r="AA28">
        <f>L12*$D$12</f>
        <v>0</v>
      </c>
      <c r="AB28">
        <f t="shared" ref="AB28:AM28" si="14">M12*$D$12</f>
        <v>0</v>
      </c>
      <c r="AC28">
        <f t="shared" si="14"/>
        <v>0</v>
      </c>
      <c r="AD28">
        <f t="shared" si="14"/>
        <v>0</v>
      </c>
      <c r="AE28">
        <f t="shared" si="14"/>
        <v>39051</v>
      </c>
      <c r="AF28">
        <f t="shared" si="14"/>
        <v>0</v>
      </c>
      <c r="AG28">
        <f t="shared" si="14"/>
        <v>11715.3</v>
      </c>
      <c r="AH28">
        <f t="shared" si="14"/>
        <v>0</v>
      </c>
      <c r="AI28">
        <f t="shared" si="14"/>
        <v>11715.3</v>
      </c>
      <c r="AJ28">
        <f t="shared" si="14"/>
        <v>0</v>
      </c>
      <c r="AK28">
        <f t="shared" si="14"/>
        <v>0</v>
      </c>
      <c r="AL28">
        <f t="shared" si="14"/>
        <v>0</v>
      </c>
      <c r="AM28">
        <f t="shared" si="14"/>
        <v>0</v>
      </c>
    </row>
    <row r="29" spans="1:39" x14ac:dyDescent="0.3">
      <c r="K29" s="1" t="s">
        <v>20</v>
      </c>
      <c r="L29">
        <f>L6/$E$6</f>
        <v>0</v>
      </c>
      <c r="M29">
        <f t="shared" ref="M29:X29" si="15">M6/$E$6</f>
        <v>0.2</v>
      </c>
      <c r="N29">
        <f t="shared" si="15"/>
        <v>0.1</v>
      </c>
      <c r="O29">
        <f t="shared" si="15"/>
        <v>0.46666666666666667</v>
      </c>
      <c r="P29">
        <f t="shared" si="15"/>
        <v>0</v>
      </c>
      <c r="Q29">
        <f t="shared" si="15"/>
        <v>0</v>
      </c>
      <c r="R29">
        <f t="shared" si="15"/>
        <v>0</v>
      </c>
      <c r="S29">
        <f t="shared" si="15"/>
        <v>0</v>
      </c>
      <c r="T29">
        <f t="shared" si="15"/>
        <v>0.23333333333333334</v>
      </c>
      <c r="U29">
        <f t="shared" si="15"/>
        <v>0</v>
      </c>
      <c r="V29">
        <f t="shared" si="15"/>
        <v>0</v>
      </c>
      <c r="W29">
        <f t="shared" si="15"/>
        <v>0</v>
      </c>
      <c r="X29">
        <f t="shared" si="15"/>
        <v>0</v>
      </c>
      <c r="Z29" s="1" t="s">
        <v>27</v>
      </c>
      <c r="AA29">
        <f>L13*$D$13</f>
        <v>0</v>
      </c>
      <c r="AB29">
        <f t="shared" ref="AB29:AM29" si="16">M13*$D$13</f>
        <v>0</v>
      </c>
      <c r="AC29">
        <f t="shared" si="16"/>
        <v>0</v>
      </c>
      <c r="AD29">
        <f t="shared" si="16"/>
        <v>0</v>
      </c>
      <c r="AE29">
        <f t="shared" si="16"/>
        <v>18947.400000000001</v>
      </c>
      <c r="AF29">
        <f t="shared" si="16"/>
        <v>18947.400000000001</v>
      </c>
      <c r="AG29">
        <f t="shared" si="16"/>
        <v>9473.7000000000007</v>
      </c>
      <c r="AH29">
        <f t="shared" si="16"/>
        <v>0</v>
      </c>
      <c r="AI29">
        <f t="shared" si="16"/>
        <v>23684.25</v>
      </c>
      <c r="AJ29">
        <f t="shared" si="16"/>
        <v>42631.65</v>
      </c>
      <c r="AK29">
        <f t="shared" si="16"/>
        <v>0</v>
      </c>
      <c r="AL29">
        <f t="shared" si="16"/>
        <v>0</v>
      </c>
      <c r="AM29">
        <f t="shared" si="16"/>
        <v>0</v>
      </c>
    </row>
    <row r="30" spans="1:39" x14ac:dyDescent="0.3">
      <c r="K30" s="1" t="s">
        <v>21</v>
      </c>
      <c r="L30">
        <f>L7/$E$7</f>
        <v>7.1428571428571425E-2</v>
      </c>
      <c r="M30">
        <f t="shared" ref="M30:X30" si="17">M7/$E$7</f>
        <v>0.11904761904761904</v>
      </c>
      <c r="N30">
        <f t="shared" si="17"/>
        <v>4.7619047619047616E-2</v>
      </c>
      <c r="O30">
        <f t="shared" si="17"/>
        <v>0.2857142857142857</v>
      </c>
      <c r="P30">
        <f t="shared" si="17"/>
        <v>0</v>
      </c>
      <c r="Q30">
        <f t="shared" si="17"/>
        <v>0</v>
      </c>
      <c r="R30">
        <f t="shared" si="17"/>
        <v>0</v>
      </c>
      <c r="S30">
        <f t="shared" si="17"/>
        <v>9.5238095238095233E-2</v>
      </c>
      <c r="T30">
        <f t="shared" si="17"/>
        <v>0.11904761904761904</v>
      </c>
      <c r="U30">
        <f t="shared" si="17"/>
        <v>0.26190476190476192</v>
      </c>
      <c r="V30">
        <f t="shared" si="17"/>
        <v>0</v>
      </c>
      <c r="W30">
        <f t="shared" si="17"/>
        <v>0</v>
      </c>
      <c r="X30">
        <f t="shared" si="17"/>
        <v>0</v>
      </c>
      <c r="Z30" s="1" t="s">
        <v>28</v>
      </c>
      <c r="AA30">
        <f>L14*$D$14</f>
        <v>0</v>
      </c>
      <c r="AB30">
        <f t="shared" ref="AB30:AM30" si="18">M14*$D$14</f>
        <v>0</v>
      </c>
      <c r="AC30">
        <f t="shared" si="18"/>
        <v>0</v>
      </c>
      <c r="AD30">
        <f t="shared" si="18"/>
        <v>0</v>
      </c>
      <c r="AE30">
        <f t="shared" si="18"/>
        <v>11842.125</v>
      </c>
      <c r="AF30">
        <f t="shared" si="18"/>
        <v>21315.825000000001</v>
      </c>
      <c r="AG30">
        <f t="shared" si="18"/>
        <v>7105.2750000000005</v>
      </c>
      <c r="AH30">
        <f t="shared" si="18"/>
        <v>18947.400000000001</v>
      </c>
      <c r="AI30">
        <f t="shared" si="18"/>
        <v>11842.125</v>
      </c>
      <c r="AJ30">
        <f t="shared" si="18"/>
        <v>0</v>
      </c>
      <c r="AK30">
        <f t="shared" si="18"/>
        <v>0</v>
      </c>
      <c r="AL30">
        <f t="shared" si="18"/>
        <v>0</v>
      </c>
      <c r="AM30">
        <f t="shared" si="18"/>
        <v>0</v>
      </c>
    </row>
    <row r="31" spans="1:39" x14ac:dyDescent="0.3">
      <c r="K31" s="1" t="s">
        <v>22</v>
      </c>
      <c r="L31">
        <f>L8/$E$8</f>
        <v>0</v>
      </c>
      <c r="M31">
        <f t="shared" ref="M31:X31" si="19">M8/$E$8</f>
        <v>0</v>
      </c>
      <c r="N31">
        <f t="shared" si="19"/>
        <v>7.4999999999999997E-2</v>
      </c>
      <c r="O31">
        <f t="shared" si="19"/>
        <v>0.35</v>
      </c>
      <c r="P31">
        <f t="shared" si="19"/>
        <v>0.1</v>
      </c>
      <c r="Q31">
        <f t="shared" si="19"/>
        <v>0.15</v>
      </c>
      <c r="R31">
        <f t="shared" si="19"/>
        <v>0</v>
      </c>
      <c r="S31">
        <f t="shared" si="19"/>
        <v>0</v>
      </c>
      <c r="T31">
        <f t="shared" si="19"/>
        <v>0.125</v>
      </c>
      <c r="U31">
        <f t="shared" si="19"/>
        <v>0.2</v>
      </c>
      <c r="V31">
        <f t="shared" si="19"/>
        <v>0</v>
      </c>
      <c r="W31">
        <f t="shared" si="19"/>
        <v>0</v>
      </c>
      <c r="X31">
        <f t="shared" si="19"/>
        <v>0</v>
      </c>
      <c r="Z31" s="1" t="s">
        <v>29</v>
      </c>
      <c r="AA31">
        <f>L15*$D$15</f>
        <v>0</v>
      </c>
      <c r="AB31">
        <f t="shared" ref="AB31:AM31" si="20">M15*$D$15</f>
        <v>0</v>
      </c>
      <c r="AC31">
        <f t="shared" si="20"/>
        <v>0</v>
      </c>
      <c r="AD31">
        <f t="shared" si="20"/>
        <v>0</v>
      </c>
      <c r="AE31">
        <f t="shared" si="20"/>
        <v>28212.5</v>
      </c>
      <c r="AF31">
        <f t="shared" si="20"/>
        <v>42318.75</v>
      </c>
      <c r="AG31">
        <f t="shared" si="20"/>
        <v>14106.25</v>
      </c>
      <c r="AH31">
        <f t="shared" si="20"/>
        <v>49371.875</v>
      </c>
      <c r="AI31">
        <f t="shared" si="20"/>
        <v>0</v>
      </c>
      <c r="AJ31">
        <f t="shared" si="20"/>
        <v>0</v>
      </c>
      <c r="AK31">
        <f t="shared" si="20"/>
        <v>0</v>
      </c>
      <c r="AL31">
        <f t="shared" si="20"/>
        <v>0</v>
      </c>
      <c r="AM31">
        <f t="shared" si="20"/>
        <v>0</v>
      </c>
    </row>
    <row r="32" spans="1:39" x14ac:dyDescent="0.3">
      <c r="K32" s="1" t="s">
        <v>23</v>
      </c>
      <c r="L32">
        <f>L9/$E$9</f>
        <v>0</v>
      </c>
      <c r="M32">
        <f t="shared" ref="M32:X32" si="21">M9/$E$9</f>
        <v>0</v>
      </c>
      <c r="N32">
        <f t="shared" si="21"/>
        <v>0</v>
      </c>
      <c r="O32">
        <f t="shared" si="21"/>
        <v>0</v>
      </c>
      <c r="P32">
        <f t="shared" si="21"/>
        <v>0.26315789473684209</v>
      </c>
      <c r="Q32">
        <f t="shared" si="21"/>
        <v>0</v>
      </c>
      <c r="R32">
        <f t="shared" si="21"/>
        <v>0</v>
      </c>
      <c r="S32">
        <f t="shared" si="21"/>
        <v>0.42105263157894735</v>
      </c>
      <c r="T32">
        <f t="shared" si="21"/>
        <v>0.21052631578947367</v>
      </c>
      <c r="U32">
        <f t="shared" si="21"/>
        <v>0.10526315789473684</v>
      </c>
      <c r="V32">
        <f t="shared" si="21"/>
        <v>0</v>
      </c>
      <c r="W32">
        <f t="shared" si="21"/>
        <v>0</v>
      </c>
      <c r="X32">
        <f t="shared" si="21"/>
        <v>0</v>
      </c>
      <c r="Z32" s="1" t="s">
        <v>30</v>
      </c>
      <c r="AA32">
        <f>L16*$D$16</f>
        <v>0</v>
      </c>
      <c r="AB32">
        <f t="shared" ref="AB32:AM32" si="22">M16*$D$16</f>
        <v>0</v>
      </c>
      <c r="AC32">
        <f t="shared" si="22"/>
        <v>0</v>
      </c>
      <c r="AD32">
        <f t="shared" si="22"/>
        <v>0</v>
      </c>
      <c r="AE32">
        <f t="shared" si="22"/>
        <v>3141.6000000000004</v>
      </c>
      <c r="AF32">
        <f t="shared" si="22"/>
        <v>5236</v>
      </c>
      <c r="AG32">
        <f t="shared" si="22"/>
        <v>2094.4</v>
      </c>
      <c r="AH32">
        <f t="shared" si="22"/>
        <v>10472</v>
      </c>
      <c r="AI32">
        <f t="shared" si="22"/>
        <v>0</v>
      </c>
      <c r="AJ32">
        <f t="shared" si="22"/>
        <v>10472</v>
      </c>
      <c r="AK32">
        <f t="shared" si="22"/>
        <v>0</v>
      </c>
      <c r="AL32">
        <f t="shared" si="22"/>
        <v>0</v>
      </c>
      <c r="AM32">
        <f t="shared" si="22"/>
        <v>0</v>
      </c>
    </row>
    <row r="33" spans="11:39" x14ac:dyDescent="0.3">
      <c r="K33" s="1" t="s">
        <v>24</v>
      </c>
      <c r="L33">
        <f>L10/$E$10</f>
        <v>0</v>
      </c>
      <c r="M33">
        <f t="shared" ref="M33:X33" si="23">M10/$E$10</f>
        <v>0</v>
      </c>
      <c r="N33">
        <f t="shared" si="23"/>
        <v>0</v>
      </c>
      <c r="O33">
        <f t="shared" si="23"/>
        <v>0</v>
      </c>
      <c r="P33">
        <f t="shared" si="23"/>
        <v>0.14705882352941177</v>
      </c>
      <c r="Q33">
        <f t="shared" si="23"/>
        <v>0.20588235294117646</v>
      </c>
      <c r="R33">
        <f t="shared" si="23"/>
        <v>0.14705882352941177</v>
      </c>
      <c r="S33">
        <f t="shared" si="23"/>
        <v>0</v>
      </c>
      <c r="T33">
        <f t="shared" si="23"/>
        <v>0.14705882352941177</v>
      </c>
      <c r="U33">
        <f t="shared" si="23"/>
        <v>0.35294117647058826</v>
      </c>
      <c r="V33">
        <f t="shared" si="23"/>
        <v>0</v>
      </c>
      <c r="W33">
        <f t="shared" si="23"/>
        <v>0</v>
      </c>
      <c r="X33">
        <f t="shared" si="23"/>
        <v>0</v>
      </c>
      <c r="Z33" s="1" t="s">
        <v>31</v>
      </c>
      <c r="AA33">
        <f>L17*$D$17</f>
        <v>0</v>
      </c>
      <c r="AB33">
        <f t="shared" ref="AB33:AM33" si="24">M17*$D$17</f>
        <v>0</v>
      </c>
      <c r="AC33">
        <f t="shared" si="24"/>
        <v>0</v>
      </c>
      <c r="AD33">
        <f t="shared" si="24"/>
        <v>0</v>
      </c>
      <c r="AE33">
        <f t="shared" si="24"/>
        <v>0</v>
      </c>
      <c r="AF33">
        <f t="shared" si="24"/>
        <v>24808.125</v>
      </c>
      <c r="AG33">
        <f t="shared" si="24"/>
        <v>0</v>
      </c>
      <c r="AH33">
        <f t="shared" si="24"/>
        <v>99232.5</v>
      </c>
      <c r="AI33">
        <f t="shared" si="24"/>
        <v>24808.125</v>
      </c>
      <c r="AJ33">
        <f t="shared" si="24"/>
        <v>49616.25</v>
      </c>
      <c r="AK33">
        <f t="shared" si="24"/>
        <v>0</v>
      </c>
      <c r="AL33">
        <f t="shared" si="24"/>
        <v>0</v>
      </c>
      <c r="AM33">
        <f t="shared" si="24"/>
        <v>0</v>
      </c>
    </row>
    <row r="34" spans="11:39" x14ac:dyDescent="0.3">
      <c r="K34" s="1" t="s">
        <v>25</v>
      </c>
      <c r="L34">
        <f>L11/$E$11</f>
        <v>0</v>
      </c>
      <c r="M34">
        <f t="shared" ref="M34:X34" si="25">M11/$E$11</f>
        <v>0</v>
      </c>
      <c r="N34">
        <f t="shared" si="25"/>
        <v>0</v>
      </c>
      <c r="O34">
        <f t="shared" si="25"/>
        <v>0</v>
      </c>
      <c r="P34">
        <f t="shared" si="25"/>
        <v>0.23076923076923078</v>
      </c>
      <c r="Q34">
        <f t="shared" si="25"/>
        <v>0.26923076923076922</v>
      </c>
      <c r="R34">
        <f t="shared" si="25"/>
        <v>0</v>
      </c>
      <c r="S34">
        <f t="shared" si="25"/>
        <v>0</v>
      </c>
      <c r="T34">
        <f t="shared" si="25"/>
        <v>0.19230769230769232</v>
      </c>
      <c r="U34">
        <f t="shared" si="25"/>
        <v>0.30769230769230771</v>
      </c>
      <c r="V34">
        <f t="shared" si="25"/>
        <v>0</v>
      </c>
      <c r="W34">
        <f t="shared" si="25"/>
        <v>0</v>
      </c>
      <c r="X34">
        <f t="shared" si="25"/>
        <v>0</v>
      </c>
      <c r="Z34" s="1" t="s">
        <v>32</v>
      </c>
      <c r="AA34">
        <f>L18*$D$18</f>
        <v>0</v>
      </c>
      <c r="AB34">
        <f t="shared" ref="AB34:AL34" si="26">M18*$D$18</f>
        <v>0</v>
      </c>
      <c r="AC34">
        <f t="shared" si="26"/>
        <v>0</v>
      </c>
      <c r="AD34">
        <f t="shared" si="26"/>
        <v>0</v>
      </c>
      <c r="AE34">
        <f t="shared" si="26"/>
        <v>0</v>
      </c>
      <c r="AF34">
        <f t="shared" si="26"/>
        <v>0</v>
      </c>
      <c r="AG34">
        <f t="shared" si="26"/>
        <v>0</v>
      </c>
      <c r="AH34">
        <f t="shared" si="26"/>
        <v>0</v>
      </c>
      <c r="AI34">
        <f t="shared" si="26"/>
        <v>0</v>
      </c>
      <c r="AJ34">
        <f t="shared" si="26"/>
        <v>0</v>
      </c>
      <c r="AK34">
        <f t="shared" si="26"/>
        <v>7105.2750000000005</v>
      </c>
      <c r="AL34">
        <f t="shared" si="26"/>
        <v>28421.100000000002</v>
      </c>
      <c r="AM34">
        <f>X18*$D$18</f>
        <v>33157.950000000004</v>
      </c>
    </row>
    <row r="35" spans="11:39" x14ac:dyDescent="0.3">
      <c r="K35" s="1" t="s">
        <v>26</v>
      </c>
      <c r="L35">
        <f>L12/$E$12</f>
        <v>0</v>
      </c>
      <c r="M35">
        <f t="shared" ref="M35:X35" si="27">M12/$E$12</f>
        <v>0</v>
      </c>
      <c r="N35">
        <f t="shared" si="27"/>
        <v>0</v>
      </c>
      <c r="O35">
        <f t="shared" si="27"/>
        <v>0</v>
      </c>
      <c r="P35">
        <f t="shared" si="27"/>
        <v>0.625</v>
      </c>
      <c r="Q35">
        <f t="shared" si="27"/>
        <v>0</v>
      </c>
      <c r="R35">
        <f t="shared" si="27"/>
        <v>0.1875</v>
      </c>
      <c r="S35">
        <f t="shared" si="27"/>
        <v>0</v>
      </c>
      <c r="T35">
        <f t="shared" si="27"/>
        <v>0.1875</v>
      </c>
      <c r="U35">
        <f t="shared" si="27"/>
        <v>0</v>
      </c>
      <c r="V35">
        <f t="shared" si="27"/>
        <v>0</v>
      </c>
      <c r="W35">
        <f t="shared" si="27"/>
        <v>0</v>
      </c>
      <c r="X35">
        <f t="shared" si="27"/>
        <v>0</v>
      </c>
      <c r="Z35" s="1" t="s">
        <v>33</v>
      </c>
      <c r="AA35">
        <f>L19*$D$19</f>
        <v>0</v>
      </c>
      <c r="AB35">
        <f t="shared" ref="AB35:AM35" si="28">M19*$D$19</f>
        <v>0</v>
      </c>
      <c r="AC35">
        <f t="shared" si="28"/>
        <v>0</v>
      </c>
      <c r="AD35">
        <f t="shared" si="28"/>
        <v>0</v>
      </c>
      <c r="AE35">
        <f t="shared" si="28"/>
        <v>0</v>
      </c>
      <c r="AF35">
        <f t="shared" si="28"/>
        <v>0</v>
      </c>
      <c r="AG35">
        <f t="shared" si="28"/>
        <v>0</v>
      </c>
      <c r="AH35">
        <f t="shared" si="28"/>
        <v>0</v>
      </c>
      <c r="AI35">
        <f t="shared" si="28"/>
        <v>0</v>
      </c>
      <c r="AJ35">
        <f t="shared" si="28"/>
        <v>0</v>
      </c>
      <c r="AK35">
        <f t="shared" si="28"/>
        <v>26524.875</v>
      </c>
      <c r="AL35">
        <f t="shared" si="28"/>
        <v>26524.875</v>
      </c>
      <c r="AM35">
        <f t="shared" si="28"/>
        <v>79574.625</v>
      </c>
    </row>
    <row r="36" spans="11:39" x14ac:dyDescent="0.3">
      <c r="K36" s="1" t="s">
        <v>27</v>
      </c>
      <c r="L36">
        <f>L13/$E$13</f>
        <v>0</v>
      </c>
      <c r="M36">
        <f t="shared" ref="M36:X36" si="29">M13/$E$13</f>
        <v>0</v>
      </c>
      <c r="N36">
        <f t="shared" si="29"/>
        <v>0</v>
      </c>
      <c r="O36">
        <f t="shared" si="29"/>
        <v>0</v>
      </c>
      <c r="P36">
        <f t="shared" si="29"/>
        <v>0.16666666666666666</v>
      </c>
      <c r="Q36">
        <f t="shared" si="29"/>
        <v>0.16666666666666666</v>
      </c>
      <c r="R36">
        <f t="shared" si="29"/>
        <v>8.3333333333333329E-2</v>
      </c>
      <c r="S36">
        <f t="shared" si="29"/>
        <v>0</v>
      </c>
      <c r="T36">
        <f t="shared" si="29"/>
        <v>0.20833333333333334</v>
      </c>
      <c r="U36">
        <f t="shared" si="29"/>
        <v>0.375</v>
      </c>
      <c r="V36">
        <f t="shared" si="29"/>
        <v>0</v>
      </c>
      <c r="W36">
        <f t="shared" si="29"/>
        <v>0</v>
      </c>
      <c r="X36">
        <f t="shared" si="29"/>
        <v>0</v>
      </c>
      <c r="Z36" s="1" t="s">
        <v>34</v>
      </c>
      <c r="AA36">
        <f>L20*$D$20</f>
        <v>0</v>
      </c>
      <c r="AB36">
        <f t="shared" ref="AB36:AM36" si="30">M20*$D$20</f>
        <v>0</v>
      </c>
      <c r="AC36">
        <f t="shared" si="30"/>
        <v>0</v>
      </c>
      <c r="AD36">
        <f t="shared" si="30"/>
        <v>0</v>
      </c>
      <c r="AE36">
        <f t="shared" si="30"/>
        <v>0</v>
      </c>
      <c r="AF36">
        <f t="shared" si="30"/>
        <v>0</v>
      </c>
      <c r="AG36">
        <f t="shared" si="30"/>
        <v>0</v>
      </c>
      <c r="AH36">
        <f t="shared" si="30"/>
        <v>0</v>
      </c>
      <c r="AI36">
        <f t="shared" si="30"/>
        <v>0</v>
      </c>
      <c r="AJ36">
        <f t="shared" si="30"/>
        <v>0</v>
      </c>
      <c r="AK36">
        <f t="shared" si="30"/>
        <v>0</v>
      </c>
      <c r="AL36">
        <f t="shared" si="30"/>
        <v>142672.28749999998</v>
      </c>
      <c r="AM36">
        <f t="shared" si="30"/>
        <v>209812.18749999997</v>
      </c>
    </row>
    <row r="37" spans="11:39" x14ac:dyDescent="0.3">
      <c r="K37" s="1" t="s">
        <v>28</v>
      </c>
      <c r="L37">
        <f>L14/$E$14</f>
        <v>0</v>
      </c>
      <c r="M37">
        <f t="shared" ref="M37:X37" si="31">M14/$E$14</f>
        <v>0</v>
      </c>
      <c r="N37">
        <f t="shared" si="31"/>
        <v>0</v>
      </c>
      <c r="O37">
        <f t="shared" si="31"/>
        <v>0</v>
      </c>
      <c r="P37">
        <f t="shared" si="31"/>
        <v>0.16666666666666666</v>
      </c>
      <c r="Q37">
        <f t="shared" si="31"/>
        <v>0.3</v>
      </c>
      <c r="R37">
        <f t="shared" si="31"/>
        <v>0.1</v>
      </c>
      <c r="S37">
        <f t="shared" si="31"/>
        <v>0.26666666666666666</v>
      </c>
      <c r="T37">
        <f t="shared" si="31"/>
        <v>0.16666666666666666</v>
      </c>
      <c r="U37">
        <f t="shared" si="31"/>
        <v>0</v>
      </c>
      <c r="V37">
        <f t="shared" si="31"/>
        <v>0</v>
      </c>
      <c r="W37">
        <f t="shared" si="31"/>
        <v>0</v>
      </c>
      <c r="X37">
        <f t="shared" si="31"/>
        <v>0</v>
      </c>
      <c r="Z37" s="1" t="s">
        <v>35</v>
      </c>
      <c r="AA37">
        <f>L21*$D$21</f>
        <v>0</v>
      </c>
      <c r="AB37">
        <f t="shared" ref="AB37:AM37" si="32">M21*$D$21</f>
        <v>0</v>
      </c>
      <c r="AC37">
        <f t="shared" si="32"/>
        <v>0</v>
      </c>
      <c r="AD37">
        <f t="shared" si="32"/>
        <v>0</v>
      </c>
      <c r="AE37">
        <f t="shared" si="32"/>
        <v>0</v>
      </c>
      <c r="AF37">
        <f t="shared" si="32"/>
        <v>0</v>
      </c>
      <c r="AG37">
        <f t="shared" si="32"/>
        <v>0</v>
      </c>
      <c r="AH37">
        <f t="shared" si="32"/>
        <v>0</v>
      </c>
      <c r="AI37">
        <f t="shared" si="32"/>
        <v>0</v>
      </c>
      <c r="AJ37">
        <f t="shared" si="32"/>
        <v>0</v>
      </c>
      <c r="AK37">
        <f t="shared" si="32"/>
        <v>18006.525000000001</v>
      </c>
      <c r="AL37">
        <f t="shared" si="32"/>
        <v>48017.4</v>
      </c>
      <c r="AM37">
        <f t="shared" si="32"/>
        <v>72026.100000000006</v>
      </c>
    </row>
    <row r="38" spans="11:39" x14ac:dyDescent="0.3">
      <c r="K38" s="1" t="s">
        <v>29</v>
      </c>
      <c r="L38">
        <f>L15/$E$15</f>
        <v>0</v>
      </c>
      <c r="M38">
        <f t="shared" ref="M38:X38" si="33">M15/$E$15</f>
        <v>0</v>
      </c>
      <c r="N38">
        <f t="shared" si="33"/>
        <v>0</v>
      </c>
      <c r="O38">
        <f t="shared" si="33"/>
        <v>0</v>
      </c>
      <c r="P38">
        <f t="shared" si="33"/>
        <v>0.21052631578947367</v>
      </c>
      <c r="Q38">
        <f t="shared" si="33"/>
        <v>0.31578947368421051</v>
      </c>
      <c r="R38">
        <f t="shared" si="33"/>
        <v>0.10526315789473684</v>
      </c>
      <c r="S38">
        <f t="shared" si="33"/>
        <v>0.36842105263157893</v>
      </c>
      <c r="T38">
        <f t="shared" si="33"/>
        <v>0</v>
      </c>
      <c r="U38">
        <f t="shared" si="33"/>
        <v>0</v>
      </c>
      <c r="V38">
        <f t="shared" si="33"/>
        <v>0</v>
      </c>
      <c r="W38">
        <f t="shared" si="33"/>
        <v>0</v>
      </c>
      <c r="X38">
        <f t="shared" si="33"/>
        <v>0</v>
      </c>
      <c r="Z38" s="1" t="s">
        <v>74</v>
      </c>
      <c r="AA38">
        <f>SUM(AA18:AA37)</f>
        <v>80876.649999999994</v>
      </c>
      <c r="AB38">
        <f t="shared" ref="AB38:AM38" si="34">SUM(AB18:AB37)</f>
        <v>253055.01250000001</v>
      </c>
      <c r="AC38">
        <f t="shared" si="34"/>
        <v>64257.112500000003</v>
      </c>
      <c r="AD38">
        <f t="shared" si="34"/>
        <v>354236.625</v>
      </c>
      <c r="AE38">
        <f t="shared" si="34"/>
        <v>161942.125</v>
      </c>
      <c r="AF38">
        <f t="shared" si="34"/>
        <v>182297.15000000002</v>
      </c>
      <c r="AG38">
        <f t="shared" si="34"/>
        <v>64972</v>
      </c>
      <c r="AH38">
        <f t="shared" si="34"/>
        <v>241279.35</v>
      </c>
      <c r="AI38">
        <f t="shared" si="34"/>
        <v>224346.01250000001</v>
      </c>
      <c r="AJ38">
        <f t="shared" si="34"/>
        <v>393237.85</v>
      </c>
      <c r="AK38">
        <f t="shared" si="34"/>
        <v>51636.675000000003</v>
      </c>
      <c r="AL38">
        <f t="shared" si="34"/>
        <v>245635.66249999998</v>
      </c>
      <c r="AM38">
        <f t="shared" si="34"/>
        <v>394570.86249999993</v>
      </c>
    </row>
    <row r="39" spans="11:39" x14ac:dyDescent="0.3">
      <c r="K39" s="1" t="s">
        <v>30</v>
      </c>
      <c r="L39">
        <f>L16/$E$16</f>
        <v>0</v>
      </c>
      <c r="M39">
        <f t="shared" ref="M39:X39" si="35">M16/$E$16</f>
        <v>0</v>
      </c>
      <c r="N39">
        <f t="shared" si="35"/>
        <v>0</v>
      </c>
      <c r="O39">
        <f t="shared" si="35"/>
        <v>0</v>
      </c>
      <c r="P39">
        <f t="shared" si="35"/>
        <v>0.1</v>
      </c>
      <c r="Q39">
        <f t="shared" si="35"/>
        <v>0.16666666666666666</v>
      </c>
      <c r="R39">
        <f t="shared" si="35"/>
        <v>6.6666666666666666E-2</v>
      </c>
      <c r="S39">
        <f t="shared" si="35"/>
        <v>0.33333333333333331</v>
      </c>
      <c r="T39">
        <f t="shared" si="35"/>
        <v>0</v>
      </c>
      <c r="U39">
        <f t="shared" si="35"/>
        <v>0.33333333333333331</v>
      </c>
      <c r="V39">
        <f t="shared" si="35"/>
        <v>0</v>
      </c>
      <c r="W39">
        <f t="shared" si="35"/>
        <v>0</v>
      </c>
      <c r="X39">
        <f t="shared" si="35"/>
        <v>0</v>
      </c>
      <c r="Z39" s="1" t="s">
        <v>75</v>
      </c>
      <c r="AA39">
        <f>5*16*60*L78</f>
        <v>96000</v>
      </c>
      <c r="AB39">
        <f t="shared" ref="AB39:AM39" si="36">5*16*60*M78</f>
        <v>288000</v>
      </c>
      <c r="AC39">
        <f t="shared" si="36"/>
        <v>76800</v>
      </c>
      <c r="AD39">
        <f t="shared" si="36"/>
        <v>403200</v>
      </c>
      <c r="AE39">
        <f t="shared" si="36"/>
        <v>187200</v>
      </c>
      <c r="AF39">
        <f t="shared" si="36"/>
        <v>211200</v>
      </c>
      <c r="AG39">
        <f t="shared" si="36"/>
        <v>76800</v>
      </c>
      <c r="AH39">
        <f t="shared" si="36"/>
        <v>273600</v>
      </c>
      <c r="AI39">
        <f t="shared" si="36"/>
        <v>254400</v>
      </c>
      <c r="AJ39">
        <f t="shared" si="36"/>
        <v>446400</v>
      </c>
      <c r="AK39">
        <f t="shared" si="36"/>
        <v>62400</v>
      </c>
      <c r="AL39">
        <f t="shared" si="36"/>
        <v>283200</v>
      </c>
      <c r="AM39">
        <f t="shared" si="36"/>
        <v>451200</v>
      </c>
    </row>
    <row r="40" spans="11:39" x14ac:dyDescent="0.3">
      <c r="K40" s="1" t="s">
        <v>31</v>
      </c>
      <c r="L40">
        <f>L17/$E$17</f>
        <v>0</v>
      </c>
      <c r="M40">
        <f t="shared" ref="M40:X40" si="37">M17/$E$17</f>
        <v>0</v>
      </c>
      <c r="N40">
        <f t="shared" si="37"/>
        <v>0</v>
      </c>
      <c r="O40">
        <f t="shared" si="37"/>
        <v>0</v>
      </c>
      <c r="P40">
        <f t="shared" si="37"/>
        <v>0</v>
      </c>
      <c r="Q40">
        <f t="shared" si="37"/>
        <v>0.125</v>
      </c>
      <c r="R40">
        <f t="shared" si="37"/>
        <v>0</v>
      </c>
      <c r="S40">
        <f t="shared" si="37"/>
        <v>0.5</v>
      </c>
      <c r="T40">
        <f t="shared" si="37"/>
        <v>0.125</v>
      </c>
      <c r="U40">
        <f t="shared" si="37"/>
        <v>0.25</v>
      </c>
      <c r="V40">
        <f t="shared" si="37"/>
        <v>0</v>
      </c>
      <c r="W40">
        <f t="shared" si="37"/>
        <v>0</v>
      </c>
      <c r="X40">
        <f t="shared" si="37"/>
        <v>0</v>
      </c>
      <c r="Z40" s="30" t="s">
        <v>76</v>
      </c>
      <c r="AA40" s="32">
        <f>AA38/AA39</f>
        <v>0.84246510416666665</v>
      </c>
      <c r="AB40" s="32">
        <f t="shared" ref="AB40:AM40" si="38">AB38/AB39</f>
        <v>0.87866323784722222</v>
      </c>
      <c r="AC40" s="32">
        <f t="shared" si="38"/>
        <v>0.83668115234375007</v>
      </c>
      <c r="AD40" s="32">
        <f t="shared" si="38"/>
        <v>0.87856305803571433</v>
      </c>
      <c r="AE40" s="32">
        <f t="shared" si="38"/>
        <v>0.86507545405982911</v>
      </c>
      <c r="AF40" s="32">
        <f t="shared" si="38"/>
        <v>0.86314938446969713</v>
      </c>
      <c r="AG40" s="32">
        <f t="shared" si="38"/>
        <v>0.84598958333333329</v>
      </c>
      <c r="AH40" s="32">
        <f t="shared" si="38"/>
        <v>0.88186896929824565</v>
      </c>
      <c r="AI40" s="32">
        <f t="shared" si="38"/>
        <v>0.88186325668238996</v>
      </c>
      <c r="AJ40" s="32">
        <f t="shared" si="38"/>
        <v>0.88090916218637982</v>
      </c>
      <c r="AK40" s="32">
        <f t="shared" si="38"/>
        <v>0.82751081730769238</v>
      </c>
      <c r="AL40" s="32">
        <f t="shared" si="38"/>
        <v>0.86735756532485864</v>
      </c>
      <c r="AM40" s="32">
        <f t="shared" si="38"/>
        <v>0.87449215979609918</v>
      </c>
    </row>
    <row r="41" spans="11:39" x14ac:dyDescent="0.3">
      <c r="K41" s="1" t="s">
        <v>32</v>
      </c>
      <c r="L41">
        <f>L18/$E$18</f>
        <v>0</v>
      </c>
      <c r="M41">
        <f t="shared" ref="M41:X41" si="39">M18/$E$18</f>
        <v>0</v>
      </c>
      <c r="N41">
        <f t="shared" si="39"/>
        <v>0</v>
      </c>
      <c r="O41">
        <f t="shared" si="39"/>
        <v>0</v>
      </c>
      <c r="P41">
        <f t="shared" si="39"/>
        <v>0</v>
      </c>
      <c r="Q41">
        <f t="shared" si="39"/>
        <v>0</v>
      </c>
      <c r="R41">
        <f t="shared" si="39"/>
        <v>0</v>
      </c>
      <c r="S41">
        <f t="shared" si="39"/>
        <v>0</v>
      </c>
      <c r="T41">
        <f t="shared" si="39"/>
        <v>0</v>
      </c>
      <c r="U41">
        <f t="shared" si="39"/>
        <v>0</v>
      </c>
      <c r="V41">
        <f t="shared" si="39"/>
        <v>0.10344827586206896</v>
      </c>
      <c r="W41">
        <f t="shared" si="39"/>
        <v>0.41379310344827586</v>
      </c>
      <c r="X41">
        <f t="shared" si="39"/>
        <v>0.48275862068965519</v>
      </c>
    </row>
    <row r="42" spans="11:39" x14ac:dyDescent="0.3">
      <c r="K42" s="1" t="s">
        <v>33</v>
      </c>
      <c r="L42">
        <f>L19/$E$19</f>
        <v>0</v>
      </c>
      <c r="M42">
        <f t="shared" ref="M42:X42" si="40">M19/$E$19</f>
        <v>0</v>
      </c>
      <c r="N42">
        <f t="shared" si="40"/>
        <v>0</v>
      </c>
      <c r="O42">
        <f t="shared" si="40"/>
        <v>0</v>
      </c>
      <c r="P42">
        <f t="shared" si="40"/>
        <v>0</v>
      </c>
      <c r="Q42">
        <f t="shared" si="40"/>
        <v>0</v>
      </c>
      <c r="R42">
        <f t="shared" si="40"/>
        <v>0</v>
      </c>
      <c r="S42">
        <f t="shared" si="40"/>
        <v>0</v>
      </c>
      <c r="T42">
        <f t="shared" si="40"/>
        <v>0</v>
      </c>
      <c r="U42">
        <f t="shared" si="40"/>
        <v>0</v>
      </c>
      <c r="V42">
        <f t="shared" si="40"/>
        <v>0.2</v>
      </c>
      <c r="W42">
        <f t="shared" si="40"/>
        <v>0.2</v>
      </c>
      <c r="X42">
        <f t="shared" si="40"/>
        <v>0.6</v>
      </c>
      <c r="AK42" s="55" t="s">
        <v>94</v>
      </c>
      <c r="AL42" s="55"/>
      <c r="AM42" s="9">
        <f>(SUM(AA38:AM38)/SUM(AA39:AM39))</f>
        <v>0.87202388358410476</v>
      </c>
    </row>
    <row r="43" spans="11:39" x14ac:dyDescent="0.3">
      <c r="K43" s="1" t="s">
        <v>34</v>
      </c>
      <c r="L43">
        <f>L20/$E$20</f>
        <v>0</v>
      </c>
      <c r="M43">
        <f t="shared" ref="M43:X43" si="41">M20/$E$20</f>
        <v>0</v>
      </c>
      <c r="N43">
        <f t="shared" si="41"/>
        <v>0</v>
      </c>
      <c r="O43">
        <f t="shared" si="41"/>
        <v>0</v>
      </c>
      <c r="P43">
        <f t="shared" si="41"/>
        <v>0</v>
      </c>
      <c r="Q43">
        <f t="shared" si="41"/>
        <v>0</v>
      </c>
      <c r="R43">
        <f t="shared" si="41"/>
        <v>0</v>
      </c>
      <c r="S43">
        <f t="shared" si="41"/>
        <v>0</v>
      </c>
      <c r="T43">
        <f t="shared" si="41"/>
        <v>0</v>
      </c>
      <c r="U43">
        <f t="shared" si="41"/>
        <v>0</v>
      </c>
      <c r="V43">
        <f t="shared" si="41"/>
        <v>0</v>
      </c>
      <c r="W43">
        <f t="shared" si="41"/>
        <v>0.40476190476190477</v>
      </c>
      <c r="X43">
        <f t="shared" si="41"/>
        <v>0.59523809523809523</v>
      </c>
    </row>
    <row r="44" spans="11:39" x14ac:dyDescent="0.3">
      <c r="K44" s="1" t="s">
        <v>35</v>
      </c>
      <c r="L44">
        <f>L21/$E$21</f>
        <v>0</v>
      </c>
      <c r="M44">
        <f t="shared" ref="M44:X44" si="42">M21/$E$21</f>
        <v>0</v>
      </c>
      <c r="N44">
        <f t="shared" si="42"/>
        <v>0</v>
      </c>
      <c r="O44">
        <f t="shared" si="42"/>
        <v>0</v>
      </c>
      <c r="P44">
        <f t="shared" si="42"/>
        <v>0</v>
      </c>
      <c r="Q44">
        <f t="shared" si="42"/>
        <v>0</v>
      </c>
      <c r="R44">
        <f t="shared" si="42"/>
        <v>0</v>
      </c>
      <c r="S44">
        <f t="shared" si="42"/>
        <v>0</v>
      </c>
      <c r="T44">
        <f t="shared" si="42"/>
        <v>0</v>
      </c>
      <c r="U44">
        <f t="shared" si="42"/>
        <v>0</v>
      </c>
      <c r="V44">
        <f t="shared" si="42"/>
        <v>0.13043478260869565</v>
      </c>
      <c r="W44">
        <f t="shared" si="42"/>
        <v>0.34782608695652173</v>
      </c>
      <c r="X44">
        <f t="shared" si="42"/>
        <v>0.52173913043478259</v>
      </c>
    </row>
    <row r="47" spans="11:39" x14ac:dyDescent="0.3">
      <c r="K47" s="2" t="s">
        <v>97</v>
      </c>
      <c r="L47" s="2" t="s">
        <v>3</v>
      </c>
      <c r="M47" s="2" t="s">
        <v>4</v>
      </c>
      <c r="N47" s="2" t="s">
        <v>5</v>
      </c>
      <c r="O47" s="2" t="s">
        <v>6</v>
      </c>
      <c r="P47" s="2" t="s">
        <v>7</v>
      </c>
      <c r="Q47" s="2" t="s">
        <v>8</v>
      </c>
      <c r="R47" s="2" t="s">
        <v>9</v>
      </c>
      <c r="S47" s="2" t="s">
        <v>10</v>
      </c>
      <c r="T47" s="2" t="s">
        <v>11</v>
      </c>
      <c r="U47" s="2" t="s">
        <v>12</v>
      </c>
      <c r="V47" s="2" t="s">
        <v>13</v>
      </c>
      <c r="W47" s="2" t="s">
        <v>14</v>
      </c>
      <c r="X47" s="2" t="s">
        <v>15</v>
      </c>
      <c r="Z47" s="13" t="s">
        <v>0</v>
      </c>
      <c r="AA47" s="51" t="s">
        <v>77</v>
      </c>
      <c r="AB47" s="52"/>
      <c r="AC47" s="52"/>
      <c r="AD47" s="53"/>
      <c r="AE47" s="14" t="s">
        <v>78</v>
      </c>
    </row>
    <row r="48" spans="11:39" x14ac:dyDescent="0.3">
      <c r="K48" s="1" t="s">
        <v>16</v>
      </c>
      <c r="L48">
        <f>L25*$G$2</f>
        <v>39947.222219607844</v>
      </c>
      <c r="M48">
        <f t="shared" ref="M48:X48" si="43">M25*$G$2</f>
        <v>199736.11109803923</v>
      </c>
      <c r="N48">
        <f t="shared" si="43"/>
        <v>19973.611109803922</v>
      </c>
      <c r="O48">
        <f t="shared" si="43"/>
        <v>99868.055549019613</v>
      </c>
      <c r="P48">
        <f t="shared" si="43"/>
        <v>0</v>
      </c>
      <c r="Q48">
        <f t="shared" si="43"/>
        <v>0</v>
      </c>
      <c r="R48">
        <f t="shared" si="43"/>
        <v>0</v>
      </c>
      <c r="S48">
        <f t="shared" si="43"/>
        <v>0</v>
      </c>
      <c r="T48">
        <f t="shared" si="43"/>
        <v>49934.027774509806</v>
      </c>
      <c r="U48">
        <f t="shared" si="43"/>
        <v>99868.055549019613</v>
      </c>
      <c r="V48">
        <f t="shared" si="43"/>
        <v>0</v>
      </c>
      <c r="W48">
        <f t="shared" si="43"/>
        <v>0</v>
      </c>
      <c r="X48">
        <f t="shared" si="43"/>
        <v>0</v>
      </c>
      <c r="Z48" s="15" t="s">
        <v>79</v>
      </c>
      <c r="AA48" s="16" t="s">
        <v>80</v>
      </c>
      <c r="AB48" s="17" t="s">
        <v>81</v>
      </c>
      <c r="AC48" s="17" t="s">
        <v>82</v>
      </c>
      <c r="AD48" s="18" t="s">
        <v>83</v>
      </c>
      <c r="AE48" s="15" t="s">
        <v>84</v>
      </c>
    </row>
    <row r="49" spans="11:32" x14ac:dyDescent="0.3">
      <c r="K49" s="1" t="s">
        <v>17</v>
      </c>
      <c r="L49">
        <f>L26*$G$3</f>
        <v>27820.011338709675</v>
      </c>
      <c r="M49">
        <f t="shared" ref="M49:X49" si="44">M26*$G$3</f>
        <v>0</v>
      </c>
      <c r="N49">
        <f t="shared" si="44"/>
        <v>11128.004535483869</v>
      </c>
      <c r="O49">
        <f t="shared" si="44"/>
        <v>55640.022677419351</v>
      </c>
      <c r="P49">
        <f t="shared" si="44"/>
        <v>0</v>
      </c>
      <c r="Q49">
        <f t="shared" si="44"/>
        <v>0</v>
      </c>
      <c r="R49">
        <f t="shared" si="44"/>
        <v>0</v>
      </c>
      <c r="S49">
        <f t="shared" si="44"/>
        <v>22256.009070967739</v>
      </c>
      <c r="T49">
        <f t="shared" si="44"/>
        <v>0</v>
      </c>
      <c r="U49">
        <f t="shared" si="44"/>
        <v>55640.022677419351</v>
      </c>
      <c r="V49">
        <f t="shared" si="44"/>
        <v>0</v>
      </c>
      <c r="W49">
        <f t="shared" si="44"/>
        <v>0</v>
      </c>
      <c r="X49">
        <f t="shared" si="44"/>
        <v>0</v>
      </c>
      <c r="Z49" s="19" t="s">
        <v>16</v>
      </c>
      <c r="AA49" s="20">
        <v>2</v>
      </c>
      <c r="AB49" s="20">
        <v>6</v>
      </c>
      <c r="AC49" s="20">
        <v>6</v>
      </c>
      <c r="AD49" s="21">
        <v>2</v>
      </c>
      <c r="AE49" s="22">
        <v>12</v>
      </c>
      <c r="AF49" s="11">
        <f>AE49*D2</f>
        <v>422801.39999999997</v>
      </c>
    </row>
    <row r="50" spans="11:32" x14ac:dyDescent="0.3">
      <c r="K50" s="1" t="s">
        <v>18</v>
      </c>
      <c r="L50">
        <f>L27*$G$4</f>
        <v>0</v>
      </c>
      <c r="M50">
        <f t="shared" ref="M50:X50" si="45">M27*$G$4</f>
        <v>22720.138884210526</v>
      </c>
      <c r="N50">
        <f t="shared" si="45"/>
        <v>9737.2023789473678</v>
      </c>
      <c r="O50">
        <f t="shared" si="45"/>
        <v>38948.809515789471</v>
      </c>
      <c r="P50">
        <f t="shared" si="45"/>
        <v>0</v>
      </c>
      <c r="Q50">
        <f t="shared" si="45"/>
        <v>0</v>
      </c>
      <c r="R50">
        <f t="shared" si="45"/>
        <v>0</v>
      </c>
      <c r="S50">
        <f t="shared" si="45"/>
        <v>0</v>
      </c>
      <c r="T50">
        <f t="shared" si="45"/>
        <v>19474.404757894736</v>
      </c>
      <c r="U50">
        <f t="shared" si="45"/>
        <v>32457.341263157894</v>
      </c>
      <c r="V50">
        <f t="shared" si="45"/>
        <v>0</v>
      </c>
      <c r="W50">
        <f t="shared" si="45"/>
        <v>0</v>
      </c>
      <c r="X50">
        <f t="shared" si="45"/>
        <v>0</v>
      </c>
      <c r="Z50" s="19" t="s">
        <v>17</v>
      </c>
      <c r="AA50" s="20">
        <v>8</v>
      </c>
      <c r="AB50" s="20">
        <v>8</v>
      </c>
      <c r="AC50" s="20">
        <v>4</v>
      </c>
      <c r="AD50" s="21">
        <v>14</v>
      </c>
      <c r="AE50" s="23">
        <v>100</v>
      </c>
      <c r="AF50" s="11">
        <f t="shared" ref="AF50:AF68" si="46">AE50*D3</f>
        <v>1962980</v>
      </c>
    </row>
    <row r="51" spans="11:32" x14ac:dyDescent="0.3">
      <c r="K51" s="1" t="s">
        <v>19</v>
      </c>
      <c r="L51">
        <f>L28*$G$5</f>
        <v>17288.322</v>
      </c>
      <c r="M51">
        <f t="shared" ref="M51:X51" si="47">M28*$G$5</f>
        <v>34576.644</v>
      </c>
      <c r="N51">
        <f t="shared" si="47"/>
        <v>0</v>
      </c>
      <c r="O51">
        <f t="shared" si="47"/>
        <v>51864.966</v>
      </c>
      <c r="P51">
        <f t="shared" si="47"/>
        <v>0</v>
      </c>
      <c r="Q51">
        <f t="shared" si="47"/>
        <v>0</v>
      </c>
      <c r="R51">
        <f t="shared" si="47"/>
        <v>4322.0805</v>
      </c>
      <c r="S51">
        <f t="shared" si="47"/>
        <v>21610.402499999997</v>
      </c>
      <c r="T51">
        <f t="shared" si="47"/>
        <v>0</v>
      </c>
      <c r="U51">
        <f t="shared" si="47"/>
        <v>0</v>
      </c>
      <c r="V51">
        <f t="shared" si="47"/>
        <v>0</v>
      </c>
      <c r="W51">
        <f t="shared" si="47"/>
        <v>0</v>
      </c>
      <c r="X51">
        <f t="shared" si="47"/>
        <v>0</v>
      </c>
      <c r="Z51" s="19" t="s">
        <v>18</v>
      </c>
      <c r="AA51" s="20">
        <v>6</v>
      </c>
      <c r="AB51" s="20">
        <v>6</v>
      </c>
      <c r="AC51" s="20">
        <v>6</v>
      </c>
      <c r="AD51" s="21">
        <v>6</v>
      </c>
      <c r="AE51" s="24">
        <v>50</v>
      </c>
      <c r="AF51" s="11">
        <f t="shared" si="46"/>
        <v>572547.5</v>
      </c>
    </row>
    <row r="52" spans="11:32" x14ac:dyDescent="0.3">
      <c r="K52" s="1" t="s">
        <v>20</v>
      </c>
      <c r="L52">
        <f>L29*$G$6</f>
        <v>0</v>
      </c>
      <c r="M52">
        <f t="shared" ref="M52:X52" si="48">M29*$G$6</f>
        <v>18808.673470000002</v>
      </c>
      <c r="N52">
        <f t="shared" si="48"/>
        <v>9404.3367350000008</v>
      </c>
      <c r="O52">
        <f t="shared" si="48"/>
        <v>43886.904763333332</v>
      </c>
      <c r="P52">
        <f t="shared" si="48"/>
        <v>0</v>
      </c>
      <c r="Q52">
        <f t="shared" si="48"/>
        <v>0</v>
      </c>
      <c r="R52">
        <f t="shared" si="48"/>
        <v>0</v>
      </c>
      <c r="S52">
        <f t="shared" si="48"/>
        <v>0</v>
      </c>
      <c r="T52">
        <f t="shared" si="48"/>
        <v>21943.452381666666</v>
      </c>
      <c r="U52">
        <f t="shared" si="48"/>
        <v>0</v>
      </c>
      <c r="V52">
        <f t="shared" si="48"/>
        <v>0</v>
      </c>
      <c r="W52">
        <f t="shared" si="48"/>
        <v>0</v>
      </c>
      <c r="X52">
        <f t="shared" si="48"/>
        <v>0</v>
      </c>
      <c r="Z52" s="19" t="s">
        <v>19</v>
      </c>
      <c r="AA52" s="20">
        <v>12</v>
      </c>
      <c r="AB52" s="20">
        <v>6</v>
      </c>
      <c r="AC52" s="20">
        <v>4</v>
      </c>
      <c r="AD52" s="21">
        <v>16</v>
      </c>
      <c r="AE52" s="24">
        <v>120</v>
      </c>
      <c r="AF52" s="11">
        <f t="shared" si="46"/>
        <v>1829796</v>
      </c>
    </row>
    <row r="53" spans="11:32" x14ac:dyDescent="0.3">
      <c r="K53" s="1" t="s">
        <v>21</v>
      </c>
      <c r="L53">
        <f>L30*$G$7</f>
        <v>6641.3265307142847</v>
      </c>
      <c r="M53">
        <f t="shared" ref="M53:X53" si="49">M30*$G$7</f>
        <v>11068.877551190475</v>
      </c>
      <c r="N53">
        <f t="shared" si="49"/>
        <v>4427.5510204761904</v>
      </c>
      <c r="O53">
        <f t="shared" si="49"/>
        <v>26565.306122857139</v>
      </c>
      <c r="P53">
        <f t="shared" si="49"/>
        <v>0</v>
      </c>
      <c r="Q53">
        <f t="shared" si="49"/>
        <v>0</v>
      </c>
      <c r="R53">
        <f t="shared" si="49"/>
        <v>0</v>
      </c>
      <c r="S53">
        <f t="shared" si="49"/>
        <v>8855.1020409523808</v>
      </c>
      <c r="T53">
        <f t="shared" si="49"/>
        <v>11068.877551190475</v>
      </c>
      <c r="U53">
        <f t="shared" si="49"/>
        <v>24351.530612619048</v>
      </c>
      <c r="V53">
        <f t="shared" si="49"/>
        <v>0</v>
      </c>
      <c r="W53">
        <f t="shared" si="49"/>
        <v>0</v>
      </c>
      <c r="X53">
        <f t="shared" si="49"/>
        <v>0</v>
      </c>
      <c r="Z53" s="19" t="s">
        <v>20</v>
      </c>
      <c r="AA53" s="20">
        <v>8</v>
      </c>
      <c r="AB53" s="20">
        <v>4</v>
      </c>
      <c r="AC53" s="20">
        <v>6</v>
      </c>
      <c r="AD53" s="21">
        <v>5</v>
      </c>
      <c r="AE53" s="24">
        <v>50</v>
      </c>
      <c r="AF53" s="11">
        <f t="shared" si="46"/>
        <v>552975</v>
      </c>
    </row>
    <row r="54" spans="11:32" x14ac:dyDescent="0.3">
      <c r="K54" s="1" t="s">
        <v>22</v>
      </c>
      <c r="L54">
        <f>L31*$G$8</f>
        <v>0</v>
      </c>
      <c r="M54">
        <f t="shared" ref="M54:X54" si="50">M31*$G$8</f>
        <v>0</v>
      </c>
      <c r="N54">
        <f t="shared" si="50"/>
        <v>18183.1632675</v>
      </c>
      <c r="O54">
        <f t="shared" si="50"/>
        <v>84854.761914999995</v>
      </c>
      <c r="P54">
        <f t="shared" si="50"/>
        <v>24244.217690000001</v>
      </c>
      <c r="Q54">
        <f t="shared" si="50"/>
        <v>36366.326535</v>
      </c>
      <c r="R54">
        <f t="shared" si="50"/>
        <v>0</v>
      </c>
      <c r="S54">
        <f t="shared" si="50"/>
        <v>0</v>
      </c>
      <c r="T54">
        <f t="shared" si="50"/>
        <v>30305.272112499999</v>
      </c>
      <c r="U54">
        <f t="shared" si="50"/>
        <v>48488.435380000003</v>
      </c>
      <c r="V54">
        <f t="shared" si="50"/>
        <v>0</v>
      </c>
      <c r="W54">
        <f t="shared" si="50"/>
        <v>0</v>
      </c>
      <c r="X54">
        <f t="shared" si="50"/>
        <v>0</v>
      </c>
      <c r="Z54" s="19" t="s">
        <v>21</v>
      </c>
      <c r="AA54" s="20">
        <v>2</v>
      </c>
      <c r="AB54" s="20">
        <v>8</v>
      </c>
      <c r="AC54" s="20">
        <v>6</v>
      </c>
      <c r="AD54" s="21">
        <v>3</v>
      </c>
      <c r="AE54" s="24">
        <v>15</v>
      </c>
      <c r="AF54" s="11">
        <f t="shared" si="46"/>
        <v>117153</v>
      </c>
    </row>
    <row r="55" spans="11:32" x14ac:dyDescent="0.3">
      <c r="K55" s="1" t="s">
        <v>23</v>
      </c>
      <c r="L55">
        <f>L32*$G$9</f>
        <v>0</v>
      </c>
      <c r="M55">
        <f t="shared" ref="M55:X55" si="51">M32*$G$9</f>
        <v>0</v>
      </c>
      <c r="N55">
        <f t="shared" si="51"/>
        <v>0</v>
      </c>
      <c r="O55">
        <f t="shared" si="51"/>
        <v>0</v>
      </c>
      <c r="P55">
        <f t="shared" si="51"/>
        <v>11873.01587368421</v>
      </c>
      <c r="Q55">
        <f t="shared" si="51"/>
        <v>0</v>
      </c>
      <c r="R55">
        <f t="shared" si="51"/>
        <v>0</v>
      </c>
      <c r="S55">
        <f t="shared" si="51"/>
        <v>18996.825397894736</v>
      </c>
      <c r="T55">
        <f t="shared" si="51"/>
        <v>9498.412698947368</v>
      </c>
      <c r="U55">
        <f t="shared" si="51"/>
        <v>4749.206349473684</v>
      </c>
      <c r="V55">
        <f t="shared" si="51"/>
        <v>0</v>
      </c>
      <c r="W55">
        <f t="shared" si="51"/>
        <v>0</v>
      </c>
      <c r="X55">
        <f t="shared" si="51"/>
        <v>0</v>
      </c>
      <c r="Z55" s="19" t="s">
        <v>22</v>
      </c>
      <c r="AA55" s="20">
        <v>2</v>
      </c>
      <c r="AB55" s="20">
        <v>2</v>
      </c>
      <c r="AC55" s="20">
        <v>12</v>
      </c>
      <c r="AD55" s="21">
        <v>1</v>
      </c>
      <c r="AE55" s="24">
        <v>25</v>
      </c>
      <c r="AF55" s="11">
        <f t="shared" si="46"/>
        <v>534585</v>
      </c>
    </row>
    <row r="56" spans="11:32" x14ac:dyDescent="0.3">
      <c r="K56" s="1" t="s">
        <v>24</v>
      </c>
      <c r="L56">
        <f>L33*$G$10</f>
        <v>0</v>
      </c>
      <c r="M56">
        <f t="shared" ref="M56:X56" si="52">M33*$G$10</f>
        <v>0</v>
      </c>
      <c r="N56">
        <f t="shared" si="52"/>
        <v>0</v>
      </c>
      <c r="O56">
        <f t="shared" si="52"/>
        <v>0</v>
      </c>
      <c r="P56">
        <f t="shared" si="52"/>
        <v>18894.557823529412</v>
      </c>
      <c r="Q56">
        <f t="shared" si="52"/>
        <v>26452.380952941174</v>
      </c>
      <c r="R56">
        <f t="shared" si="52"/>
        <v>18894.557823529412</v>
      </c>
      <c r="S56">
        <f t="shared" si="52"/>
        <v>0</v>
      </c>
      <c r="T56">
        <f t="shared" si="52"/>
        <v>18894.557823529412</v>
      </c>
      <c r="U56">
        <f t="shared" si="52"/>
        <v>45346.93877647059</v>
      </c>
      <c r="V56">
        <f t="shared" si="52"/>
        <v>0</v>
      </c>
      <c r="W56">
        <f t="shared" si="52"/>
        <v>0</v>
      </c>
      <c r="X56">
        <f t="shared" si="52"/>
        <v>0</v>
      </c>
      <c r="Z56" s="19" t="s">
        <v>23</v>
      </c>
      <c r="AA56" s="20">
        <v>4</v>
      </c>
      <c r="AB56" s="20">
        <v>4</v>
      </c>
      <c r="AC56" s="20">
        <v>4</v>
      </c>
      <c r="AD56" s="21">
        <v>1</v>
      </c>
      <c r="AE56" s="24">
        <v>20</v>
      </c>
      <c r="AF56" s="11">
        <f t="shared" si="46"/>
        <v>167552</v>
      </c>
    </row>
    <row r="57" spans="11:32" x14ac:dyDescent="0.3">
      <c r="K57" s="1" t="s">
        <v>25</v>
      </c>
      <c r="L57">
        <f>L34*$G$11</f>
        <v>0</v>
      </c>
      <c r="M57">
        <f t="shared" ref="M57:X57" si="53">M34*$G$11</f>
        <v>0</v>
      </c>
      <c r="N57">
        <f t="shared" si="53"/>
        <v>0</v>
      </c>
      <c r="O57">
        <f t="shared" si="53"/>
        <v>0</v>
      </c>
      <c r="P57">
        <f t="shared" si="53"/>
        <v>13862.925170769231</v>
      </c>
      <c r="Q57">
        <f t="shared" si="53"/>
        <v>16173.412699230768</v>
      </c>
      <c r="R57">
        <f t="shared" si="53"/>
        <v>0</v>
      </c>
      <c r="S57">
        <f t="shared" si="53"/>
        <v>0</v>
      </c>
      <c r="T57">
        <f t="shared" si="53"/>
        <v>11552.437642307692</v>
      </c>
      <c r="U57">
        <f t="shared" si="53"/>
        <v>18483.900227692309</v>
      </c>
      <c r="V57">
        <f t="shared" si="53"/>
        <v>0</v>
      </c>
      <c r="W57">
        <f t="shared" si="53"/>
        <v>0</v>
      </c>
      <c r="X57">
        <f t="shared" si="53"/>
        <v>0</v>
      </c>
      <c r="Z57" s="19" t="s">
        <v>24</v>
      </c>
      <c r="AA57" s="20">
        <v>2</v>
      </c>
      <c r="AB57" s="20">
        <v>4</v>
      </c>
      <c r="AC57" s="20">
        <v>12</v>
      </c>
      <c r="AD57" s="21">
        <v>2</v>
      </c>
      <c r="AE57" s="24">
        <v>40</v>
      </c>
      <c r="AF57" s="11">
        <f t="shared" si="46"/>
        <v>533280</v>
      </c>
    </row>
    <row r="58" spans="11:32" x14ac:dyDescent="0.3">
      <c r="K58" s="1" t="s">
        <v>26</v>
      </c>
      <c r="L58">
        <f>L35*$G$12</f>
        <v>0</v>
      </c>
      <c r="M58">
        <f t="shared" ref="M58:X58" si="54">M35*$G$12</f>
        <v>0</v>
      </c>
      <c r="N58">
        <f t="shared" si="54"/>
        <v>0</v>
      </c>
      <c r="O58">
        <f t="shared" si="54"/>
        <v>0</v>
      </c>
      <c r="P58">
        <f t="shared" si="54"/>
        <v>44275.510206250001</v>
      </c>
      <c r="Q58">
        <f t="shared" si="54"/>
        <v>0</v>
      </c>
      <c r="R58">
        <f t="shared" si="54"/>
        <v>13282.653061875</v>
      </c>
      <c r="S58">
        <f t="shared" si="54"/>
        <v>0</v>
      </c>
      <c r="T58">
        <f t="shared" si="54"/>
        <v>13282.653061875</v>
      </c>
      <c r="U58">
        <f t="shared" si="54"/>
        <v>0</v>
      </c>
      <c r="V58">
        <f t="shared" si="54"/>
        <v>0</v>
      </c>
      <c r="W58">
        <f t="shared" si="54"/>
        <v>0</v>
      </c>
      <c r="X58">
        <f t="shared" si="54"/>
        <v>0</v>
      </c>
      <c r="Z58" s="19" t="s">
        <v>25</v>
      </c>
      <c r="AA58" s="20">
        <v>4</v>
      </c>
      <c r="AB58" s="20">
        <v>4</v>
      </c>
      <c r="AC58" s="20">
        <v>4</v>
      </c>
      <c r="AD58" s="21">
        <v>1</v>
      </c>
      <c r="AE58" s="24">
        <v>20</v>
      </c>
      <c r="AF58" s="11">
        <f t="shared" si="46"/>
        <v>163028</v>
      </c>
    </row>
    <row r="59" spans="11:32" x14ac:dyDescent="0.3">
      <c r="K59" s="1" t="s">
        <v>27</v>
      </c>
      <c r="L59">
        <f>L36*$G$13</f>
        <v>0</v>
      </c>
      <c r="M59">
        <f t="shared" ref="M59:X59" si="55">M36*$G$13</f>
        <v>0</v>
      </c>
      <c r="N59">
        <f t="shared" si="55"/>
        <v>0</v>
      </c>
      <c r="O59">
        <f t="shared" si="55"/>
        <v>0</v>
      </c>
      <c r="P59">
        <f t="shared" si="55"/>
        <v>21482.312933333335</v>
      </c>
      <c r="Q59">
        <f t="shared" si="55"/>
        <v>21482.312933333335</v>
      </c>
      <c r="R59">
        <f t="shared" si="55"/>
        <v>10741.156466666667</v>
      </c>
      <c r="S59">
        <f t="shared" si="55"/>
        <v>0</v>
      </c>
      <c r="T59">
        <f t="shared" si="55"/>
        <v>26852.891166666668</v>
      </c>
      <c r="U59">
        <f t="shared" si="55"/>
        <v>48335.204100000003</v>
      </c>
      <c r="V59">
        <f t="shared" si="55"/>
        <v>0</v>
      </c>
      <c r="W59">
        <f t="shared" si="55"/>
        <v>0</v>
      </c>
      <c r="X59">
        <f t="shared" si="55"/>
        <v>0</v>
      </c>
      <c r="Z59" s="19" t="s">
        <v>26</v>
      </c>
      <c r="AA59" s="20">
        <v>4</v>
      </c>
      <c r="AB59" s="20">
        <v>6</v>
      </c>
      <c r="AC59" s="20">
        <v>4</v>
      </c>
      <c r="AD59" s="21">
        <v>2</v>
      </c>
      <c r="AE59" s="24">
        <v>30</v>
      </c>
      <c r="AF59" s="11">
        <f t="shared" si="46"/>
        <v>468612</v>
      </c>
    </row>
    <row r="60" spans="11:32" x14ac:dyDescent="0.3">
      <c r="K60" s="1" t="s">
        <v>28</v>
      </c>
      <c r="L60">
        <f>L37*$G$14</f>
        <v>0</v>
      </c>
      <c r="M60">
        <f t="shared" ref="M60:X60" si="56">M37*$G$14</f>
        <v>0</v>
      </c>
      <c r="N60">
        <f t="shared" si="56"/>
        <v>0</v>
      </c>
      <c r="O60">
        <f t="shared" si="56"/>
        <v>0</v>
      </c>
      <c r="P60">
        <f t="shared" si="56"/>
        <v>13426.445578333332</v>
      </c>
      <c r="Q60">
        <f t="shared" si="56"/>
        <v>24167.602040999998</v>
      </c>
      <c r="R60">
        <f t="shared" si="56"/>
        <v>8055.8673469999994</v>
      </c>
      <c r="S60">
        <f t="shared" si="56"/>
        <v>21482.312925333332</v>
      </c>
      <c r="T60">
        <f t="shared" si="56"/>
        <v>13426.445578333332</v>
      </c>
      <c r="U60">
        <f t="shared" si="56"/>
        <v>0</v>
      </c>
      <c r="V60">
        <f t="shared" si="56"/>
        <v>0</v>
      </c>
      <c r="W60">
        <f t="shared" si="56"/>
        <v>0</v>
      </c>
      <c r="X60">
        <f t="shared" si="56"/>
        <v>0</v>
      </c>
      <c r="Z60" s="19" t="s">
        <v>27</v>
      </c>
      <c r="AA60" s="20">
        <v>6</v>
      </c>
      <c r="AB60" s="20">
        <v>6</v>
      </c>
      <c r="AC60" s="20">
        <v>4</v>
      </c>
      <c r="AD60" s="21">
        <v>2</v>
      </c>
      <c r="AE60" s="24">
        <v>30</v>
      </c>
      <c r="AF60" s="11">
        <f t="shared" si="46"/>
        <v>568422</v>
      </c>
    </row>
    <row r="61" spans="11:32" x14ac:dyDescent="0.3">
      <c r="K61" s="1" t="s">
        <v>29</v>
      </c>
      <c r="L61">
        <f>L38*$G$15</f>
        <v>0</v>
      </c>
      <c r="M61">
        <f t="shared" ref="M61:X61" si="57">M38*$G$15</f>
        <v>0</v>
      </c>
      <c r="N61">
        <f t="shared" si="57"/>
        <v>0</v>
      </c>
      <c r="O61">
        <f t="shared" si="57"/>
        <v>0</v>
      </c>
      <c r="P61">
        <f t="shared" si="57"/>
        <v>31986.961452631578</v>
      </c>
      <c r="Q61">
        <f t="shared" si="57"/>
        <v>47980.442178947371</v>
      </c>
      <c r="R61">
        <f t="shared" si="57"/>
        <v>15993.480726315789</v>
      </c>
      <c r="S61">
        <f t="shared" si="57"/>
        <v>55977.182542105264</v>
      </c>
      <c r="T61">
        <f t="shared" si="57"/>
        <v>0</v>
      </c>
      <c r="U61">
        <f t="shared" si="57"/>
        <v>0</v>
      </c>
      <c r="V61">
        <f t="shared" si="57"/>
        <v>0</v>
      </c>
      <c r="W61">
        <f t="shared" si="57"/>
        <v>0</v>
      </c>
      <c r="X61">
        <f t="shared" si="57"/>
        <v>0</v>
      </c>
      <c r="Z61" s="19" t="s">
        <v>28</v>
      </c>
      <c r="AA61" s="20">
        <v>2</v>
      </c>
      <c r="AB61" s="20">
        <v>2</v>
      </c>
      <c r="AC61" s="20">
        <v>12</v>
      </c>
      <c r="AD61" s="21">
        <v>1</v>
      </c>
      <c r="AE61" s="24">
        <v>25</v>
      </c>
      <c r="AF61" s="11">
        <f t="shared" si="46"/>
        <v>236842.50000000003</v>
      </c>
    </row>
    <row r="62" spans="11:32" x14ac:dyDescent="0.3">
      <c r="K62" s="1" t="s">
        <v>30</v>
      </c>
      <c r="L62">
        <f>L39*$G$16</f>
        <v>0</v>
      </c>
      <c r="M62">
        <f t="shared" ref="M62:X62" si="58">M39*$G$16</f>
        <v>0</v>
      </c>
      <c r="N62">
        <f t="shared" si="58"/>
        <v>0</v>
      </c>
      <c r="O62">
        <f t="shared" si="58"/>
        <v>0</v>
      </c>
      <c r="P62">
        <f t="shared" si="58"/>
        <v>3561.9047620000001</v>
      </c>
      <c r="Q62">
        <f t="shared" si="58"/>
        <v>5936.507936666666</v>
      </c>
      <c r="R62">
        <f t="shared" si="58"/>
        <v>2374.6031746666663</v>
      </c>
      <c r="S62">
        <f t="shared" si="58"/>
        <v>11873.015873333332</v>
      </c>
      <c r="T62">
        <f t="shared" si="58"/>
        <v>0</v>
      </c>
      <c r="U62">
        <f t="shared" si="58"/>
        <v>11873.015873333332</v>
      </c>
      <c r="V62">
        <f t="shared" si="58"/>
        <v>0</v>
      </c>
      <c r="W62">
        <f t="shared" si="58"/>
        <v>0</v>
      </c>
      <c r="X62">
        <f t="shared" si="58"/>
        <v>0</v>
      </c>
      <c r="Z62" s="19" t="s">
        <v>29</v>
      </c>
      <c r="AA62" s="20">
        <v>2</v>
      </c>
      <c r="AB62" s="20">
        <v>4</v>
      </c>
      <c r="AC62" s="20">
        <v>6</v>
      </c>
      <c r="AD62" s="21">
        <v>1</v>
      </c>
      <c r="AE62" s="24">
        <v>20</v>
      </c>
      <c r="AF62" s="11">
        <f t="shared" si="46"/>
        <v>564250</v>
      </c>
    </row>
    <row r="63" spans="11:32" x14ac:dyDescent="0.3">
      <c r="K63" s="1" t="s">
        <v>31</v>
      </c>
      <c r="L63">
        <f>L40*$G$17</f>
        <v>0</v>
      </c>
      <c r="M63">
        <f t="shared" ref="M63:X63" si="59">M40*$G$17</f>
        <v>0</v>
      </c>
      <c r="N63">
        <f t="shared" si="59"/>
        <v>0</v>
      </c>
      <c r="O63">
        <f t="shared" si="59"/>
        <v>0</v>
      </c>
      <c r="P63">
        <f t="shared" si="59"/>
        <v>0</v>
      </c>
      <c r="Q63">
        <f t="shared" si="59"/>
        <v>28127.12585</v>
      </c>
      <c r="R63">
        <f t="shared" si="59"/>
        <v>0</v>
      </c>
      <c r="S63">
        <f t="shared" si="59"/>
        <v>112508.5034</v>
      </c>
      <c r="T63">
        <f t="shared" si="59"/>
        <v>28127.12585</v>
      </c>
      <c r="U63">
        <f t="shared" si="59"/>
        <v>56254.251700000001</v>
      </c>
      <c r="V63">
        <f t="shared" si="59"/>
        <v>0</v>
      </c>
      <c r="W63">
        <f t="shared" si="59"/>
        <v>0</v>
      </c>
      <c r="X63">
        <f t="shared" si="59"/>
        <v>0</v>
      </c>
      <c r="Z63" s="19" t="s">
        <v>30</v>
      </c>
      <c r="AA63" s="20">
        <v>4</v>
      </c>
      <c r="AB63" s="20">
        <v>6</v>
      </c>
      <c r="AC63" s="20">
        <v>4</v>
      </c>
      <c r="AD63" s="21">
        <v>2</v>
      </c>
      <c r="AE63" s="24">
        <v>25</v>
      </c>
      <c r="AF63" s="11">
        <f t="shared" si="46"/>
        <v>104720</v>
      </c>
    </row>
    <row r="64" spans="11:32" x14ac:dyDescent="0.3">
      <c r="K64" s="1" t="s">
        <v>32</v>
      </c>
      <c r="L64">
        <f>L41*$G$18</f>
        <v>0</v>
      </c>
      <c r="M64">
        <f t="shared" ref="M64:X64" si="60">M41*$G$18</f>
        <v>0</v>
      </c>
      <c r="N64">
        <f t="shared" si="60"/>
        <v>0</v>
      </c>
      <c r="O64">
        <f t="shared" si="60"/>
        <v>0</v>
      </c>
      <c r="P64">
        <f t="shared" si="60"/>
        <v>0</v>
      </c>
      <c r="Q64">
        <f t="shared" si="60"/>
        <v>0</v>
      </c>
      <c r="R64">
        <f t="shared" si="60"/>
        <v>0</v>
      </c>
      <c r="S64">
        <f t="shared" si="60"/>
        <v>0</v>
      </c>
      <c r="T64">
        <f t="shared" si="60"/>
        <v>0</v>
      </c>
      <c r="U64">
        <f t="shared" si="60"/>
        <v>0</v>
      </c>
      <c r="V64">
        <f t="shared" si="60"/>
        <v>8055.8673465517231</v>
      </c>
      <c r="W64">
        <f t="shared" si="60"/>
        <v>32223.469386206893</v>
      </c>
      <c r="X64">
        <f t="shared" si="60"/>
        <v>37594.047617241376</v>
      </c>
      <c r="Z64" s="19" t="s">
        <v>31</v>
      </c>
      <c r="AA64" s="20">
        <v>4</v>
      </c>
      <c r="AB64" s="20">
        <v>4</v>
      </c>
      <c r="AC64" s="20">
        <v>4</v>
      </c>
      <c r="AD64" s="21">
        <v>1</v>
      </c>
      <c r="AE64" s="24">
        <v>20</v>
      </c>
      <c r="AF64" s="11">
        <f t="shared" si="46"/>
        <v>396930</v>
      </c>
    </row>
    <row r="65" spans="11:32" x14ac:dyDescent="0.3">
      <c r="K65" s="1" t="s">
        <v>33</v>
      </c>
      <c r="L65">
        <f>L42*$G$19</f>
        <v>0</v>
      </c>
      <c r="M65">
        <f t="shared" ref="M65:X65" si="61">M42*$G$19</f>
        <v>0</v>
      </c>
      <c r="N65">
        <f t="shared" si="61"/>
        <v>0</v>
      </c>
      <c r="O65">
        <f t="shared" si="61"/>
        <v>0</v>
      </c>
      <c r="P65">
        <f t="shared" si="61"/>
        <v>0</v>
      </c>
      <c r="Q65">
        <f t="shared" si="61"/>
        <v>0</v>
      </c>
      <c r="R65">
        <f t="shared" si="61"/>
        <v>0</v>
      </c>
      <c r="S65">
        <f t="shared" si="61"/>
        <v>0</v>
      </c>
      <c r="T65">
        <f t="shared" si="61"/>
        <v>0</v>
      </c>
      <c r="U65">
        <f t="shared" si="61"/>
        <v>0</v>
      </c>
      <c r="V65">
        <f t="shared" si="61"/>
        <v>30073.55442</v>
      </c>
      <c r="W65">
        <f t="shared" si="61"/>
        <v>30073.55442</v>
      </c>
      <c r="X65">
        <f t="shared" si="61"/>
        <v>90220.663260000001</v>
      </c>
      <c r="Z65" s="19" t="s">
        <v>32</v>
      </c>
      <c r="AA65" s="20">
        <v>12</v>
      </c>
      <c r="AB65" s="20">
        <v>2</v>
      </c>
      <c r="AC65" s="20">
        <v>2</v>
      </c>
      <c r="AD65" s="21">
        <v>4</v>
      </c>
      <c r="AE65" s="24">
        <v>80</v>
      </c>
      <c r="AF65" s="11">
        <f t="shared" si="46"/>
        <v>757896</v>
      </c>
    </row>
    <row r="66" spans="11:32" x14ac:dyDescent="0.3">
      <c r="K66" s="1" t="s">
        <v>34</v>
      </c>
      <c r="L66">
        <f>L43*$G$20</f>
        <v>0</v>
      </c>
      <c r="M66">
        <f t="shared" ref="M66:X66" si="62">M43*$G$20</f>
        <v>0</v>
      </c>
      <c r="N66">
        <f t="shared" si="62"/>
        <v>0</v>
      </c>
      <c r="O66">
        <f t="shared" si="62"/>
        <v>0</v>
      </c>
      <c r="P66">
        <f t="shared" si="62"/>
        <v>0</v>
      </c>
      <c r="Q66">
        <f t="shared" si="62"/>
        <v>0</v>
      </c>
      <c r="R66">
        <f t="shared" si="62"/>
        <v>0</v>
      </c>
      <c r="S66">
        <f t="shared" si="62"/>
        <v>0</v>
      </c>
      <c r="T66">
        <f t="shared" si="62"/>
        <v>0</v>
      </c>
      <c r="U66">
        <f t="shared" si="62"/>
        <v>0</v>
      </c>
      <c r="V66">
        <f t="shared" si="62"/>
        <v>0</v>
      </c>
      <c r="W66">
        <f t="shared" si="62"/>
        <v>161759.96315</v>
      </c>
      <c r="X66">
        <f t="shared" si="62"/>
        <v>237882.29874999999</v>
      </c>
      <c r="Z66" s="19" t="s">
        <v>33</v>
      </c>
      <c r="AA66" s="20">
        <v>12</v>
      </c>
      <c r="AB66" s="20">
        <v>2</v>
      </c>
      <c r="AC66" s="20">
        <v>2</v>
      </c>
      <c r="AD66" s="21">
        <v>4</v>
      </c>
      <c r="AE66" s="24">
        <v>80</v>
      </c>
      <c r="AF66" s="11">
        <f t="shared" si="46"/>
        <v>1697592</v>
      </c>
    </row>
    <row r="67" spans="11:32" x14ac:dyDescent="0.3">
      <c r="K67" s="1" t="s">
        <v>35</v>
      </c>
      <c r="L67">
        <f>L44*$G$21</f>
        <v>0</v>
      </c>
      <c r="M67">
        <f t="shared" ref="M67:X67" si="63">M44*$G$21</f>
        <v>0</v>
      </c>
      <c r="N67">
        <f t="shared" si="63"/>
        <v>0</v>
      </c>
      <c r="O67">
        <f t="shared" si="63"/>
        <v>0</v>
      </c>
      <c r="P67">
        <f t="shared" si="63"/>
        <v>0</v>
      </c>
      <c r="Q67">
        <f t="shared" si="63"/>
        <v>0</v>
      </c>
      <c r="R67">
        <f t="shared" si="63"/>
        <v>0</v>
      </c>
      <c r="S67">
        <f t="shared" si="63"/>
        <v>0</v>
      </c>
      <c r="T67">
        <f t="shared" si="63"/>
        <v>0</v>
      </c>
      <c r="U67">
        <f t="shared" si="63"/>
        <v>0</v>
      </c>
      <c r="V67">
        <f t="shared" si="63"/>
        <v>20415.561221739128</v>
      </c>
      <c r="W67">
        <f t="shared" si="63"/>
        <v>54441.496591304349</v>
      </c>
      <c r="X67">
        <f t="shared" si="63"/>
        <v>81662.244886956512</v>
      </c>
      <c r="Z67" s="19" t="s">
        <v>34</v>
      </c>
      <c r="AA67" s="20">
        <v>12</v>
      </c>
      <c r="AB67" s="20">
        <v>2</v>
      </c>
      <c r="AC67" s="20">
        <v>2</v>
      </c>
      <c r="AD67" s="21">
        <v>4</v>
      </c>
      <c r="AE67" s="24">
        <v>80</v>
      </c>
      <c r="AF67" s="11">
        <f t="shared" si="46"/>
        <v>2685596</v>
      </c>
    </row>
    <row r="68" spans="11:32" x14ac:dyDescent="0.3">
      <c r="Z68" s="15" t="s">
        <v>35</v>
      </c>
      <c r="AA68" s="25">
        <v>12</v>
      </c>
      <c r="AB68" s="25">
        <v>2</v>
      </c>
      <c r="AC68" s="25">
        <v>2</v>
      </c>
      <c r="AD68" s="26">
        <v>4</v>
      </c>
      <c r="AE68" s="27">
        <v>80</v>
      </c>
      <c r="AF68" s="11">
        <f t="shared" si="46"/>
        <v>1920696</v>
      </c>
    </row>
    <row r="69" spans="11:32" x14ac:dyDescent="0.3">
      <c r="K69" s="2" t="s">
        <v>37</v>
      </c>
      <c r="L69">
        <f>SUM(L48:L67)</f>
        <v>91696.882089031802</v>
      </c>
      <c r="M69">
        <f t="shared" ref="M69:X69" si="64">SUM(M48:M67)</f>
        <v>286910.44500344025</v>
      </c>
      <c r="N69">
        <f t="shared" si="64"/>
        <v>72853.869047211338</v>
      </c>
      <c r="O69">
        <f t="shared" si="64"/>
        <v>401628.82654341887</v>
      </c>
      <c r="P69">
        <f t="shared" si="64"/>
        <v>183607.85149053109</v>
      </c>
      <c r="Q69">
        <f t="shared" si="64"/>
        <v>206686.11112711934</v>
      </c>
      <c r="R69">
        <f t="shared" si="64"/>
        <v>73664.399100053546</v>
      </c>
      <c r="S69">
        <f t="shared" si="64"/>
        <v>273559.35375058674</v>
      </c>
      <c r="T69">
        <f t="shared" si="64"/>
        <v>254360.55839942116</v>
      </c>
      <c r="U69">
        <f t="shared" si="64"/>
        <v>445847.90250918583</v>
      </c>
      <c r="V69">
        <f t="shared" si="64"/>
        <v>58544.982988290853</v>
      </c>
      <c r="W69">
        <f t="shared" si="64"/>
        <v>278498.48354751128</v>
      </c>
      <c r="X69">
        <f t="shared" si="64"/>
        <v>447359.25451419788</v>
      </c>
      <c r="AC69" s="54" t="s">
        <v>85</v>
      </c>
      <c r="AD69" s="54"/>
      <c r="AE69" s="54"/>
      <c r="AF69" s="10">
        <f>SUM(AF49:AF68)</f>
        <v>16258254.4</v>
      </c>
    </row>
    <row r="70" spans="11:32" x14ac:dyDescent="0.3">
      <c r="K70" t="s">
        <v>38</v>
      </c>
      <c r="L70">
        <f>8*60*5</f>
        <v>2400</v>
      </c>
      <c r="M70">
        <f t="shared" ref="M70:X70" si="65">8*60*5</f>
        <v>2400</v>
      </c>
      <c r="N70">
        <f t="shared" si="65"/>
        <v>2400</v>
      </c>
      <c r="O70">
        <f t="shared" si="65"/>
        <v>2400</v>
      </c>
      <c r="P70">
        <f t="shared" si="65"/>
        <v>2400</v>
      </c>
      <c r="Q70">
        <f t="shared" si="65"/>
        <v>2400</v>
      </c>
      <c r="R70">
        <f t="shared" si="65"/>
        <v>2400</v>
      </c>
      <c r="S70">
        <f t="shared" si="65"/>
        <v>2400</v>
      </c>
      <c r="T70">
        <f t="shared" si="65"/>
        <v>2400</v>
      </c>
      <c r="U70">
        <f t="shared" si="65"/>
        <v>2400</v>
      </c>
      <c r="V70">
        <f t="shared" si="65"/>
        <v>2400</v>
      </c>
      <c r="W70">
        <f t="shared" si="65"/>
        <v>2400</v>
      </c>
      <c r="X70">
        <f t="shared" si="65"/>
        <v>2400</v>
      </c>
      <c r="AC70" s="54" t="s">
        <v>93</v>
      </c>
      <c r="AD70" s="54"/>
      <c r="AE70" s="54"/>
      <c r="AF70" s="10">
        <f>AF69*49</f>
        <v>796654465.60000002</v>
      </c>
    </row>
    <row r="71" spans="11:32" x14ac:dyDescent="0.3">
      <c r="K71" t="s">
        <v>39</v>
      </c>
      <c r="L71">
        <f>16*5*60</f>
        <v>4800</v>
      </c>
      <c r="M71">
        <f t="shared" ref="M71:X71" si="66">16*5*60</f>
        <v>4800</v>
      </c>
      <c r="N71">
        <f t="shared" si="66"/>
        <v>4800</v>
      </c>
      <c r="O71">
        <f t="shared" si="66"/>
        <v>4800</v>
      </c>
      <c r="P71">
        <f t="shared" si="66"/>
        <v>4800</v>
      </c>
      <c r="Q71">
        <f t="shared" si="66"/>
        <v>4800</v>
      </c>
      <c r="R71">
        <f t="shared" si="66"/>
        <v>4800</v>
      </c>
      <c r="S71">
        <f t="shared" si="66"/>
        <v>4800</v>
      </c>
      <c r="T71">
        <f t="shared" si="66"/>
        <v>4800</v>
      </c>
      <c r="U71">
        <f t="shared" si="66"/>
        <v>4800</v>
      </c>
      <c r="V71">
        <f t="shared" si="66"/>
        <v>4800</v>
      </c>
      <c r="W71">
        <f t="shared" si="66"/>
        <v>4800</v>
      </c>
      <c r="X71">
        <f t="shared" si="66"/>
        <v>4800</v>
      </c>
    </row>
    <row r="73" spans="11:32" x14ac:dyDescent="0.3">
      <c r="K73" t="s">
        <v>40</v>
      </c>
      <c r="L73">
        <f>L69/L70</f>
        <v>38.20703420376325</v>
      </c>
      <c r="M73">
        <f t="shared" ref="M73:X73" si="67">M69/M70</f>
        <v>119.54601875143344</v>
      </c>
      <c r="N73">
        <f t="shared" si="67"/>
        <v>30.355778769671392</v>
      </c>
      <c r="O73">
        <f t="shared" si="67"/>
        <v>167.34534439309118</v>
      </c>
      <c r="P73">
        <f t="shared" si="67"/>
        <v>76.503271454387956</v>
      </c>
      <c r="Q73">
        <f t="shared" si="67"/>
        <v>86.119212969633054</v>
      </c>
      <c r="R73">
        <f t="shared" si="67"/>
        <v>30.693499625022312</v>
      </c>
      <c r="S73">
        <f t="shared" si="67"/>
        <v>113.98306406274448</v>
      </c>
      <c r="T73">
        <f t="shared" si="67"/>
        <v>105.98356599975882</v>
      </c>
      <c r="U73">
        <f t="shared" si="67"/>
        <v>185.76995937882742</v>
      </c>
      <c r="V73">
        <f t="shared" si="67"/>
        <v>24.393742911787854</v>
      </c>
      <c r="W73">
        <f t="shared" si="67"/>
        <v>116.04103481146304</v>
      </c>
      <c r="X73">
        <f t="shared" si="67"/>
        <v>186.39968938091579</v>
      </c>
    </row>
    <row r="74" spans="11:32" x14ac:dyDescent="0.3">
      <c r="K74" t="s">
        <v>41</v>
      </c>
      <c r="L74">
        <f>L69/L71</f>
        <v>19.103517101881625</v>
      </c>
      <c r="M74">
        <f t="shared" ref="M74:X74" si="68">M69/M71</f>
        <v>59.773009375716718</v>
      </c>
      <c r="N74">
        <f t="shared" si="68"/>
        <v>15.177889384835696</v>
      </c>
      <c r="O74">
        <f t="shared" si="68"/>
        <v>83.672672196545591</v>
      </c>
      <c r="P74">
        <f t="shared" si="68"/>
        <v>38.251635727193978</v>
      </c>
      <c r="Q74">
        <f t="shared" si="68"/>
        <v>43.059606484816527</v>
      </c>
      <c r="R74">
        <f t="shared" si="68"/>
        <v>15.346749812511156</v>
      </c>
      <c r="S74">
        <f t="shared" si="68"/>
        <v>56.991532031372238</v>
      </c>
      <c r="T74">
        <f t="shared" si="68"/>
        <v>52.991782999879412</v>
      </c>
      <c r="U74">
        <f t="shared" si="68"/>
        <v>92.884979689413711</v>
      </c>
      <c r="V74">
        <f t="shared" si="68"/>
        <v>12.196871455893927</v>
      </c>
      <c r="W74">
        <f t="shared" si="68"/>
        <v>58.020517405731518</v>
      </c>
      <c r="X74">
        <f t="shared" si="68"/>
        <v>93.199844690457894</v>
      </c>
    </row>
    <row r="76" spans="11:32" x14ac:dyDescent="0.3">
      <c r="K76" s="38" t="s">
        <v>42</v>
      </c>
      <c r="L76" s="39" t="s">
        <v>3</v>
      </c>
      <c r="M76" s="39" t="s">
        <v>4</v>
      </c>
      <c r="N76" s="39" t="s">
        <v>5</v>
      </c>
      <c r="O76" s="39" t="s">
        <v>6</v>
      </c>
      <c r="P76" s="39" t="s">
        <v>7</v>
      </c>
      <c r="Q76" s="39" t="s">
        <v>8</v>
      </c>
      <c r="R76" s="39" t="s">
        <v>9</v>
      </c>
      <c r="S76" s="39" t="s">
        <v>10</v>
      </c>
      <c r="T76" s="39" t="s">
        <v>11</v>
      </c>
      <c r="U76" s="39" t="s">
        <v>12</v>
      </c>
      <c r="V76" s="39" t="s">
        <v>13</v>
      </c>
      <c r="W76" s="39" t="s">
        <v>14</v>
      </c>
      <c r="X76" s="40" t="s">
        <v>15</v>
      </c>
    </row>
    <row r="77" spans="11:32" x14ac:dyDescent="0.3">
      <c r="K77" s="41" t="s">
        <v>40</v>
      </c>
      <c r="L77">
        <f>ROUNDUP(L73,0)</f>
        <v>39</v>
      </c>
      <c r="M77">
        <f t="shared" ref="M77:X78" si="69">ROUNDUP(M73,0)</f>
        <v>120</v>
      </c>
      <c r="N77">
        <f t="shared" si="69"/>
        <v>31</v>
      </c>
      <c r="O77">
        <f t="shared" si="69"/>
        <v>168</v>
      </c>
      <c r="P77">
        <f t="shared" si="69"/>
        <v>77</v>
      </c>
      <c r="Q77">
        <f t="shared" si="69"/>
        <v>87</v>
      </c>
      <c r="R77">
        <f t="shared" si="69"/>
        <v>31</v>
      </c>
      <c r="S77">
        <f t="shared" si="69"/>
        <v>114</v>
      </c>
      <c r="T77">
        <f t="shared" si="69"/>
        <v>106</v>
      </c>
      <c r="U77">
        <f t="shared" si="69"/>
        <v>186</v>
      </c>
      <c r="V77">
        <f t="shared" si="69"/>
        <v>25</v>
      </c>
      <c r="W77">
        <f t="shared" si="69"/>
        <v>117</v>
      </c>
      <c r="X77" s="42">
        <f t="shared" si="69"/>
        <v>187</v>
      </c>
      <c r="Y77" t="s">
        <v>90</v>
      </c>
    </row>
    <row r="78" spans="11:32" x14ac:dyDescent="0.3">
      <c r="K78" s="43" t="s">
        <v>41</v>
      </c>
      <c r="L78" s="4">
        <f>ROUNDUP(L74,0)</f>
        <v>20</v>
      </c>
      <c r="M78" s="4">
        <f t="shared" si="69"/>
        <v>60</v>
      </c>
      <c r="N78" s="4">
        <f t="shared" si="69"/>
        <v>16</v>
      </c>
      <c r="O78" s="4">
        <f t="shared" si="69"/>
        <v>84</v>
      </c>
      <c r="P78" s="4">
        <f t="shared" si="69"/>
        <v>39</v>
      </c>
      <c r="Q78" s="4">
        <f t="shared" si="69"/>
        <v>44</v>
      </c>
      <c r="R78" s="4">
        <f t="shared" si="69"/>
        <v>16</v>
      </c>
      <c r="S78" s="4">
        <f t="shared" si="69"/>
        <v>57</v>
      </c>
      <c r="T78" s="4">
        <f t="shared" si="69"/>
        <v>53</v>
      </c>
      <c r="U78" s="4">
        <f t="shared" si="69"/>
        <v>93</v>
      </c>
      <c r="V78" s="4">
        <f t="shared" si="69"/>
        <v>13</v>
      </c>
      <c r="W78" s="4">
        <f t="shared" si="69"/>
        <v>59</v>
      </c>
      <c r="X78" s="44">
        <f t="shared" si="69"/>
        <v>94</v>
      </c>
      <c r="Y78" s="12">
        <f>SUM(L78:X78)</f>
        <v>648</v>
      </c>
    </row>
    <row r="79" spans="11:32" x14ac:dyDescent="0.3">
      <c r="K79" s="3" t="s">
        <v>92</v>
      </c>
      <c r="L79" s="3">
        <f>L78-'Y2'!L78</f>
        <v>1</v>
      </c>
      <c r="M79" s="3">
        <f>M78-'Y2'!M78</f>
        <v>2</v>
      </c>
      <c r="N79" s="3">
        <f>N78-'Y2'!N78</f>
        <v>0</v>
      </c>
      <c r="O79" s="3">
        <f>O78-'Y2'!O78</f>
        <v>0</v>
      </c>
      <c r="P79" s="3">
        <f>P78-'Y2'!P78</f>
        <v>0</v>
      </c>
      <c r="Q79" s="3">
        <f>Q78-'Y2'!Q78</f>
        <v>0</v>
      </c>
      <c r="R79" s="3">
        <f>R78-'Y2'!R78</f>
        <v>0</v>
      </c>
      <c r="S79" s="3">
        <f>S78-'Y2'!S78</f>
        <v>1</v>
      </c>
      <c r="T79" s="3">
        <f>T78-'Y2'!T78</f>
        <v>0</v>
      </c>
      <c r="U79" s="3">
        <f>U78-'Y2'!U78</f>
        <v>1</v>
      </c>
      <c r="V79" s="3">
        <f>V78-'Y2'!V78</f>
        <v>0</v>
      </c>
      <c r="W79" s="3">
        <f>W78-'Y2'!W78</f>
        <v>2</v>
      </c>
      <c r="X79" s="3">
        <f>X78-'Y2'!X78</f>
        <v>2</v>
      </c>
      <c r="Y79">
        <f>Y78-'Y2'!Y78</f>
        <v>9</v>
      </c>
    </row>
    <row r="81" spans="11:25" x14ac:dyDescent="0.3">
      <c r="K81" t="s">
        <v>48</v>
      </c>
      <c r="L81">
        <v>7</v>
      </c>
      <c r="M81">
        <v>7</v>
      </c>
      <c r="N81">
        <v>7</v>
      </c>
      <c r="O81">
        <v>7</v>
      </c>
      <c r="P81">
        <v>6</v>
      </c>
      <c r="Q81">
        <v>6</v>
      </c>
      <c r="R81">
        <v>6</v>
      </c>
      <c r="S81">
        <v>5</v>
      </c>
      <c r="T81">
        <v>5</v>
      </c>
      <c r="U81">
        <v>5</v>
      </c>
      <c r="V81">
        <v>3</v>
      </c>
      <c r="W81">
        <v>3</v>
      </c>
      <c r="X81">
        <v>3</v>
      </c>
    </row>
    <row r="82" spans="11:25" x14ac:dyDescent="0.3">
      <c r="L82">
        <v>8</v>
      </c>
      <c r="M82">
        <v>8</v>
      </c>
      <c r="N82">
        <v>8</v>
      </c>
      <c r="O82">
        <v>8</v>
      </c>
      <c r="P82">
        <v>16</v>
      </c>
      <c r="Q82">
        <v>16</v>
      </c>
      <c r="R82">
        <v>16</v>
      </c>
      <c r="S82">
        <v>24</v>
      </c>
      <c r="T82">
        <v>24</v>
      </c>
      <c r="U82">
        <v>24</v>
      </c>
      <c r="V82">
        <v>6</v>
      </c>
      <c r="W82">
        <v>6</v>
      </c>
      <c r="X82">
        <v>6</v>
      </c>
    </row>
    <row r="83" spans="11:25" x14ac:dyDescent="0.3">
      <c r="K83" t="s">
        <v>49</v>
      </c>
      <c r="L83">
        <v>14</v>
      </c>
      <c r="M83">
        <v>14</v>
      </c>
      <c r="N83">
        <v>14</v>
      </c>
      <c r="O83">
        <v>14</v>
      </c>
      <c r="P83">
        <v>22</v>
      </c>
      <c r="Q83">
        <v>22</v>
      </c>
      <c r="R83">
        <v>22</v>
      </c>
      <c r="S83">
        <v>14</v>
      </c>
      <c r="T83">
        <v>14</v>
      </c>
      <c r="U83">
        <v>14</v>
      </c>
      <c r="V83">
        <v>14</v>
      </c>
      <c r="W83">
        <v>14</v>
      </c>
      <c r="X83">
        <v>14</v>
      </c>
    </row>
    <row r="84" spans="11:25" x14ac:dyDescent="0.3">
      <c r="L84">
        <v>14</v>
      </c>
      <c r="M84">
        <v>14</v>
      </c>
      <c r="N84">
        <v>14</v>
      </c>
      <c r="O84">
        <v>14</v>
      </c>
      <c r="P84">
        <v>15</v>
      </c>
      <c r="Q84">
        <v>15</v>
      </c>
      <c r="R84">
        <v>15</v>
      </c>
      <c r="S84">
        <v>36</v>
      </c>
      <c r="T84">
        <v>36</v>
      </c>
      <c r="U84">
        <v>36</v>
      </c>
      <c r="V84">
        <v>7</v>
      </c>
      <c r="W84">
        <v>7</v>
      </c>
      <c r="X84">
        <v>7</v>
      </c>
    </row>
    <row r="86" spans="11:25" x14ac:dyDescent="0.3">
      <c r="K86" t="s">
        <v>43</v>
      </c>
      <c r="L86" s="5">
        <f>1*20+1/4*40</f>
        <v>30</v>
      </c>
      <c r="M86" s="5">
        <f t="shared" ref="M86:O86" si="70">1*20+1/4*40</f>
        <v>30</v>
      </c>
      <c r="N86" s="5">
        <f t="shared" si="70"/>
        <v>30</v>
      </c>
      <c r="O86" s="5">
        <f t="shared" si="70"/>
        <v>30</v>
      </c>
      <c r="P86" s="5">
        <f>1*20+1/2*60</f>
        <v>50</v>
      </c>
      <c r="Q86" s="5">
        <f t="shared" ref="Q86:R86" si="71">1*20+1/2*60</f>
        <v>50</v>
      </c>
      <c r="R86" s="5">
        <f t="shared" si="71"/>
        <v>50</v>
      </c>
      <c r="S86" s="5">
        <v>120</v>
      </c>
      <c r="T86" s="5">
        <v>120</v>
      </c>
      <c r="U86" s="5">
        <v>120</v>
      </c>
      <c r="V86" s="5">
        <v>20</v>
      </c>
      <c r="W86" s="5">
        <v>20</v>
      </c>
      <c r="X86" s="5">
        <v>20</v>
      </c>
    </row>
    <row r="87" spans="11:25" x14ac:dyDescent="0.3">
      <c r="K87" t="s">
        <v>44</v>
      </c>
      <c r="L87" s="6">
        <v>150000</v>
      </c>
      <c r="M87" s="6">
        <v>200000</v>
      </c>
      <c r="N87" s="6">
        <v>250000</v>
      </c>
      <c r="O87" s="6">
        <v>300000</v>
      </c>
      <c r="P87" s="6">
        <v>400000</v>
      </c>
      <c r="Q87" s="6">
        <v>400000</v>
      </c>
      <c r="R87" s="6">
        <v>400000</v>
      </c>
      <c r="S87" s="6">
        <v>1000000</v>
      </c>
      <c r="T87" s="6">
        <v>500000</v>
      </c>
      <c r="U87" s="6">
        <v>500000</v>
      </c>
      <c r="V87" s="6">
        <v>80000</v>
      </c>
      <c r="W87" s="6">
        <v>100000</v>
      </c>
      <c r="X87" s="6">
        <v>50000</v>
      </c>
      <c r="Y87" s="5"/>
    </row>
    <row r="89" spans="11:25" x14ac:dyDescent="0.3">
      <c r="K89" s="2" t="s">
        <v>50</v>
      </c>
      <c r="L89" s="2" t="s">
        <v>3</v>
      </c>
      <c r="M89" s="2" t="s">
        <v>4</v>
      </c>
      <c r="N89" s="2" t="s">
        <v>5</v>
      </c>
      <c r="O89" s="2" t="s">
        <v>6</v>
      </c>
      <c r="P89" s="2" t="s">
        <v>7</v>
      </c>
      <c r="Q89" s="2" t="s">
        <v>8</v>
      </c>
      <c r="R89" s="2" t="s">
        <v>9</v>
      </c>
      <c r="S89" s="2" t="s">
        <v>10</v>
      </c>
      <c r="T89" s="2" t="s">
        <v>11</v>
      </c>
      <c r="U89" s="2" t="s">
        <v>12</v>
      </c>
      <c r="V89" s="2" t="s">
        <v>13</v>
      </c>
      <c r="W89" s="2" t="s">
        <v>14</v>
      </c>
      <c r="X89" s="2" t="s">
        <v>15</v>
      </c>
    </row>
    <row r="90" spans="11:25" x14ac:dyDescent="0.3">
      <c r="K90" s="1" t="s">
        <v>45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1:25" x14ac:dyDescent="0.3">
      <c r="K91" s="1" t="s">
        <v>46</v>
      </c>
      <c r="L91">
        <v>0.25</v>
      </c>
      <c r="M91">
        <v>0.25</v>
      </c>
      <c r="N91">
        <v>0.25</v>
      </c>
      <c r="O91">
        <v>0.25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0.5</v>
      </c>
      <c r="W91">
        <v>0.5</v>
      </c>
      <c r="X91">
        <v>0.5</v>
      </c>
    </row>
    <row r="92" spans="11:25" x14ac:dyDescent="0.3">
      <c r="K92" s="1" t="s">
        <v>47</v>
      </c>
      <c r="L92">
        <v>0</v>
      </c>
      <c r="M92">
        <v>0</v>
      </c>
      <c r="N92">
        <v>0</v>
      </c>
      <c r="O92">
        <v>0</v>
      </c>
      <c r="P92">
        <v>0.5</v>
      </c>
      <c r="Q92">
        <v>0.5</v>
      </c>
      <c r="R92">
        <v>0.5</v>
      </c>
      <c r="S92">
        <v>2</v>
      </c>
      <c r="T92">
        <v>2</v>
      </c>
      <c r="U92">
        <v>2</v>
      </c>
      <c r="V92">
        <v>0</v>
      </c>
      <c r="W92">
        <v>0</v>
      </c>
      <c r="X92">
        <v>0</v>
      </c>
    </row>
    <row r="94" spans="11:25" x14ac:dyDescent="0.3">
      <c r="K94" t="s">
        <v>71</v>
      </c>
      <c r="L94">
        <f>49*5*16</f>
        <v>3920</v>
      </c>
      <c r="M94">
        <f t="shared" ref="M94:X94" si="72">49*5*16</f>
        <v>3920</v>
      </c>
      <c r="N94">
        <f t="shared" si="72"/>
        <v>3920</v>
      </c>
      <c r="O94">
        <f t="shared" si="72"/>
        <v>3920</v>
      </c>
      <c r="P94">
        <f t="shared" si="72"/>
        <v>3920</v>
      </c>
      <c r="Q94">
        <f t="shared" si="72"/>
        <v>3920</v>
      </c>
      <c r="R94">
        <f t="shared" si="72"/>
        <v>3920</v>
      </c>
      <c r="S94">
        <f t="shared" si="72"/>
        <v>3920</v>
      </c>
      <c r="T94">
        <f t="shared" si="72"/>
        <v>3920</v>
      </c>
      <c r="U94">
        <f t="shared" si="72"/>
        <v>3920</v>
      </c>
      <c r="V94">
        <f t="shared" si="72"/>
        <v>3920</v>
      </c>
      <c r="W94">
        <f t="shared" si="72"/>
        <v>3920</v>
      </c>
      <c r="X94">
        <f t="shared" si="72"/>
        <v>3920</v>
      </c>
    </row>
    <row r="96" spans="11:25" x14ac:dyDescent="0.3">
      <c r="K96" s="2" t="s">
        <v>51</v>
      </c>
      <c r="L96" s="2" t="s">
        <v>3</v>
      </c>
      <c r="M96" s="2" t="s">
        <v>4</v>
      </c>
      <c r="N96" s="2" t="s">
        <v>5</v>
      </c>
      <c r="O96" s="2" t="s">
        <v>6</v>
      </c>
      <c r="P96" s="2" t="s">
        <v>7</v>
      </c>
      <c r="Q96" s="2" t="s">
        <v>8</v>
      </c>
      <c r="R96" s="2" t="s">
        <v>9</v>
      </c>
      <c r="S96" s="2" t="s">
        <v>10</v>
      </c>
      <c r="T96" s="2" t="s">
        <v>11</v>
      </c>
      <c r="U96" s="2" t="s">
        <v>12</v>
      </c>
      <c r="V96" s="2" t="s">
        <v>13</v>
      </c>
      <c r="W96" s="2" t="s">
        <v>14</v>
      </c>
      <c r="X96" s="2" t="s">
        <v>15</v>
      </c>
      <c r="Y96" s="2" t="s">
        <v>52</v>
      </c>
    </row>
    <row r="97" spans="11:25" x14ac:dyDescent="0.3">
      <c r="K97" s="1" t="s">
        <v>45</v>
      </c>
      <c r="L97">
        <f t="shared" ref="L97:X97" si="73">ROUNDUP(L90*L78*2,0)</f>
        <v>40</v>
      </c>
      <c r="M97">
        <f t="shared" si="73"/>
        <v>120</v>
      </c>
      <c r="N97">
        <f t="shared" si="73"/>
        <v>32</v>
      </c>
      <c r="O97">
        <f t="shared" si="73"/>
        <v>168</v>
      </c>
      <c r="P97">
        <f t="shared" si="73"/>
        <v>78</v>
      </c>
      <c r="Q97">
        <f t="shared" si="73"/>
        <v>88</v>
      </c>
      <c r="R97">
        <f t="shared" si="73"/>
        <v>32</v>
      </c>
      <c r="S97">
        <f t="shared" si="73"/>
        <v>0</v>
      </c>
      <c r="T97">
        <f t="shared" si="73"/>
        <v>0</v>
      </c>
      <c r="U97">
        <f t="shared" si="73"/>
        <v>0</v>
      </c>
      <c r="V97">
        <f t="shared" si="73"/>
        <v>0</v>
      </c>
      <c r="W97">
        <f t="shared" si="73"/>
        <v>0</v>
      </c>
      <c r="X97">
        <f t="shared" si="73"/>
        <v>0</v>
      </c>
      <c r="Y97">
        <f>SUM(L97:X97)</f>
        <v>558</v>
      </c>
    </row>
    <row r="98" spans="11:25" x14ac:dyDescent="0.3">
      <c r="K98" s="1" t="s">
        <v>46</v>
      </c>
      <c r="L98">
        <f t="shared" ref="L98:X98" si="74">ROUNDUP(L91*L78*2,0)</f>
        <v>10</v>
      </c>
      <c r="M98">
        <f t="shared" si="74"/>
        <v>30</v>
      </c>
      <c r="N98">
        <f t="shared" si="74"/>
        <v>8</v>
      </c>
      <c r="O98">
        <f t="shared" si="74"/>
        <v>42</v>
      </c>
      <c r="P98">
        <f t="shared" si="74"/>
        <v>0</v>
      </c>
      <c r="Q98">
        <f t="shared" si="74"/>
        <v>0</v>
      </c>
      <c r="R98">
        <f t="shared" si="74"/>
        <v>0</v>
      </c>
      <c r="S98">
        <f t="shared" si="74"/>
        <v>0</v>
      </c>
      <c r="T98">
        <f t="shared" si="74"/>
        <v>0</v>
      </c>
      <c r="U98">
        <f t="shared" si="74"/>
        <v>0</v>
      </c>
      <c r="V98">
        <f t="shared" si="74"/>
        <v>13</v>
      </c>
      <c r="W98">
        <f t="shared" si="74"/>
        <v>59</v>
      </c>
      <c r="X98">
        <f t="shared" si="74"/>
        <v>94</v>
      </c>
      <c r="Y98">
        <f t="shared" ref="Y98:Y99" si="75">SUM(L98:X98)</f>
        <v>256</v>
      </c>
    </row>
    <row r="99" spans="11:25" x14ac:dyDescent="0.3">
      <c r="K99" s="1" t="s">
        <v>47</v>
      </c>
      <c r="L99">
        <f t="shared" ref="L99:X99" si="76">ROUNDUP(L92*L78*2,0)</f>
        <v>0</v>
      </c>
      <c r="M99">
        <f t="shared" si="76"/>
        <v>0</v>
      </c>
      <c r="N99">
        <f t="shared" si="76"/>
        <v>0</v>
      </c>
      <c r="O99">
        <f t="shared" si="76"/>
        <v>0</v>
      </c>
      <c r="P99">
        <f t="shared" si="76"/>
        <v>39</v>
      </c>
      <c r="Q99">
        <f t="shared" si="76"/>
        <v>44</v>
      </c>
      <c r="R99">
        <f t="shared" si="76"/>
        <v>16</v>
      </c>
      <c r="S99">
        <f t="shared" si="76"/>
        <v>228</v>
      </c>
      <c r="T99">
        <f t="shared" si="76"/>
        <v>212</v>
      </c>
      <c r="U99">
        <f t="shared" si="76"/>
        <v>372</v>
      </c>
      <c r="V99">
        <f t="shared" si="76"/>
        <v>0</v>
      </c>
      <c r="W99">
        <f t="shared" si="76"/>
        <v>0</v>
      </c>
      <c r="X99">
        <f t="shared" si="76"/>
        <v>0</v>
      </c>
      <c r="Y99">
        <f t="shared" si="75"/>
        <v>911</v>
      </c>
    </row>
    <row r="100" spans="11:25" x14ac:dyDescent="0.3">
      <c r="K100" s="30" t="s">
        <v>53</v>
      </c>
      <c r="L100" s="30">
        <f>SUM(L97:L99)</f>
        <v>50</v>
      </c>
      <c r="M100" s="30">
        <f t="shared" ref="M100:X100" si="77">SUM(M97:M99)</f>
        <v>150</v>
      </c>
      <c r="N100" s="30">
        <f t="shared" si="77"/>
        <v>40</v>
      </c>
      <c r="O100" s="30">
        <f t="shared" si="77"/>
        <v>210</v>
      </c>
      <c r="P100" s="30">
        <f t="shared" si="77"/>
        <v>117</v>
      </c>
      <c r="Q100" s="30">
        <f t="shared" si="77"/>
        <v>132</v>
      </c>
      <c r="R100" s="30">
        <f t="shared" si="77"/>
        <v>48</v>
      </c>
      <c r="S100" s="30">
        <f t="shared" si="77"/>
        <v>228</v>
      </c>
      <c r="T100" s="30">
        <f t="shared" si="77"/>
        <v>212</v>
      </c>
      <c r="U100" s="30">
        <f t="shared" si="77"/>
        <v>372</v>
      </c>
      <c r="V100" s="30">
        <f t="shared" si="77"/>
        <v>13</v>
      </c>
      <c r="W100" s="30">
        <f t="shared" si="77"/>
        <v>59</v>
      </c>
      <c r="X100" s="30">
        <f t="shared" si="77"/>
        <v>94</v>
      </c>
      <c r="Y100" s="30">
        <f>SUM(Y97:Y99)</f>
        <v>1725</v>
      </c>
    </row>
    <row r="101" spans="11:25" x14ac:dyDescent="0.3">
      <c r="K101" s="1" t="s">
        <v>107</v>
      </c>
      <c r="L101">
        <f>L100-'Y2'!L100</f>
        <v>2</v>
      </c>
      <c r="M101">
        <f>M100-'Y2'!M100</f>
        <v>5</v>
      </c>
      <c r="N101">
        <f>N100-'Y2'!N100</f>
        <v>0</v>
      </c>
      <c r="O101">
        <f>O100-'Y2'!O100</f>
        <v>0</v>
      </c>
      <c r="P101">
        <f>P100-'Y2'!P100</f>
        <v>0</v>
      </c>
      <c r="Q101">
        <f>Q100-'Y2'!Q100</f>
        <v>0</v>
      </c>
      <c r="R101">
        <f>R100-'Y2'!R100</f>
        <v>0</v>
      </c>
      <c r="S101">
        <f>S100-'Y2'!S100</f>
        <v>4</v>
      </c>
      <c r="T101">
        <f>T100-'Y2'!T100</f>
        <v>0</v>
      </c>
      <c r="U101">
        <f>U100-'Y2'!U100</f>
        <v>4</v>
      </c>
      <c r="V101">
        <f>V100-'Y2'!V100</f>
        <v>0</v>
      </c>
      <c r="W101">
        <f>W100-'Y2'!W100</f>
        <v>2</v>
      </c>
      <c r="X101">
        <f>X100-'Y2'!X100</f>
        <v>2</v>
      </c>
      <c r="Y101">
        <f>Y100-'Y2'!Y100</f>
        <v>19</v>
      </c>
    </row>
    <row r="103" spans="11:25" x14ac:dyDescent="0.3">
      <c r="K103" t="s">
        <v>98</v>
      </c>
      <c r="L103" s="5">
        <f t="shared" ref="L103:R103" si="78">L78*L87/10</f>
        <v>300000</v>
      </c>
      <c r="M103" s="5">
        <f t="shared" si="78"/>
        <v>1200000</v>
      </c>
      <c r="N103" s="5">
        <f t="shared" si="78"/>
        <v>400000</v>
      </c>
      <c r="O103" s="5">
        <f t="shared" si="78"/>
        <v>2520000</v>
      </c>
      <c r="P103" s="5">
        <f t="shared" si="78"/>
        <v>1560000</v>
      </c>
      <c r="Q103" s="5">
        <f t="shared" si="78"/>
        <v>1760000</v>
      </c>
      <c r="R103" s="5">
        <f t="shared" si="78"/>
        <v>640000</v>
      </c>
      <c r="S103" s="5">
        <f>S78*S87/15</f>
        <v>3800000</v>
      </c>
      <c r="T103" s="5">
        <f>T78*T87/15</f>
        <v>1766666.6666666667</v>
      </c>
      <c r="U103" s="5">
        <f>U78*U87/15</f>
        <v>3100000</v>
      </c>
      <c r="V103" s="5">
        <f>V78*V87/8</f>
        <v>130000</v>
      </c>
      <c r="W103" s="5">
        <f>W78*W87/8</f>
        <v>737500</v>
      </c>
      <c r="X103" s="5">
        <f>X78*X87/8</f>
        <v>587500</v>
      </c>
      <c r="Y103" s="5"/>
    </row>
    <row r="104" spans="11:25" x14ac:dyDescent="0.3">
      <c r="K104" t="s">
        <v>99</v>
      </c>
      <c r="L104" s="5">
        <f t="shared" ref="L104:X104" si="79">L86*16*5*49*L78</f>
        <v>2352000</v>
      </c>
      <c r="M104" s="5">
        <f t="shared" si="79"/>
        <v>7056000</v>
      </c>
      <c r="N104" s="5">
        <f t="shared" si="79"/>
        <v>1881600</v>
      </c>
      <c r="O104" s="5">
        <f t="shared" si="79"/>
        <v>9878400</v>
      </c>
      <c r="P104" s="5">
        <f t="shared" si="79"/>
        <v>7644000</v>
      </c>
      <c r="Q104" s="5">
        <f t="shared" si="79"/>
        <v>8624000</v>
      </c>
      <c r="R104" s="5">
        <f t="shared" si="79"/>
        <v>3136000</v>
      </c>
      <c r="S104" s="5">
        <f t="shared" si="79"/>
        <v>26812800</v>
      </c>
      <c r="T104" s="5">
        <f t="shared" si="79"/>
        <v>24931200</v>
      </c>
      <c r="U104" s="5">
        <f t="shared" si="79"/>
        <v>43747200</v>
      </c>
      <c r="V104" s="5">
        <f t="shared" si="79"/>
        <v>1019200</v>
      </c>
      <c r="W104" s="5">
        <f t="shared" si="79"/>
        <v>4625600</v>
      </c>
      <c r="X104" s="5">
        <f t="shared" si="79"/>
        <v>7369600</v>
      </c>
      <c r="Y104" s="5"/>
    </row>
    <row r="105" spans="11:25" x14ac:dyDescent="0.3"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8"/>
    </row>
    <row r="107" spans="11:25" x14ac:dyDescent="0.3">
      <c r="K107" s="29" t="s">
        <v>100</v>
      </c>
      <c r="L107" s="5">
        <f>SUM(L103:X103)</f>
        <v>18501666.666666664</v>
      </c>
    </row>
    <row r="108" spans="11:25" x14ac:dyDescent="0.3">
      <c r="K108" s="29" t="s">
        <v>87</v>
      </c>
      <c r="L108" s="5">
        <f>SUM(L104:X104)</f>
        <v>149077600</v>
      </c>
    </row>
    <row r="109" spans="11:25" x14ac:dyDescent="0.3">
      <c r="K109" s="47" t="s">
        <v>86</v>
      </c>
      <c r="L109" s="28">
        <f>882*344*250</f>
        <v>75852000</v>
      </c>
    </row>
    <row r="110" spans="11:25" x14ac:dyDescent="0.3">
      <c r="K110" s="29" t="s">
        <v>88</v>
      </c>
      <c r="L110" s="5">
        <f>SUM(L107:L109)</f>
        <v>243431266.66666666</v>
      </c>
    </row>
  </sheetData>
  <mergeCells count="4">
    <mergeCell ref="AA47:AD47"/>
    <mergeCell ref="AC69:AE69"/>
    <mergeCell ref="AC70:AE70"/>
    <mergeCell ref="AK42:AL42"/>
  </mergeCells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6DF4-6FDC-47D6-8D1F-2AC44DF94BFF}">
  <dimension ref="A1:AM110"/>
  <sheetViews>
    <sheetView topLeftCell="A74" zoomScale="50" zoomScaleNormal="85" workbookViewId="0">
      <selection activeCell="AL43" sqref="AL43"/>
    </sheetView>
  </sheetViews>
  <sheetFormatPr defaultRowHeight="16.2" x14ac:dyDescent="0.3"/>
  <cols>
    <col min="11" max="11" width="20" customWidth="1"/>
    <col min="12" max="12" width="13.6640625" bestFit="1" customWidth="1"/>
    <col min="13" max="24" width="12.77734375" bestFit="1" customWidth="1"/>
    <col min="25" max="25" width="13.6640625" bestFit="1" customWidth="1"/>
    <col min="32" max="32" width="16.6640625" customWidth="1"/>
  </cols>
  <sheetData>
    <row r="1" spans="1:39" x14ac:dyDescent="0.3">
      <c r="A1" t="s">
        <v>0</v>
      </c>
      <c r="B1" t="s">
        <v>89</v>
      </c>
      <c r="C1" t="s">
        <v>55</v>
      </c>
      <c r="D1" t="s">
        <v>103</v>
      </c>
      <c r="E1" t="s">
        <v>104</v>
      </c>
      <c r="F1" t="s">
        <v>56</v>
      </c>
      <c r="G1" t="s">
        <v>57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Z1" s="45" t="s">
        <v>72</v>
      </c>
      <c r="AA1" s="45" t="s">
        <v>3</v>
      </c>
      <c r="AB1" s="45" t="s">
        <v>4</v>
      </c>
      <c r="AC1" s="45" t="s">
        <v>5</v>
      </c>
      <c r="AD1" s="45" t="s">
        <v>6</v>
      </c>
      <c r="AE1" s="45" t="s">
        <v>7</v>
      </c>
      <c r="AF1" s="45" t="s">
        <v>8</v>
      </c>
      <c r="AG1" s="45" t="s">
        <v>9</v>
      </c>
      <c r="AH1" s="45" t="s">
        <v>10</v>
      </c>
      <c r="AI1" s="45" t="s">
        <v>11</v>
      </c>
      <c r="AJ1" s="45" t="s">
        <v>12</v>
      </c>
      <c r="AK1" s="45" t="s">
        <v>13</v>
      </c>
      <c r="AL1" s="45" t="s">
        <v>14</v>
      </c>
      <c r="AM1" s="45" t="s">
        <v>15</v>
      </c>
    </row>
    <row r="2" spans="1:39" x14ac:dyDescent="0.3">
      <c r="A2" t="s">
        <v>16</v>
      </c>
      <c r="B2">
        <v>1482000</v>
      </c>
      <c r="C2">
        <v>2923.1831964486901</v>
      </c>
      <c r="D2">
        <v>36000.824999999997</v>
      </c>
      <c r="E2">
        <v>12.75</v>
      </c>
      <c r="F2">
        <v>459377.66694744199</v>
      </c>
      <c r="G2">
        <v>520420.08929999999</v>
      </c>
      <c r="K2" s="1" t="s">
        <v>16</v>
      </c>
      <c r="L2">
        <v>1</v>
      </c>
      <c r="M2">
        <v>5</v>
      </c>
      <c r="N2">
        <v>0.5</v>
      </c>
      <c r="O2">
        <v>2.5</v>
      </c>
      <c r="P2">
        <v>0</v>
      </c>
      <c r="Q2">
        <v>0</v>
      </c>
      <c r="R2">
        <v>0</v>
      </c>
      <c r="S2">
        <v>0</v>
      </c>
      <c r="T2">
        <v>1.25</v>
      </c>
      <c r="U2">
        <v>2.5</v>
      </c>
      <c r="V2">
        <v>0</v>
      </c>
      <c r="W2">
        <v>0</v>
      </c>
      <c r="X2">
        <v>0</v>
      </c>
      <c r="Z2" s="45" t="s">
        <v>58</v>
      </c>
      <c r="AA2" s="46">
        <v>0</v>
      </c>
      <c r="AB2" s="46">
        <v>146</v>
      </c>
      <c r="AC2" s="46">
        <v>311</v>
      </c>
      <c r="AD2" s="46">
        <v>0</v>
      </c>
      <c r="AE2" s="46">
        <v>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</row>
    <row r="3" spans="1:39" x14ac:dyDescent="0.3">
      <c r="A3" t="s">
        <v>17</v>
      </c>
      <c r="B3">
        <v>790400</v>
      </c>
      <c r="C3">
        <v>1501.8738295875501</v>
      </c>
      <c r="D3">
        <v>19095.900000000001</v>
      </c>
      <c r="E3">
        <v>7.75</v>
      </c>
      <c r="F3">
        <v>147781.422308757</v>
      </c>
      <c r="G3">
        <v>167792.7721</v>
      </c>
      <c r="K3" s="1" t="s">
        <v>17</v>
      </c>
      <c r="L3">
        <v>1.25</v>
      </c>
      <c r="M3">
        <v>0</v>
      </c>
      <c r="N3">
        <v>0.5</v>
      </c>
      <c r="O3">
        <v>2.5</v>
      </c>
      <c r="P3">
        <v>0</v>
      </c>
      <c r="Q3">
        <v>0</v>
      </c>
      <c r="R3">
        <v>0</v>
      </c>
      <c r="S3">
        <v>1</v>
      </c>
      <c r="T3">
        <v>0</v>
      </c>
      <c r="U3">
        <v>2.5</v>
      </c>
      <c r="V3">
        <v>0</v>
      </c>
      <c r="W3">
        <v>0</v>
      </c>
      <c r="X3">
        <v>0</v>
      </c>
      <c r="Z3" s="45" t="s">
        <v>59</v>
      </c>
      <c r="AA3" s="46">
        <v>146</v>
      </c>
      <c r="AB3" s="46">
        <v>0</v>
      </c>
      <c r="AC3" s="46">
        <v>165</v>
      </c>
      <c r="AD3" s="46">
        <v>357</v>
      </c>
      <c r="AE3" s="46">
        <v>0</v>
      </c>
      <c r="AF3" s="46">
        <v>0</v>
      </c>
      <c r="AG3" s="46">
        <v>0</v>
      </c>
      <c r="AH3" s="46">
        <v>0</v>
      </c>
      <c r="AI3" s="46">
        <v>0</v>
      </c>
      <c r="AJ3" s="46">
        <v>0</v>
      </c>
      <c r="AK3" s="46">
        <v>0</v>
      </c>
      <c r="AL3" s="46">
        <v>0</v>
      </c>
      <c r="AM3" s="46">
        <v>0</v>
      </c>
    </row>
    <row r="4" spans="1:39" x14ac:dyDescent="0.3">
      <c r="A4" t="s">
        <v>18</v>
      </c>
      <c r="B4">
        <v>1112800</v>
      </c>
      <c r="C4">
        <v>1979.4254216817501</v>
      </c>
      <c r="D4">
        <v>12937.2</v>
      </c>
      <c r="E4">
        <v>9.5</v>
      </c>
      <c r="F4">
        <v>251737.28905089601</v>
      </c>
      <c r="G4">
        <v>139346.2585</v>
      </c>
      <c r="K4" s="1" t="s">
        <v>18</v>
      </c>
      <c r="L4">
        <v>0</v>
      </c>
      <c r="M4">
        <v>1.75</v>
      </c>
      <c r="N4">
        <v>0.75</v>
      </c>
      <c r="O4">
        <v>3</v>
      </c>
      <c r="P4">
        <v>0</v>
      </c>
      <c r="Q4">
        <v>0</v>
      </c>
      <c r="R4">
        <v>0</v>
      </c>
      <c r="S4">
        <v>0</v>
      </c>
      <c r="T4">
        <v>1.5</v>
      </c>
      <c r="U4">
        <v>2.5</v>
      </c>
      <c r="V4">
        <v>0</v>
      </c>
      <c r="W4">
        <v>0</v>
      </c>
      <c r="X4">
        <v>0</v>
      </c>
      <c r="Z4" s="45" t="s">
        <v>60</v>
      </c>
      <c r="AA4" s="46">
        <v>0</v>
      </c>
      <c r="AB4" s="46">
        <v>0</v>
      </c>
      <c r="AC4" s="46">
        <v>0</v>
      </c>
      <c r="AD4" s="46">
        <v>193</v>
      </c>
      <c r="AE4" s="46">
        <v>0</v>
      </c>
      <c r="AF4" s="46">
        <v>0</v>
      </c>
      <c r="AG4" s="46">
        <v>0</v>
      </c>
      <c r="AH4" s="46">
        <v>0</v>
      </c>
      <c r="AI4" s="46">
        <f>236+211</f>
        <v>447</v>
      </c>
      <c r="AJ4" s="46">
        <v>0</v>
      </c>
      <c r="AK4" s="46">
        <v>0</v>
      </c>
      <c r="AL4" s="46">
        <v>0</v>
      </c>
      <c r="AM4" s="46">
        <v>0</v>
      </c>
    </row>
    <row r="5" spans="1:39" x14ac:dyDescent="0.3">
      <c r="A5" t="s">
        <v>19</v>
      </c>
      <c r="B5">
        <v>561600</v>
      </c>
      <c r="C5">
        <v>1450</v>
      </c>
      <c r="D5">
        <v>15620.4</v>
      </c>
      <c r="E5">
        <v>7.5</v>
      </c>
      <c r="F5">
        <v>109012.143676094</v>
      </c>
      <c r="G5">
        <v>132826.5306</v>
      </c>
      <c r="K5" s="1" t="s">
        <v>19</v>
      </c>
      <c r="L5">
        <v>1</v>
      </c>
      <c r="M5">
        <v>2</v>
      </c>
      <c r="N5">
        <v>0</v>
      </c>
      <c r="O5">
        <v>3</v>
      </c>
      <c r="P5">
        <v>0</v>
      </c>
      <c r="Q5">
        <v>0</v>
      </c>
      <c r="R5">
        <v>0.25</v>
      </c>
      <c r="S5">
        <v>1.25</v>
      </c>
      <c r="T5">
        <v>0</v>
      </c>
      <c r="U5">
        <v>0</v>
      </c>
      <c r="V5">
        <v>0</v>
      </c>
      <c r="W5">
        <v>0</v>
      </c>
      <c r="X5">
        <v>0</v>
      </c>
      <c r="Z5" s="45" t="s">
        <v>61</v>
      </c>
      <c r="AA5" s="46">
        <v>0</v>
      </c>
      <c r="AB5" s="46">
        <v>0</v>
      </c>
      <c r="AC5" s="46">
        <v>193</v>
      </c>
      <c r="AD5" s="46">
        <v>0</v>
      </c>
      <c r="AE5" s="46">
        <v>0</v>
      </c>
      <c r="AF5" s="46">
        <v>0</v>
      </c>
      <c r="AG5" s="46">
        <v>89</v>
      </c>
      <c r="AH5" s="46">
        <f>209+219</f>
        <v>428</v>
      </c>
      <c r="AI5" s="46">
        <f>428+209</f>
        <v>637</v>
      </c>
      <c r="AJ5" s="46">
        <v>0</v>
      </c>
      <c r="AK5" s="46">
        <v>0</v>
      </c>
      <c r="AL5" s="46">
        <v>0</v>
      </c>
      <c r="AM5" s="46">
        <v>0</v>
      </c>
    </row>
    <row r="6" spans="1:39" x14ac:dyDescent="0.3">
      <c r="A6" t="s">
        <v>20</v>
      </c>
      <c r="B6">
        <v>556400</v>
      </c>
      <c r="C6">
        <v>1289.3796958227599</v>
      </c>
      <c r="D6">
        <v>10908</v>
      </c>
      <c r="E6">
        <v>7.5</v>
      </c>
      <c r="F6">
        <v>105159.16502925901</v>
      </c>
      <c r="G6">
        <v>92755.102039999998</v>
      </c>
      <c r="K6" s="1" t="s">
        <v>20</v>
      </c>
      <c r="L6">
        <v>0</v>
      </c>
      <c r="M6">
        <v>1.5</v>
      </c>
      <c r="N6">
        <v>0.75</v>
      </c>
      <c r="O6">
        <v>3.5</v>
      </c>
      <c r="P6">
        <v>0</v>
      </c>
      <c r="Q6">
        <v>0</v>
      </c>
      <c r="R6">
        <v>0</v>
      </c>
      <c r="S6">
        <v>0</v>
      </c>
      <c r="T6">
        <v>1.75</v>
      </c>
      <c r="U6">
        <v>0</v>
      </c>
      <c r="V6">
        <v>0</v>
      </c>
      <c r="W6">
        <v>0</v>
      </c>
      <c r="X6">
        <v>0</v>
      </c>
      <c r="Z6" s="45" t="s">
        <v>62</v>
      </c>
      <c r="AA6" s="46">
        <v>0</v>
      </c>
      <c r="AB6" s="46">
        <v>0</v>
      </c>
      <c r="AC6" s="46">
        <v>0</v>
      </c>
      <c r="AD6" s="46">
        <v>0</v>
      </c>
      <c r="AE6" s="46">
        <v>0</v>
      </c>
      <c r="AF6" s="46">
        <v>282</v>
      </c>
      <c r="AG6" s="46">
        <v>485</v>
      </c>
      <c r="AH6" s="46">
        <f>633+131</f>
        <v>764</v>
      </c>
      <c r="AI6" s="46">
        <v>0</v>
      </c>
      <c r="AJ6" s="46">
        <v>0</v>
      </c>
      <c r="AK6" s="46">
        <v>0</v>
      </c>
      <c r="AL6" s="46">
        <v>0</v>
      </c>
      <c r="AM6" s="46">
        <v>0</v>
      </c>
    </row>
    <row r="7" spans="1:39" x14ac:dyDescent="0.3">
      <c r="A7" t="s">
        <v>21</v>
      </c>
      <c r="B7">
        <v>577200</v>
      </c>
      <c r="C7">
        <v>632.94944505860803</v>
      </c>
      <c r="D7">
        <v>8272.4249999999993</v>
      </c>
      <c r="E7">
        <v>10.5</v>
      </c>
      <c r="F7">
        <v>133668.88214659301</v>
      </c>
      <c r="G7">
        <v>98481.25</v>
      </c>
      <c r="K7" s="1" t="s">
        <v>21</v>
      </c>
      <c r="L7">
        <v>0.75</v>
      </c>
      <c r="M7">
        <v>1.25</v>
      </c>
      <c r="N7">
        <v>0.5</v>
      </c>
      <c r="O7">
        <v>3</v>
      </c>
      <c r="P7">
        <v>0</v>
      </c>
      <c r="Q7">
        <v>0</v>
      </c>
      <c r="R7">
        <v>0</v>
      </c>
      <c r="S7">
        <v>1</v>
      </c>
      <c r="T7">
        <v>1.25</v>
      </c>
      <c r="U7">
        <v>2.75</v>
      </c>
      <c r="V7">
        <v>0</v>
      </c>
      <c r="W7">
        <v>0</v>
      </c>
      <c r="X7">
        <v>0</v>
      </c>
      <c r="Z7" s="45" t="s">
        <v>63</v>
      </c>
      <c r="AA7" s="46">
        <v>0</v>
      </c>
      <c r="AB7" s="46">
        <v>0</v>
      </c>
      <c r="AC7" s="46">
        <v>89</v>
      </c>
      <c r="AD7" s="46">
        <v>0</v>
      </c>
      <c r="AE7" s="46">
        <v>0</v>
      </c>
      <c r="AF7" s="46">
        <v>0</v>
      </c>
      <c r="AG7" s="46">
        <v>202</v>
      </c>
      <c r="AH7" s="46">
        <v>350</v>
      </c>
      <c r="AI7" s="46">
        <f>287+123</f>
        <v>410</v>
      </c>
      <c r="AJ7" s="46">
        <v>0</v>
      </c>
      <c r="AK7" s="46">
        <v>0</v>
      </c>
      <c r="AL7" s="46">
        <v>0</v>
      </c>
      <c r="AM7" s="46">
        <v>0</v>
      </c>
    </row>
    <row r="8" spans="1:39" x14ac:dyDescent="0.3">
      <c r="A8" t="s">
        <v>22</v>
      </c>
      <c r="B8">
        <v>878800</v>
      </c>
      <c r="C8">
        <v>1189.80040342907</v>
      </c>
      <c r="D8">
        <v>20109.599999999999</v>
      </c>
      <c r="E8">
        <v>10</v>
      </c>
      <c r="F8">
        <v>199647.227445269</v>
      </c>
      <c r="G8">
        <v>228000</v>
      </c>
      <c r="K8" s="1" t="s">
        <v>22</v>
      </c>
      <c r="L8">
        <v>0</v>
      </c>
      <c r="M8">
        <v>0</v>
      </c>
      <c r="N8">
        <v>0.75</v>
      </c>
      <c r="O8">
        <v>3.5</v>
      </c>
      <c r="P8">
        <v>1</v>
      </c>
      <c r="Q8">
        <v>1.5</v>
      </c>
      <c r="R8">
        <v>0</v>
      </c>
      <c r="S8">
        <v>0</v>
      </c>
      <c r="T8">
        <v>1.25</v>
      </c>
      <c r="U8">
        <v>2</v>
      </c>
      <c r="V8">
        <v>0</v>
      </c>
      <c r="W8">
        <v>0</v>
      </c>
      <c r="X8">
        <v>0</v>
      </c>
      <c r="Z8" s="45" t="s">
        <v>64</v>
      </c>
      <c r="AA8" s="46">
        <v>0</v>
      </c>
      <c r="AB8" s="46">
        <v>0</v>
      </c>
      <c r="AC8" s="46">
        <v>0</v>
      </c>
      <c r="AD8" s="46">
        <v>0</v>
      </c>
      <c r="AE8" s="46">
        <f>489</f>
        <v>489</v>
      </c>
      <c r="AF8" s="46">
        <v>202</v>
      </c>
      <c r="AG8" s="46">
        <v>0</v>
      </c>
      <c r="AH8" s="46">
        <f>148+131</f>
        <v>279</v>
      </c>
      <c r="AI8" s="46">
        <f>489+121</f>
        <v>610</v>
      </c>
      <c r="AJ8" s="46">
        <v>0</v>
      </c>
      <c r="AK8" s="46">
        <v>0</v>
      </c>
      <c r="AL8" s="46">
        <v>0</v>
      </c>
      <c r="AM8" s="46">
        <v>0</v>
      </c>
    </row>
    <row r="9" spans="1:39" x14ac:dyDescent="0.3">
      <c r="A9" t="s">
        <v>23</v>
      </c>
      <c r="B9">
        <v>1019200</v>
      </c>
      <c r="C9">
        <v>1870.9957242067601</v>
      </c>
      <c r="D9">
        <v>9424.7999999999993</v>
      </c>
      <c r="E9">
        <v>4.75</v>
      </c>
      <c r="F9">
        <v>115991.986662825</v>
      </c>
      <c r="G9">
        <v>50757.14286</v>
      </c>
      <c r="K9" s="1" t="s">
        <v>23</v>
      </c>
      <c r="L9">
        <v>0</v>
      </c>
      <c r="M9">
        <v>0</v>
      </c>
      <c r="N9">
        <v>0</v>
      </c>
      <c r="O9">
        <v>0</v>
      </c>
      <c r="P9">
        <v>1.25</v>
      </c>
      <c r="Q9">
        <v>0</v>
      </c>
      <c r="R9">
        <v>0</v>
      </c>
      <c r="S9">
        <v>2</v>
      </c>
      <c r="T9">
        <v>1</v>
      </c>
      <c r="U9">
        <v>0.5</v>
      </c>
      <c r="V9">
        <v>0</v>
      </c>
      <c r="W9">
        <v>0</v>
      </c>
      <c r="X9">
        <v>0</v>
      </c>
      <c r="Z9" s="45" t="s">
        <v>65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f>636</f>
        <v>636</v>
      </c>
      <c r="AJ9" s="46">
        <f>317</f>
        <v>317</v>
      </c>
      <c r="AK9" s="46">
        <v>0</v>
      </c>
      <c r="AL9" s="46">
        <v>0</v>
      </c>
      <c r="AM9" s="46">
        <v>0</v>
      </c>
    </row>
    <row r="10" spans="1:39" x14ac:dyDescent="0.3">
      <c r="A10" t="s">
        <v>24</v>
      </c>
      <c r="B10">
        <v>686400</v>
      </c>
      <c r="C10">
        <v>1360.1470508735399</v>
      </c>
      <c r="D10">
        <v>12423</v>
      </c>
      <c r="E10">
        <v>8.5</v>
      </c>
      <c r="F10">
        <v>141979.80636159299</v>
      </c>
      <c r="G10">
        <v>119722.78909999999</v>
      </c>
      <c r="K10" s="1" t="s">
        <v>24</v>
      </c>
      <c r="L10">
        <v>0</v>
      </c>
      <c r="M10">
        <v>0</v>
      </c>
      <c r="N10">
        <v>0</v>
      </c>
      <c r="O10">
        <v>0</v>
      </c>
      <c r="P10">
        <v>1.25</v>
      </c>
      <c r="Q10">
        <v>1.75</v>
      </c>
      <c r="R10">
        <v>1.25</v>
      </c>
      <c r="S10">
        <v>0</v>
      </c>
      <c r="T10">
        <v>1.25</v>
      </c>
      <c r="U10">
        <v>3</v>
      </c>
      <c r="V10">
        <v>0</v>
      </c>
      <c r="W10">
        <v>0</v>
      </c>
      <c r="X10">
        <v>0</v>
      </c>
      <c r="Z10" s="45" t="s">
        <v>66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f>319</f>
        <v>319</v>
      </c>
      <c r="AK10" s="46">
        <v>0</v>
      </c>
      <c r="AL10" s="46">
        <v>0</v>
      </c>
      <c r="AM10" s="46">
        <v>0</v>
      </c>
    </row>
    <row r="11" spans="1:39" x14ac:dyDescent="0.3">
      <c r="A11" t="s">
        <v>25</v>
      </c>
      <c r="B11">
        <v>395200</v>
      </c>
      <c r="C11">
        <v>738.66433513470702</v>
      </c>
      <c r="D11">
        <v>8300.3250000000007</v>
      </c>
      <c r="E11">
        <v>6.5</v>
      </c>
      <c r="F11">
        <v>61767.376059521899</v>
      </c>
      <c r="G11">
        <v>61170.19558</v>
      </c>
      <c r="K11" s="1" t="s">
        <v>25</v>
      </c>
      <c r="L11">
        <v>0</v>
      </c>
      <c r="M11">
        <v>0</v>
      </c>
      <c r="N11">
        <v>0</v>
      </c>
      <c r="O11">
        <v>0</v>
      </c>
      <c r="P11">
        <v>1.5</v>
      </c>
      <c r="Q11">
        <v>1.75</v>
      </c>
      <c r="R11">
        <v>0</v>
      </c>
      <c r="S11">
        <v>0</v>
      </c>
      <c r="T11">
        <v>1.25</v>
      </c>
      <c r="U11">
        <v>2</v>
      </c>
      <c r="V11">
        <v>0</v>
      </c>
      <c r="W11">
        <v>0</v>
      </c>
      <c r="X11">
        <v>0</v>
      </c>
      <c r="Z11" s="45" t="s">
        <v>67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6">
        <v>0</v>
      </c>
      <c r="AG11" s="46">
        <v>0</v>
      </c>
      <c r="AH11" s="46">
        <v>0</v>
      </c>
      <c r="AI11" s="46">
        <v>319</v>
      </c>
      <c r="AJ11" s="46">
        <v>0</v>
      </c>
      <c r="AK11" s="46">
        <v>0</v>
      </c>
      <c r="AL11" s="46">
        <v>0</v>
      </c>
      <c r="AM11" s="46">
        <v>0</v>
      </c>
    </row>
    <row r="12" spans="1:39" x14ac:dyDescent="0.3">
      <c r="A12" t="s">
        <v>26</v>
      </c>
      <c r="B12">
        <v>1164800</v>
      </c>
      <c r="C12">
        <v>1939.0719429665301</v>
      </c>
      <c r="D12">
        <v>16544.849999999999</v>
      </c>
      <c r="E12">
        <v>4</v>
      </c>
      <c r="F12">
        <v>109578.87332953</v>
      </c>
      <c r="G12">
        <v>75033.333329999994</v>
      </c>
      <c r="K12" s="1" t="s">
        <v>26</v>
      </c>
      <c r="L12">
        <v>0</v>
      </c>
      <c r="M12">
        <v>0</v>
      </c>
      <c r="N12">
        <v>0</v>
      </c>
      <c r="O12">
        <v>0</v>
      </c>
      <c r="P12">
        <v>2.5</v>
      </c>
      <c r="Q12">
        <v>0</v>
      </c>
      <c r="R12">
        <v>0.75</v>
      </c>
      <c r="S12">
        <v>0</v>
      </c>
      <c r="T12">
        <v>0.75</v>
      </c>
      <c r="U12">
        <v>0</v>
      </c>
      <c r="V12">
        <v>0</v>
      </c>
      <c r="W12">
        <v>0</v>
      </c>
      <c r="X12">
        <v>0</v>
      </c>
      <c r="Z12" s="45" t="s">
        <v>68</v>
      </c>
      <c r="AA12" s="46">
        <v>0</v>
      </c>
      <c r="AB12" s="46">
        <v>0</v>
      </c>
      <c r="AC12" s="46">
        <v>0</v>
      </c>
      <c r="AD12" s="46">
        <v>0</v>
      </c>
      <c r="AE12" s="46">
        <v>0</v>
      </c>
      <c r="AF12" s="46">
        <v>0</v>
      </c>
      <c r="AG12" s="46">
        <v>0</v>
      </c>
      <c r="AH12" s="46">
        <v>0</v>
      </c>
      <c r="AI12" s="46">
        <v>0</v>
      </c>
      <c r="AJ12" s="46">
        <v>0</v>
      </c>
      <c r="AK12" s="46">
        <v>0</v>
      </c>
      <c r="AL12" s="46">
        <v>85.5</v>
      </c>
      <c r="AM12" s="46">
        <v>95</v>
      </c>
    </row>
    <row r="13" spans="1:39" x14ac:dyDescent="0.3">
      <c r="A13" t="s">
        <v>27</v>
      </c>
      <c r="B13">
        <v>1310400</v>
      </c>
      <c r="C13">
        <v>1800</v>
      </c>
      <c r="D13">
        <v>19040.099999999999</v>
      </c>
      <c r="E13">
        <v>6</v>
      </c>
      <c r="F13">
        <v>179018.95647832801</v>
      </c>
      <c r="G13">
        <v>129524.4898</v>
      </c>
      <c r="K13" s="1" t="s">
        <v>27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0.5</v>
      </c>
      <c r="S13">
        <v>0</v>
      </c>
      <c r="T13">
        <v>1.25</v>
      </c>
      <c r="U13">
        <v>2.25</v>
      </c>
      <c r="V13">
        <v>0</v>
      </c>
      <c r="W13">
        <v>0</v>
      </c>
      <c r="X13">
        <v>0</v>
      </c>
      <c r="Z13" s="45" t="s">
        <v>69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  <c r="AI13" s="46">
        <v>0</v>
      </c>
      <c r="AJ13" s="46">
        <v>0</v>
      </c>
      <c r="AK13" s="46">
        <v>85.5</v>
      </c>
      <c r="AL13" s="46">
        <v>0</v>
      </c>
      <c r="AM13" s="46">
        <f>85.5+95</f>
        <v>180.5</v>
      </c>
    </row>
    <row r="14" spans="1:39" x14ac:dyDescent="0.3">
      <c r="A14" t="s">
        <v>28</v>
      </c>
      <c r="B14">
        <v>629200</v>
      </c>
      <c r="C14">
        <v>984.88578017961004</v>
      </c>
      <c r="D14">
        <v>9520.0499999999993</v>
      </c>
      <c r="E14">
        <v>7.5</v>
      </c>
      <c r="F14">
        <v>109776.732399264</v>
      </c>
      <c r="G14">
        <v>80952.806119999994</v>
      </c>
      <c r="K14" s="1" t="s">
        <v>28</v>
      </c>
      <c r="L14">
        <v>0</v>
      </c>
      <c r="M14">
        <v>0</v>
      </c>
      <c r="N14">
        <v>0</v>
      </c>
      <c r="O14">
        <v>0</v>
      </c>
      <c r="P14">
        <v>1.25</v>
      </c>
      <c r="Q14">
        <v>2.25</v>
      </c>
      <c r="R14">
        <v>0.75</v>
      </c>
      <c r="S14">
        <v>2</v>
      </c>
      <c r="T14">
        <v>1.25</v>
      </c>
      <c r="U14">
        <v>0</v>
      </c>
      <c r="V14">
        <v>0</v>
      </c>
      <c r="W14">
        <v>0</v>
      </c>
      <c r="X14">
        <v>0</v>
      </c>
      <c r="Z14" s="45" t="s">
        <v>70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  <c r="AH14" s="46">
        <v>0</v>
      </c>
      <c r="AI14" s="46">
        <v>0</v>
      </c>
      <c r="AJ14" s="46">
        <v>0</v>
      </c>
      <c r="AK14" s="46">
        <v>0</v>
      </c>
      <c r="AL14" s="46">
        <f>180.5</f>
        <v>180.5</v>
      </c>
      <c r="AM14" s="46">
        <v>0</v>
      </c>
    </row>
    <row r="15" spans="1:39" x14ac:dyDescent="0.3">
      <c r="A15" t="s">
        <v>29</v>
      </c>
      <c r="B15">
        <v>1341600</v>
      </c>
      <c r="C15">
        <v>1714.64281994822</v>
      </c>
      <c r="D15">
        <v>27190.2</v>
      </c>
      <c r="E15">
        <v>4.75</v>
      </c>
      <c r="F15">
        <v>143528.97929852601</v>
      </c>
      <c r="G15">
        <v>146432.48300000001</v>
      </c>
      <c r="K15" s="1" t="s">
        <v>29</v>
      </c>
      <c r="L15">
        <v>0</v>
      </c>
      <c r="M15">
        <v>0</v>
      </c>
      <c r="N15">
        <v>0</v>
      </c>
      <c r="O15">
        <v>0</v>
      </c>
      <c r="P15">
        <v>1</v>
      </c>
      <c r="Q15">
        <v>1.5</v>
      </c>
      <c r="R15">
        <v>0.5</v>
      </c>
      <c r="S15">
        <v>1.75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39" x14ac:dyDescent="0.3">
      <c r="A16" t="s">
        <v>30</v>
      </c>
      <c r="B16">
        <v>488800</v>
      </c>
      <c r="C16">
        <v>1138.2552437832201</v>
      </c>
      <c r="D16">
        <v>4712.3999999999996</v>
      </c>
      <c r="E16">
        <v>7.5</v>
      </c>
      <c r="F16">
        <v>92489.6340889126</v>
      </c>
      <c r="G16">
        <v>40071.428569999996</v>
      </c>
      <c r="K16" s="1" t="s">
        <v>30</v>
      </c>
      <c r="L16">
        <v>0</v>
      </c>
      <c r="M16">
        <v>0</v>
      </c>
      <c r="N16">
        <v>0</v>
      </c>
      <c r="O16">
        <v>0</v>
      </c>
      <c r="P16">
        <v>0.75</v>
      </c>
      <c r="Q16">
        <v>1.25</v>
      </c>
      <c r="R16">
        <v>0.5</v>
      </c>
      <c r="S16">
        <v>2.5</v>
      </c>
      <c r="T16">
        <v>0</v>
      </c>
      <c r="U16">
        <v>2.5</v>
      </c>
      <c r="V16">
        <v>0</v>
      </c>
      <c r="W16">
        <v>0</v>
      </c>
      <c r="X16">
        <v>0</v>
      </c>
    </row>
    <row r="17" spans="1:39" x14ac:dyDescent="0.3">
      <c r="A17" t="s">
        <v>31</v>
      </c>
      <c r="B17">
        <v>696800</v>
      </c>
      <c r="C17">
        <v>2404.6829312822001</v>
      </c>
      <c r="D17">
        <v>20301</v>
      </c>
      <c r="E17">
        <v>10</v>
      </c>
      <c r="F17">
        <v>195940.52760140499</v>
      </c>
      <c r="G17">
        <v>230170.068</v>
      </c>
      <c r="K17" s="1" t="s">
        <v>31</v>
      </c>
      <c r="L17">
        <v>0</v>
      </c>
      <c r="M17">
        <v>0</v>
      </c>
      <c r="N17">
        <v>0</v>
      </c>
      <c r="O17">
        <v>0</v>
      </c>
      <c r="P17">
        <v>0</v>
      </c>
      <c r="Q17">
        <v>1.25</v>
      </c>
      <c r="R17">
        <v>0</v>
      </c>
      <c r="S17">
        <v>5</v>
      </c>
      <c r="T17">
        <v>1.25</v>
      </c>
      <c r="U17">
        <v>2.5</v>
      </c>
      <c r="V17">
        <v>0</v>
      </c>
      <c r="W17">
        <v>0</v>
      </c>
      <c r="X17">
        <v>0</v>
      </c>
      <c r="Z17" s="2" t="s">
        <v>73</v>
      </c>
      <c r="AA17" s="2" t="s">
        <v>3</v>
      </c>
      <c r="AB17" s="2" t="s">
        <v>4</v>
      </c>
      <c r="AC17" s="2" t="s">
        <v>5</v>
      </c>
      <c r="AD17" s="2" t="s">
        <v>6</v>
      </c>
      <c r="AE17" s="2" t="s">
        <v>7</v>
      </c>
      <c r="AF17" s="2" t="s">
        <v>8</v>
      </c>
      <c r="AG17" s="2" t="s">
        <v>9</v>
      </c>
      <c r="AH17" s="2" t="s">
        <v>10</v>
      </c>
      <c r="AI17" s="2" t="s">
        <v>11</v>
      </c>
      <c r="AJ17" s="2" t="s">
        <v>12</v>
      </c>
      <c r="AK17" s="2" t="s">
        <v>13</v>
      </c>
      <c r="AL17" s="2" t="s">
        <v>14</v>
      </c>
      <c r="AM17" s="2" t="s">
        <v>15</v>
      </c>
    </row>
    <row r="18" spans="1:39" x14ac:dyDescent="0.3">
      <c r="A18" t="s">
        <v>32</v>
      </c>
      <c r="B18">
        <v>800800</v>
      </c>
      <c r="C18">
        <v>1051.48704224065</v>
      </c>
      <c r="D18">
        <v>9520.0499999999993</v>
      </c>
      <c r="E18">
        <v>7.25</v>
      </c>
      <c r="F18">
        <v>131286.27073386399</v>
      </c>
      <c r="G18">
        <v>78254.379249999998</v>
      </c>
      <c r="K18" s="1" t="s">
        <v>32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0.75</v>
      </c>
      <c r="W18">
        <v>3</v>
      </c>
      <c r="X18">
        <v>3.5</v>
      </c>
      <c r="Z18" s="1" t="s">
        <v>16</v>
      </c>
      <c r="AA18">
        <f>L2*$D$2</f>
        <v>36000.824999999997</v>
      </c>
      <c r="AB18">
        <f t="shared" ref="AB18:AM18" si="0">M2*$D$2</f>
        <v>180004.125</v>
      </c>
      <c r="AC18">
        <f t="shared" si="0"/>
        <v>18000.412499999999</v>
      </c>
      <c r="AD18">
        <f t="shared" si="0"/>
        <v>90002.0625</v>
      </c>
      <c r="AE18">
        <f t="shared" si="0"/>
        <v>0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45001.03125</v>
      </c>
      <c r="AJ18">
        <f t="shared" si="0"/>
        <v>90002.0625</v>
      </c>
      <c r="AK18">
        <f t="shared" si="0"/>
        <v>0</v>
      </c>
      <c r="AL18">
        <f t="shared" si="0"/>
        <v>0</v>
      </c>
      <c r="AM18">
        <f t="shared" si="0"/>
        <v>0</v>
      </c>
    </row>
    <row r="19" spans="1:39" x14ac:dyDescent="0.3">
      <c r="A19" t="s">
        <v>33</v>
      </c>
      <c r="B19">
        <v>1076400</v>
      </c>
      <c r="C19">
        <v>1304.79883506998</v>
      </c>
      <c r="D19">
        <v>20555.099999999999</v>
      </c>
      <c r="E19">
        <v>6.25</v>
      </c>
      <c r="F19">
        <v>150380.86921631001</v>
      </c>
      <c r="G19">
        <v>145656.8878</v>
      </c>
      <c r="K19" s="1" t="s">
        <v>33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1.25</v>
      </c>
      <c r="W19">
        <v>1.25</v>
      </c>
      <c r="X19">
        <v>3.75</v>
      </c>
      <c r="Z19" s="1" t="s">
        <v>17</v>
      </c>
      <c r="AA19">
        <f>L3*$D$3</f>
        <v>23869.875</v>
      </c>
      <c r="AB19">
        <f t="shared" ref="AB19:AM19" si="1">M3*$D$3</f>
        <v>0</v>
      </c>
      <c r="AC19">
        <f t="shared" si="1"/>
        <v>9547.9500000000007</v>
      </c>
      <c r="AD19">
        <f t="shared" si="1"/>
        <v>47739.75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19095.900000000001</v>
      </c>
      <c r="AI19">
        <f t="shared" si="1"/>
        <v>0</v>
      </c>
      <c r="AJ19">
        <f t="shared" si="1"/>
        <v>47739.75</v>
      </c>
      <c r="AK19">
        <f t="shared" si="1"/>
        <v>0</v>
      </c>
      <c r="AL19">
        <f t="shared" si="1"/>
        <v>0</v>
      </c>
      <c r="AM19">
        <f t="shared" si="1"/>
        <v>0</v>
      </c>
    </row>
    <row r="20" spans="1:39" x14ac:dyDescent="0.3">
      <c r="A20" t="s">
        <v>34</v>
      </c>
      <c r="B20">
        <v>1528800</v>
      </c>
      <c r="C20">
        <v>2934.81260049087</v>
      </c>
      <c r="D20">
        <v>34753.199999999997</v>
      </c>
      <c r="E20">
        <v>10.5</v>
      </c>
      <c r="F20">
        <v>388075.55111607298</v>
      </c>
      <c r="G20">
        <v>413728.57140000002</v>
      </c>
      <c r="K20" s="1" t="s">
        <v>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4.25</v>
      </c>
      <c r="X20">
        <v>6.25</v>
      </c>
      <c r="Z20" s="1" t="s">
        <v>18</v>
      </c>
      <c r="AA20">
        <f>L4*$D$4</f>
        <v>0</v>
      </c>
      <c r="AB20">
        <f t="shared" ref="AB20:AM20" si="2">M4*$D$4</f>
        <v>22640.100000000002</v>
      </c>
      <c r="AC20">
        <f t="shared" si="2"/>
        <v>9702.9000000000015</v>
      </c>
      <c r="AD20">
        <f t="shared" si="2"/>
        <v>38811.600000000006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2"/>
        <v>0</v>
      </c>
      <c r="AI20">
        <f t="shared" si="2"/>
        <v>19405.800000000003</v>
      </c>
      <c r="AJ20">
        <f t="shared" si="2"/>
        <v>32343</v>
      </c>
      <c r="AK20">
        <f t="shared" si="2"/>
        <v>0</v>
      </c>
      <c r="AL20">
        <f t="shared" si="2"/>
        <v>0</v>
      </c>
      <c r="AM20">
        <f t="shared" si="2"/>
        <v>0</v>
      </c>
    </row>
    <row r="21" spans="1:39" x14ac:dyDescent="0.3">
      <c r="A21" t="s">
        <v>35</v>
      </c>
      <c r="B21">
        <v>1242800</v>
      </c>
      <c r="C21">
        <v>2240.5356502407999</v>
      </c>
      <c r="D21">
        <v>24188.1</v>
      </c>
      <c r="E21">
        <v>5.75</v>
      </c>
      <c r="F21">
        <v>170609.614955333</v>
      </c>
      <c r="G21">
        <v>157688.86050000001</v>
      </c>
      <c r="K21" s="1" t="s">
        <v>35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0.75</v>
      </c>
      <c r="W21">
        <v>2</v>
      </c>
      <c r="X21">
        <v>3</v>
      </c>
      <c r="Z21" s="1" t="s">
        <v>19</v>
      </c>
      <c r="AA21">
        <f>L5*$D$5</f>
        <v>15620.4</v>
      </c>
      <c r="AB21">
        <f t="shared" ref="AB21:AM21" si="3">M5*$D$5</f>
        <v>31240.799999999999</v>
      </c>
      <c r="AC21">
        <f t="shared" si="3"/>
        <v>0</v>
      </c>
      <c r="AD21">
        <f t="shared" si="3"/>
        <v>46861.2</v>
      </c>
      <c r="AE21">
        <f t="shared" si="3"/>
        <v>0</v>
      </c>
      <c r="AF21">
        <f t="shared" si="3"/>
        <v>0</v>
      </c>
      <c r="AG21">
        <f t="shared" si="3"/>
        <v>3905.1</v>
      </c>
      <c r="AH21">
        <f t="shared" si="3"/>
        <v>19525.5</v>
      </c>
      <c r="AI21">
        <f t="shared" si="3"/>
        <v>0</v>
      </c>
      <c r="AJ21">
        <f t="shared" si="3"/>
        <v>0</v>
      </c>
      <c r="AK21">
        <f t="shared" si="3"/>
        <v>0</v>
      </c>
      <c r="AL21">
        <f t="shared" si="3"/>
        <v>0</v>
      </c>
      <c r="AM21">
        <f t="shared" si="3"/>
        <v>0</v>
      </c>
    </row>
    <row r="22" spans="1:39" x14ac:dyDescent="0.3">
      <c r="D22">
        <f>SUM(D2:D21)</f>
        <v>339417.52499999997</v>
      </c>
      <c r="Z22" s="1" t="s">
        <v>20</v>
      </c>
      <c r="AA22">
        <f>L6*$D$6</f>
        <v>0</v>
      </c>
      <c r="AB22">
        <f t="shared" ref="AB22:AM22" si="4">M6*$D$6</f>
        <v>16362</v>
      </c>
      <c r="AC22">
        <f t="shared" si="4"/>
        <v>8181</v>
      </c>
      <c r="AD22">
        <f t="shared" si="4"/>
        <v>38178</v>
      </c>
      <c r="AE22">
        <f t="shared" si="4"/>
        <v>0</v>
      </c>
      <c r="AF22">
        <f t="shared" si="4"/>
        <v>0</v>
      </c>
      <c r="AG22">
        <f t="shared" si="4"/>
        <v>0</v>
      </c>
      <c r="AH22">
        <f t="shared" si="4"/>
        <v>0</v>
      </c>
      <c r="AI22">
        <f t="shared" si="4"/>
        <v>19089</v>
      </c>
      <c r="AJ22">
        <f t="shared" si="4"/>
        <v>0</v>
      </c>
      <c r="AK22">
        <f t="shared" si="4"/>
        <v>0</v>
      </c>
      <c r="AL22">
        <f t="shared" si="4"/>
        <v>0</v>
      </c>
      <c r="AM22">
        <f t="shared" si="4"/>
        <v>0</v>
      </c>
    </row>
    <row r="23" spans="1:39" x14ac:dyDescent="0.3">
      <c r="Z23" s="1" t="s">
        <v>21</v>
      </c>
      <c r="AA23">
        <f>L7*$D$7</f>
        <v>6204.3187499999995</v>
      </c>
      <c r="AB23">
        <f t="shared" ref="AB23:AM23" si="5">M7*$D$7</f>
        <v>10340.53125</v>
      </c>
      <c r="AC23">
        <f t="shared" si="5"/>
        <v>4136.2124999999996</v>
      </c>
      <c r="AD23">
        <f t="shared" si="5"/>
        <v>24817.274999999998</v>
      </c>
      <c r="AE23">
        <f t="shared" si="5"/>
        <v>0</v>
      </c>
      <c r="AF23">
        <f t="shared" si="5"/>
        <v>0</v>
      </c>
      <c r="AG23">
        <f t="shared" si="5"/>
        <v>0</v>
      </c>
      <c r="AH23">
        <f t="shared" si="5"/>
        <v>8272.4249999999993</v>
      </c>
      <c r="AI23">
        <f t="shared" si="5"/>
        <v>10340.53125</v>
      </c>
      <c r="AJ23">
        <f t="shared" si="5"/>
        <v>22749.168749999997</v>
      </c>
      <c r="AK23">
        <f t="shared" si="5"/>
        <v>0</v>
      </c>
      <c r="AL23">
        <f t="shared" si="5"/>
        <v>0</v>
      </c>
      <c r="AM23">
        <f t="shared" si="5"/>
        <v>0</v>
      </c>
    </row>
    <row r="24" spans="1:39" x14ac:dyDescent="0.3">
      <c r="K24" s="2" t="s">
        <v>36</v>
      </c>
      <c r="L24" s="2" t="s">
        <v>3</v>
      </c>
      <c r="M24" s="2" t="s">
        <v>4</v>
      </c>
      <c r="N24" s="2" t="s">
        <v>5</v>
      </c>
      <c r="O24" s="2" t="s">
        <v>6</v>
      </c>
      <c r="P24" s="2" t="s">
        <v>7</v>
      </c>
      <c r="Q24" s="2" t="s">
        <v>8</v>
      </c>
      <c r="R24" s="2" t="s">
        <v>9</v>
      </c>
      <c r="S24" s="2" t="s">
        <v>10</v>
      </c>
      <c r="T24" s="2" t="s">
        <v>11</v>
      </c>
      <c r="U24" s="2" t="s">
        <v>12</v>
      </c>
      <c r="V24" s="2" t="s">
        <v>13</v>
      </c>
      <c r="W24" s="2" t="s">
        <v>14</v>
      </c>
      <c r="X24" s="2" t="s">
        <v>15</v>
      </c>
      <c r="Z24" s="1" t="s">
        <v>22</v>
      </c>
      <c r="AA24">
        <f>L8*$D$8</f>
        <v>0</v>
      </c>
      <c r="AB24">
        <f t="shared" ref="AB24:AM24" si="6">M8*$D$8</f>
        <v>0</v>
      </c>
      <c r="AC24">
        <f t="shared" si="6"/>
        <v>15082.199999999999</v>
      </c>
      <c r="AD24">
        <f t="shared" si="6"/>
        <v>70383.599999999991</v>
      </c>
      <c r="AE24">
        <f t="shared" si="6"/>
        <v>20109.599999999999</v>
      </c>
      <c r="AF24">
        <f t="shared" si="6"/>
        <v>30164.399999999998</v>
      </c>
      <c r="AG24">
        <f t="shared" si="6"/>
        <v>0</v>
      </c>
      <c r="AH24">
        <f t="shared" si="6"/>
        <v>0</v>
      </c>
      <c r="AI24">
        <f t="shared" si="6"/>
        <v>25137</v>
      </c>
      <c r="AJ24">
        <f t="shared" si="6"/>
        <v>40219.199999999997</v>
      </c>
      <c r="AK24">
        <f t="shared" si="6"/>
        <v>0</v>
      </c>
      <c r="AL24">
        <f t="shared" si="6"/>
        <v>0</v>
      </c>
      <c r="AM24">
        <f t="shared" si="6"/>
        <v>0</v>
      </c>
    </row>
    <row r="25" spans="1:39" x14ac:dyDescent="0.3">
      <c r="K25" s="1" t="s">
        <v>16</v>
      </c>
      <c r="L25">
        <f>L2/$E$2</f>
        <v>7.8431372549019607E-2</v>
      </c>
      <c r="M25">
        <f t="shared" ref="M25:X25" si="7">M2/$E$2</f>
        <v>0.39215686274509803</v>
      </c>
      <c r="N25">
        <f t="shared" si="7"/>
        <v>3.9215686274509803E-2</v>
      </c>
      <c r="O25">
        <f t="shared" si="7"/>
        <v>0.19607843137254902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9.8039215686274508E-2</v>
      </c>
      <c r="U25">
        <f t="shared" si="7"/>
        <v>0.19607843137254902</v>
      </c>
      <c r="V25">
        <f t="shared" si="7"/>
        <v>0</v>
      </c>
      <c r="W25">
        <f t="shared" si="7"/>
        <v>0</v>
      </c>
      <c r="X25">
        <f t="shared" si="7"/>
        <v>0</v>
      </c>
      <c r="Z25" s="1" t="s">
        <v>23</v>
      </c>
      <c r="AA25">
        <f>L9*$D$9</f>
        <v>0</v>
      </c>
      <c r="AB25">
        <f t="shared" ref="AB25:AM25" si="8">M9*$D$9</f>
        <v>0</v>
      </c>
      <c r="AC25">
        <f t="shared" si="8"/>
        <v>0</v>
      </c>
      <c r="AD25">
        <f t="shared" si="8"/>
        <v>0</v>
      </c>
      <c r="AE25">
        <f t="shared" si="8"/>
        <v>11781</v>
      </c>
      <c r="AF25">
        <f t="shared" si="8"/>
        <v>0</v>
      </c>
      <c r="AG25">
        <f t="shared" si="8"/>
        <v>0</v>
      </c>
      <c r="AH25">
        <f t="shared" si="8"/>
        <v>18849.599999999999</v>
      </c>
      <c r="AI25">
        <f t="shared" si="8"/>
        <v>9424.7999999999993</v>
      </c>
      <c r="AJ25">
        <f t="shared" si="8"/>
        <v>4712.3999999999996</v>
      </c>
      <c r="AK25">
        <f t="shared" si="8"/>
        <v>0</v>
      </c>
      <c r="AL25">
        <f t="shared" si="8"/>
        <v>0</v>
      </c>
      <c r="AM25">
        <f t="shared" si="8"/>
        <v>0</v>
      </c>
    </row>
    <row r="26" spans="1:39" x14ac:dyDescent="0.3">
      <c r="K26" s="1" t="s">
        <v>17</v>
      </c>
      <c r="L26">
        <f>L3/$E$3</f>
        <v>0.16129032258064516</v>
      </c>
      <c r="M26">
        <f t="shared" ref="M26:X26" si="9">M3/$E$3</f>
        <v>0</v>
      </c>
      <c r="N26">
        <f t="shared" si="9"/>
        <v>6.4516129032258063E-2</v>
      </c>
      <c r="O26">
        <f t="shared" si="9"/>
        <v>0.32258064516129031</v>
      </c>
      <c r="P26">
        <f t="shared" si="9"/>
        <v>0</v>
      </c>
      <c r="Q26">
        <f t="shared" si="9"/>
        <v>0</v>
      </c>
      <c r="R26">
        <f t="shared" si="9"/>
        <v>0</v>
      </c>
      <c r="S26">
        <f t="shared" si="9"/>
        <v>0.12903225806451613</v>
      </c>
      <c r="T26">
        <f t="shared" si="9"/>
        <v>0</v>
      </c>
      <c r="U26">
        <f t="shared" si="9"/>
        <v>0.32258064516129031</v>
      </c>
      <c r="V26">
        <f t="shared" si="9"/>
        <v>0</v>
      </c>
      <c r="W26">
        <f t="shared" si="9"/>
        <v>0</v>
      </c>
      <c r="X26">
        <f t="shared" si="9"/>
        <v>0</v>
      </c>
      <c r="Z26" s="1" t="s">
        <v>24</v>
      </c>
      <c r="AA26">
        <f>L10*$D$10</f>
        <v>0</v>
      </c>
      <c r="AB26">
        <f t="shared" ref="AB26:AM26" si="10">M10*$D$10</f>
        <v>0</v>
      </c>
      <c r="AC26">
        <f t="shared" si="10"/>
        <v>0</v>
      </c>
      <c r="AD26">
        <f t="shared" si="10"/>
        <v>0</v>
      </c>
      <c r="AE26">
        <f t="shared" si="10"/>
        <v>15528.75</v>
      </c>
      <c r="AF26">
        <f t="shared" si="10"/>
        <v>21740.25</v>
      </c>
      <c r="AG26">
        <f t="shared" si="10"/>
        <v>15528.75</v>
      </c>
      <c r="AH26">
        <f t="shared" si="10"/>
        <v>0</v>
      </c>
      <c r="AI26">
        <f t="shared" si="10"/>
        <v>15528.75</v>
      </c>
      <c r="AJ26">
        <f t="shared" si="10"/>
        <v>37269</v>
      </c>
      <c r="AK26">
        <f t="shared" si="10"/>
        <v>0</v>
      </c>
      <c r="AL26">
        <f t="shared" si="10"/>
        <v>0</v>
      </c>
      <c r="AM26">
        <f t="shared" si="10"/>
        <v>0</v>
      </c>
    </row>
    <row r="27" spans="1:39" x14ac:dyDescent="0.3">
      <c r="K27" s="1" t="s">
        <v>18</v>
      </c>
      <c r="L27">
        <f>L4/$E$4</f>
        <v>0</v>
      </c>
      <c r="M27">
        <f t="shared" ref="M27:X27" si="11">M4/$E$4</f>
        <v>0.18421052631578946</v>
      </c>
      <c r="N27">
        <f t="shared" si="11"/>
        <v>7.8947368421052627E-2</v>
      </c>
      <c r="O27">
        <f t="shared" si="11"/>
        <v>0.31578947368421051</v>
      </c>
      <c r="P27">
        <f t="shared" si="11"/>
        <v>0</v>
      </c>
      <c r="Q27">
        <f t="shared" si="11"/>
        <v>0</v>
      </c>
      <c r="R27">
        <f t="shared" si="11"/>
        <v>0</v>
      </c>
      <c r="S27">
        <f t="shared" si="11"/>
        <v>0</v>
      </c>
      <c r="T27">
        <f t="shared" si="11"/>
        <v>0.15789473684210525</v>
      </c>
      <c r="U27">
        <f t="shared" si="11"/>
        <v>0.26315789473684209</v>
      </c>
      <c r="V27">
        <f t="shared" si="11"/>
        <v>0</v>
      </c>
      <c r="W27">
        <f t="shared" si="11"/>
        <v>0</v>
      </c>
      <c r="X27">
        <f t="shared" si="11"/>
        <v>0</v>
      </c>
      <c r="Z27" s="1" t="s">
        <v>25</v>
      </c>
      <c r="AA27">
        <f>L11*$D$11</f>
        <v>0</v>
      </c>
      <c r="AB27">
        <f t="shared" ref="AB27:AM27" si="12">M11*$D$11</f>
        <v>0</v>
      </c>
      <c r="AC27">
        <f t="shared" si="12"/>
        <v>0</v>
      </c>
      <c r="AD27">
        <f t="shared" si="12"/>
        <v>0</v>
      </c>
      <c r="AE27">
        <f t="shared" si="12"/>
        <v>12450.487500000001</v>
      </c>
      <c r="AF27">
        <f t="shared" si="12"/>
        <v>14525.568750000002</v>
      </c>
      <c r="AG27">
        <f t="shared" si="12"/>
        <v>0</v>
      </c>
      <c r="AH27">
        <f t="shared" si="12"/>
        <v>0</v>
      </c>
      <c r="AI27">
        <f t="shared" si="12"/>
        <v>10375.40625</v>
      </c>
      <c r="AJ27">
        <f t="shared" si="12"/>
        <v>16600.650000000001</v>
      </c>
      <c r="AK27">
        <f t="shared" si="12"/>
        <v>0</v>
      </c>
      <c r="AL27">
        <f t="shared" si="12"/>
        <v>0</v>
      </c>
      <c r="AM27">
        <f t="shared" si="12"/>
        <v>0</v>
      </c>
    </row>
    <row r="28" spans="1:39" x14ac:dyDescent="0.3">
      <c r="K28" s="1" t="s">
        <v>19</v>
      </c>
      <c r="L28">
        <f>L5/$E$5</f>
        <v>0.13333333333333333</v>
      </c>
      <c r="M28">
        <f t="shared" ref="M28:X28" si="13">M5/$E$5</f>
        <v>0.26666666666666666</v>
      </c>
      <c r="N28">
        <f t="shared" si="13"/>
        <v>0</v>
      </c>
      <c r="O28">
        <f t="shared" si="13"/>
        <v>0.4</v>
      </c>
      <c r="P28">
        <f t="shared" si="13"/>
        <v>0</v>
      </c>
      <c r="Q28">
        <f t="shared" si="13"/>
        <v>0</v>
      </c>
      <c r="R28">
        <f t="shared" si="13"/>
        <v>3.3333333333333333E-2</v>
      </c>
      <c r="S28">
        <f t="shared" si="13"/>
        <v>0.16666666666666666</v>
      </c>
      <c r="T28">
        <f t="shared" si="13"/>
        <v>0</v>
      </c>
      <c r="U28">
        <f t="shared" si="13"/>
        <v>0</v>
      </c>
      <c r="V28">
        <f t="shared" si="13"/>
        <v>0</v>
      </c>
      <c r="W28">
        <f t="shared" si="13"/>
        <v>0</v>
      </c>
      <c r="X28">
        <f t="shared" si="13"/>
        <v>0</v>
      </c>
      <c r="Z28" s="1" t="s">
        <v>26</v>
      </c>
      <c r="AA28">
        <f>L12*$D$12</f>
        <v>0</v>
      </c>
      <c r="AB28">
        <f t="shared" ref="AB28:AM28" si="14">M12*$D$12</f>
        <v>0</v>
      </c>
      <c r="AC28">
        <f t="shared" si="14"/>
        <v>0</v>
      </c>
      <c r="AD28">
        <f t="shared" si="14"/>
        <v>0</v>
      </c>
      <c r="AE28">
        <f t="shared" si="14"/>
        <v>41362.125</v>
      </c>
      <c r="AF28">
        <f t="shared" si="14"/>
        <v>0</v>
      </c>
      <c r="AG28">
        <f t="shared" si="14"/>
        <v>12408.637499999999</v>
      </c>
      <c r="AH28">
        <f t="shared" si="14"/>
        <v>0</v>
      </c>
      <c r="AI28">
        <f t="shared" si="14"/>
        <v>12408.637499999999</v>
      </c>
      <c r="AJ28">
        <f t="shared" si="14"/>
        <v>0</v>
      </c>
      <c r="AK28">
        <f t="shared" si="14"/>
        <v>0</v>
      </c>
      <c r="AL28">
        <f t="shared" si="14"/>
        <v>0</v>
      </c>
      <c r="AM28">
        <f t="shared" si="14"/>
        <v>0</v>
      </c>
    </row>
    <row r="29" spans="1:39" x14ac:dyDescent="0.3">
      <c r="K29" s="1" t="s">
        <v>20</v>
      </c>
      <c r="L29">
        <f>L6/$E$6</f>
        <v>0</v>
      </c>
      <c r="M29">
        <f t="shared" ref="M29:X29" si="15">M6/$E$6</f>
        <v>0.2</v>
      </c>
      <c r="N29">
        <f t="shared" si="15"/>
        <v>0.1</v>
      </c>
      <c r="O29">
        <f t="shared" si="15"/>
        <v>0.46666666666666667</v>
      </c>
      <c r="P29">
        <f t="shared" si="15"/>
        <v>0</v>
      </c>
      <c r="Q29">
        <f t="shared" si="15"/>
        <v>0</v>
      </c>
      <c r="R29">
        <f t="shared" si="15"/>
        <v>0</v>
      </c>
      <c r="S29">
        <f t="shared" si="15"/>
        <v>0</v>
      </c>
      <c r="T29">
        <f t="shared" si="15"/>
        <v>0.23333333333333334</v>
      </c>
      <c r="U29">
        <f t="shared" si="15"/>
        <v>0</v>
      </c>
      <c r="V29">
        <f t="shared" si="15"/>
        <v>0</v>
      </c>
      <c r="W29">
        <f t="shared" si="15"/>
        <v>0</v>
      </c>
      <c r="X29">
        <f t="shared" si="15"/>
        <v>0</v>
      </c>
      <c r="Z29" s="1" t="s">
        <v>27</v>
      </c>
      <c r="AA29">
        <f>L13*$D$13</f>
        <v>0</v>
      </c>
      <c r="AB29">
        <f t="shared" ref="AB29:AM29" si="16">M13*$D$13</f>
        <v>0</v>
      </c>
      <c r="AC29">
        <f t="shared" si="16"/>
        <v>0</v>
      </c>
      <c r="AD29">
        <f t="shared" si="16"/>
        <v>0</v>
      </c>
      <c r="AE29">
        <f t="shared" si="16"/>
        <v>19040.099999999999</v>
      </c>
      <c r="AF29">
        <f t="shared" si="16"/>
        <v>19040.099999999999</v>
      </c>
      <c r="AG29">
        <f t="shared" si="16"/>
        <v>9520.0499999999993</v>
      </c>
      <c r="AH29">
        <f t="shared" si="16"/>
        <v>0</v>
      </c>
      <c r="AI29">
        <f t="shared" si="16"/>
        <v>23800.125</v>
      </c>
      <c r="AJ29">
        <f t="shared" si="16"/>
        <v>42840.224999999999</v>
      </c>
      <c r="AK29">
        <f t="shared" si="16"/>
        <v>0</v>
      </c>
      <c r="AL29">
        <f t="shared" si="16"/>
        <v>0</v>
      </c>
      <c r="AM29">
        <f t="shared" si="16"/>
        <v>0</v>
      </c>
    </row>
    <row r="30" spans="1:39" x14ac:dyDescent="0.3">
      <c r="K30" s="1" t="s">
        <v>21</v>
      </c>
      <c r="L30">
        <f>L7/$E$7</f>
        <v>7.1428571428571425E-2</v>
      </c>
      <c r="M30">
        <f t="shared" ref="M30:X30" si="17">M7/$E$7</f>
        <v>0.11904761904761904</v>
      </c>
      <c r="N30">
        <f t="shared" si="17"/>
        <v>4.7619047619047616E-2</v>
      </c>
      <c r="O30">
        <f t="shared" si="17"/>
        <v>0.2857142857142857</v>
      </c>
      <c r="P30">
        <f t="shared" si="17"/>
        <v>0</v>
      </c>
      <c r="Q30">
        <f t="shared" si="17"/>
        <v>0</v>
      </c>
      <c r="R30">
        <f t="shared" si="17"/>
        <v>0</v>
      </c>
      <c r="S30">
        <f t="shared" si="17"/>
        <v>9.5238095238095233E-2</v>
      </c>
      <c r="T30">
        <f t="shared" si="17"/>
        <v>0.11904761904761904</v>
      </c>
      <c r="U30">
        <f t="shared" si="17"/>
        <v>0.26190476190476192</v>
      </c>
      <c r="V30">
        <f t="shared" si="17"/>
        <v>0</v>
      </c>
      <c r="W30">
        <f t="shared" si="17"/>
        <v>0</v>
      </c>
      <c r="X30">
        <f t="shared" si="17"/>
        <v>0</v>
      </c>
      <c r="Z30" s="1" t="s">
        <v>28</v>
      </c>
      <c r="AA30">
        <f>L14*$D$14</f>
        <v>0</v>
      </c>
      <c r="AB30">
        <f t="shared" ref="AB30:AM30" si="18">M14*$D$14</f>
        <v>0</v>
      </c>
      <c r="AC30">
        <f t="shared" si="18"/>
        <v>0</v>
      </c>
      <c r="AD30">
        <f t="shared" si="18"/>
        <v>0</v>
      </c>
      <c r="AE30">
        <f t="shared" si="18"/>
        <v>11900.0625</v>
      </c>
      <c r="AF30">
        <f t="shared" si="18"/>
        <v>21420.112499999999</v>
      </c>
      <c r="AG30">
        <f t="shared" si="18"/>
        <v>7140.0374999999995</v>
      </c>
      <c r="AH30">
        <f t="shared" si="18"/>
        <v>19040.099999999999</v>
      </c>
      <c r="AI30">
        <f t="shared" si="18"/>
        <v>11900.0625</v>
      </c>
      <c r="AJ30">
        <f t="shared" si="18"/>
        <v>0</v>
      </c>
      <c r="AK30">
        <f t="shared" si="18"/>
        <v>0</v>
      </c>
      <c r="AL30">
        <f t="shared" si="18"/>
        <v>0</v>
      </c>
      <c r="AM30">
        <f t="shared" si="18"/>
        <v>0</v>
      </c>
    </row>
    <row r="31" spans="1:39" x14ac:dyDescent="0.3">
      <c r="K31" s="1" t="s">
        <v>22</v>
      </c>
      <c r="L31">
        <f>L8/$E$8</f>
        <v>0</v>
      </c>
      <c r="M31">
        <f t="shared" ref="M31:X31" si="19">M8/$E$8</f>
        <v>0</v>
      </c>
      <c r="N31">
        <f t="shared" si="19"/>
        <v>7.4999999999999997E-2</v>
      </c>
      <c r="O31">
        <f t="shared" si="19"/>
        <v>0.35</v>
      </c>
      <c r="P31">
        <f t="shared" si="19"/>
        <v>0.1</v>
      </c>
      <c r="Q31">
        <f t="shared" si="19"/>
        <v>0.15</v>
      </c>
      <c r="R31">
        <f t="shared" si="19"/>
        <v>0</v>
      </c>
      <c r="S31">
        <f t="shared" si="19"/>
        <v>0</v>
      </c>
      <c r="T31">
        <f t="shared" si="19"/>
        <v>0.125</v>
      </c>
      <c r="U31">
        <f t="shared" si="19"/>
        <v>0.2</v>
      </c>
      <c r="V31">
        <f t="shared" si="19"/>
        <v>0</v>
      </c>
      <c r="W31">
        <f t="shared" si="19"/>
        <v>0</v>
      </c>
      <c r="X31">
        <f t="shared" si="19"/>
        <v>0</v>
      </c>
      <c r="Z31" s="1" t="s">
        <v>29</v>
      </c>
      <c r="AA31">
        <f>L15*$D$15</f>
        <v>0</v>
      </c>
      <c r="AB31">
        <f t="shared" ref="AB31:AM31" si="20">M15*$D$15</f>
        <v>0</v>
      </c>
      <c r="AC31">
        <f t="shared" si="20"/>
        <v>0</v>
      </c>
      <c r="AD31">
        <f t="shared" si="20"/>
        <v>0</v>
      </c>
      <c r="AE31">
        <f t="shared" si="20"/>
        <v>27190.2</v>
      </c>
      <c r="AF31">
        <f t="shared" si="20"/>
        <v>40785.300000000003</v>
      </c>
      <c r="AG31">
        <f t="shared" si="20"/>
        <v>13595.1</v>
      </c>
      <c r="AH31">
        <f t="shared" si="20"/>
        <v>47582.85</v>
      </c>
      <c r="AI31">
        <f t="shared" si="20"/>
        <v>0</v>
      </c>
      <c r="AJ31">
        <f t="shared" si="20"/>
        <v>0</v>
      </c>
      <c r="AK31">
        <f t="shared" si="20"/>
        <v>0</v>
      </c>
      <c r="AL31">
        <f t="shared" si="20"/>
        <v>0</v>
      </c>
      <c r="AM31">
        <f t="shared" si="20"/>
        <v>0</v>
      </c>
    </row>
    <row r="32" spans="1:39" x14ac:dyDescent="0.3">
      <c r="K32" s="1" t="s">
        <v>23</v>
      </c>
      <c r="L32">
        <f>L9/$E$9</f>
        <v>0</v>
      </c>
      <c r="M32">
        <f t="shared" ref="M32:X32" si="21">M9/$E$9</f>
        <v>0</v>
      </c>
      <c r="N32">
        <f t="shared" si="21"/>
        <v>0</v>
      </c>
      <c r="O32">
        <f t="shared" si="21"/>
        <v>0</v>
      </c>
      <c r="P32">
        <f t="shared" si="21"/>
        <v>0.26315789473684209</v>
      </c>
      <c r="Q32">
        <f t="shared" si="21"/>
        <v>0</v>
      </c>
      <c r="R32">
        <f t="shared" si="21"/>
        <v>0</v>
      </c>
      <c r="S32">
        <f t="shared" si="21"/>
        <v>0.42105263157894735</v>
      </c>
      <c r="T32">
        <f t="shared" si="21"/>
        <v>0.21052631578947367</v>
      </c>
      <c r="U32">
        <f t="shared" si="21"/>
        <v>0.10526315789473684</v>
      </c>
      <c r="V32">
        <f t="shared" si="21"/>
        <v>0</v>
      </c>
      <c r="W32">
        <f t="shared" si="21"/>
        <v>0</v>
      </c>
      <c r="X32">
        <f t="shared" si="21"/>
        <v>0</v>
      </c>
      <c r="Z32" s="1" t="s">
        <v>30</v>
      </c>
      <c r="AA32">
        <f>L16*$D$16</f>
        <v>0</v>
      </c>
      <c r="AB32">
        <f t="shared" ref="AB32:AM32" si="22">M16*$D$16</f>
        <v>0</v>
      </c>
      <c r="AC32">
        <f t="shared" si="22"/>
        <v>0</v>
      </c>
      <c r="AD32">
        <f t="shared" si="22"/>
        <v>0</v>
      </c>
      <c r="AE32">
        <f t="shared" si="22"/>
        <v>3534.2999999999997</v>
      </c>
      <c r="AF32">
        <f t="shared" si="22"/>
        <v>5890.5</v>
      </c>
      <c r="AG32">
        <f t="shared" si="22"/>
        <v>2356.1999999999998</v>
      </c>
      <c r="AH32">
        <f t="shared" si="22"/>
        <v>11781</v>
      </c>
      <c r="AI32">
        <f t="shared" si="22"/>
        <v>0</v>
      </c>
      <c r="AJ32">
        <f t="shared" si="22"/>
        <v>11781</v>
      </c>
      <c r="AK32">
        <f t="shared" si="22"/>
        <v>0</v>
      </c>
      <c r="AL32">
        <f t="shared" si="22"/>
        <v>0</v>
      </c>
      <c r="AM32">
        <f t="shared" si="22"/>
        <v>0</v>
      </c>
    </row>
    <row r="33" spans="11:39" x14ac:dyDescent="0.3">
      <c r="K33" s="1" t="s">
        <v>24</v>
      </c>
      <c r="L33">
        <f>L10/$E$10</f>
        <v>0</v>
      </c>
      <c r="M33">
        <f t="shared" ref="M33:X33" si="23">M10/$E$10</f>
        <v>0</v>
      </c>
      <c r="N33">
        <f t="shared" si="23"/>
        <v>0</v>
      </c>
      <c r="O33">
        <f t="shared" si="23"/>
        <v>0</v>
      </c>
      <c r="P33">
        <f t="shared" si="23"/>
        <v>0.14705882352941177</v>
      </c>
      <c r="Q33">
        <f t="shared" si="23"/>
        <v>0.20588235294117646</v>
      </c>
      <c r="R33">
        <f t="shared" si="23"/>
        <v>0.14705882352941177</v>
      </c>
      <c r="S33">
        <f t="shared" si="23"/>
        <v>0</v>
      </c>
      <c r="T33">
        <f t="shared" si="23"/>
        <v>0.14705882352941177</v>
      </c>
      <c r="U33">
        <f t="shared" si="23"/>
        <v>0.35294117647058826</v>
      </c>
      <c r="V33">
        <f t="shared" si="23"/>
        <v>0</v>
      </c>
      <c r="W33">
        <f t="shared" si="23"/>
        <v>0</v>
      </c>
      <c r="X33">
        <f t="shared" si="23"/>
        <v>0</v>
      </c>
      <c r="Z33" s="1" t="s">
        <v>31</v>
      </c>
      <c r="AA33">
        <f>L17*$D$17</f>
        <v>0</v>
      </c>
      <c r="AB33">
        <f t="shared" ref="AB33:AM33" si="24">M17*$D$17</f>
        <v>0</v>
      </c>
      <c r="AC33">
        <f t="shared" si="24"/>
        <v>0</v>
      </c>
      <c r="AD33">
        <f t="shared" si="24"/>
        <v>0</v>
      </c>
      <c r="AE33">
        <f t="shared" si="24"/>
        <v>0</v>
      </c>
      <c r="AF33">
        <f t="shared" si="24"/>
        <v>25376.25</v>
      </c>
      <c r="AG33">
        <f t="shared" si="24"/>
        <v>0</v>
      </c>
      <c r="AH33">
        <f t="shared" si="24"/>
        <v>101505</v>
      </c>
      <c r="AI33">
        <f t="shared" si="24"/>
        <v>25376.25</v>
      </c>
      <c r="AJ33">
        <f t="shared" si="24"/>
        <v>50752.5</v>
      </c>
      <c r="AK33">
        <f t="shared" si="24"/>
        <v>0</v>
      </c>
      <c r="AL33">
        <f t="shared" si="24"/>
        <v>0</v>
      </c>
      <c r="AM33">
        <f t="shared" si="24"/>
        <v>0</v>
      </c>
    </row>
    <row r="34" spans="11:39" x14ac:dyDescent="0.3">
      <c r="K34" s="1" t="s">
        <v>25</v>
      </c>
      <c r="L34">
        <f>L11/$E$11</f>
        <v>0</v>
      </c>
      <c r="M34">
        <f t="shared" ref="M34:X34" si="25">M11/$E$11</f>
        <v>0</v>
      </c>
      <c r="N34">
        <f t="shared" si="25"/>
        <v>0</v>
      </c>
      <c r="O34">
        <f t="shared" si="25"/>
        <v>0</v>
      </c>
      <c r="P34">
        <f t="shared" si="25"/>
        <v>0.23076923076923078</v>
      </c>
      <c r="Q34">
        <f t="shared" si="25"/>
        <v>0.26923076923076922</v>
      </c>
      <c r="R34">
        <f t="shared" si="25"/>
        <v>0</v>
      </c>
      <c r="S34">
        <f t="shared" si="25"/>
        <v>0</v>
      </c>
      <c r="T34">
        <f t="shared" si="25"/>
        <v>0.19230769230769232</v>
      </c>
      <c r="U34">
        <f t="shared" si="25"/>
        <v>0.30769230769230771</v>
      </c>
      <c r="V34">
        <f t="shared" si="25"/>
        <v>0</v>
      </c>
      <c r="W34">
        <f t="shared" si="25"/>
        <v>0</v>
      </c>
      <c r="X34">
        <f t="shared" si="25"/>
        <v>0</v>
      </c>
      <c r="Z34" s="1" t="s">
        <v>32</v>
      </c>
      <c r="AA34">
        <f>L18*$D$18</f>
        <v>0</v>
      </c>
      <c r="AB34">
        <f t="shared" ref="AB34:AL34" si="26">M18*$D$18</f>
        <v>0</v>
      </c>
      <c r="AC34">
        <f t="shared" si="26"/>
        <v>0</v>
      </c>
      <c r="AD34">
        <f t="shared" si="26"/>
        <v>0</v>
      </c>
      <c r="AE34">
        <f t="shared" si="26"/>
        <v>0</v>
      </c>
      <c r="AF34">
        <f t="shared" si="26"/>
        <v>0</v>
      </c>
      <c r="AG34">
        <f t="shared" si="26"/>
        <v>0</v>
      </c>
      <c r="AH34">
        <f t="shared" si="26"/>
        <v>0</v>
      </c>
      <c r="AI34">
        <f t="shared" si="26"/>
        <v>0</v>
      </c>
      <c r="AJ34">
        <f t="shared" si="26"/>
        <v>0</v>
      </c>
      <c r="AK34">
        <f t="shared" si="26"/>
        <v>7140.0374999999995</v>
      </c>
      <c r="AL34">
        <f t="shared" si="26"/>
        <v>28560.149999999998</v>
      </c>
      <c r="AM34">
        <f>X18*$D$18</f>
        <v>33320.174999999996</v>
      </c>
    </row>
    <row r="35" spans="11:39" x14ac:dyDescent="0.3">
      <c r="K35" s="1" t="s">
        <v>26</v>
      </c>
      <c r="L35">
        <f>L12/$E$12</f>
        <v>0</v>
      </c>
      <c r="M35">
        <f t="shared" ref="M35:X35" si="27">M12/$E$12</f>
        <v>0</v>
      </c>
      <c r="N35">
        <f t="shared" si="27"/>
        <v>0</v>
      </c>
      <c r="O35">
        <f t="shared" si="27"/>
        <v>0</v>
      </c>
      <c r="P35">
        <f t="shared" si="27"/>
        <v>0.625</v>
      </c>
      <c r="Q35">
        <f t="shared" si="27"/>
        <v>0</v>
      </c>
      <c r="R35">
        <f t="shared" si="27"/>
        <v>0.1875</v>
      </c>
      <c r="S35">
        <f t="shared" si="27"/>
        <v>0</v>
      </c>
      <c r="T35">
        <f t="shared" si="27"/>
        <v>0.1875</v>
      </c>
      <c r="U35">
        <f t="shared" si="27"/>
        <v>0</v>
      </c>
      <c r="V35">
        <f t="shared" si="27"/>
        <v>0</v>
      </c>
      <c r="W35">
        <f t="shared" si="27"/>
        <v>0</v>
      </c>
      <c r="X35">
        <f t="shared" si="27"/>
        <v>0</v>
      </c>
      <c r="Z35" s="1" t="s">
        <v>33</v>
      </c>
      <c r="AA35">
        <f>L19*$D$19</f>
        <v>0</v>
      </c>
      <c r="AB35">
        <f t="shared" ref="AB35:AM35" si="28">M19*$D$19</f>
        <v>0</v>
      </c>
      <c r="AC35">
        <f t="shared" si="28"/>
        <v>0</v>
      </c>
      <c r="AD35">
        <f t="shared" si="28"/>
        <v>0</v>
      </c>
      <c r="AE35">
        <f t="shared" si="28"/>
        <v>0</v>
      </c>
      <c r="AF35">
        <f t="shared" si="28"/>
        <v>0</v>
      </c>
      <c r="AG35">
        <f t="shared" si="28"/>
        <v>0</v>
      </c>
      <c r="AH35">
        <f t="shared" si="28"/>
        <v>0</v>
      </c>
      <c r="AI35">
        <f t="shared" si="28"/>
        <v>0</v>
      </c>
      <c r="AJ35">
        <f t="shared" si="28"/>
        <v>0</v>
      </c>
      <c r="AK35">
        <f t="shared" si="28"/>
        <v>25693.875</v>
      </c>
      <c r="AL35">
        <f t="shared" si="28"/>
        <v>25693.875</v>
      </c>
      <c r="AM35">
        <f t="shared" si="28"/>
        <v>77081.625</v>
      </c>
    </row>
    <row r="36" spans="11:39" x14ac:dyDescent="0.3">
      <c r="K36" s="1" t="s">
        <v>27</v>
      </c>
      <c r="L36">
        <f>L13/$E$13</f>
        <v>0</v>
      </c>
      <c r="M36">
        <f t="shared" ref="M36:X36" si="29">M13/$E$13</f>
        <v>0</v>
      </c>
      <c r="N36">
        <f t="shared" si="29"/>
        <v>0</v>
      </c>
      <c r="O36">
        <f t="shared" si="29"/>
        <v>0</v>
      </c>
      <c r="P36">
        <f t="shared" si="29"/>
        <v>0.16666666666666666</v>
      </c>
      <c r="Q36">
        <f t="shared" si="29"/>
        <v>0.16666666666666666</v>
      </c>
      <c r="R36">
        <f t="shared" si="29"/>
        <v>8.3333333333333329E-2</v>
      </c>
      <c r="S36">
        <f t="shared" si="29"/>
        <v>0</v>
      </c>
      <c r="T36">
        <f t="shared" si="29"/>
        <v>0.20833333333333334</v>
      </c>
      <c r="U36">
        <f t="shared" si="29"/>
        <v>0.375</v>
      </c>
      <c r="V36">
        <f t="shared" si="29"/>
        <v>0</v>
      </c>
      <c r="W36">
        <f t="shared" si="29"/>
        <v>0</v>
      </c>
      <c r="X36">
        <f t="shared" si="29"/>
        <v>0</v>
      </c>
      <c r="Z36" s="1" t="s">
        <v>34</v>
      </c>
      <c r="AA36">
        <f>L20*$D$20</f>
        <v>0</v>
      </c>
      <c r="AB36">
        <f t="shared" ref="AB36:AM36" si="30">M20*$D$20</f>
        <v>0</v>
      </c>
      <c r="AC36">
        <f t="shared" si="30"/>
        <v>0</v>
      </c>
      <c r="AD36">
        <f t="shared" si="30"/>
        <v>0</v>
      </c>
      <c r="AE36">
        <f t="shared" si="30"/>
        <v>0</v>
      </c>
      <c r="AF36">
        <f t="shared" si="30"/>
        <v>0</v>
      </c>
      <c r="AG36">
        <f t="shared" si="30"/>
        <v>0</v>
      </c>
      <c r="AH36">
        <f t="shared" si="30"/>
        <v>0</v>
      </c>
      <c r="AI36">
        <f t="shared" si="30"/>
        <v>0</v>
      </c>
      <c r="AJ36">
        <f t="shared" si="30"/>
        <v>0</v>
      </c>
      <c r="AK36">
        <f t="shared" si="30"/>
        <v>0</v>
      </c>
      <c r="AL36">
        <f t="shared" si="30"/>
        <v>147701.09999999998</v>
      </c>
      <c r="AM36">
        <f t="shared" si="30"/>
        <v>217207.49999999997</v>
      </c>
    </row>
    <row r="37" spans="11:39" x14ac:dyDescent="0.3">
      <c r="K37" s="1" t="s">
        <v>28</v>
      </c>
      <c r="L37">
        <f>L14/$E$14</f>
        <v>0</v>
      </c>
      <c r="M37">
        <f t="shared" ref="M37:X37" si="31">M14/$E$14</f>
        <v>0</v>
      </c>
      <c r="N37">
        <f t="shared" si="31"/>
        <v>0</v>
      </c>
      <c r="O37">
        <f t="shared" si="31"/>
        <v>0</v>
      </c>
      <c r="P37">
        <f t="shared" si="31"/>
        <v>0.16666666666666666</v>
      </c>
      <c r="Q37">
        <f t="shared" si="31"/>
        <v>0.3</v>
      </c>
      <c r="R37">
        <f t="shared" si="31"/>
        <v>0.1</v>
      </c>
      <c r="S37">
        <f t="shared" si="31"/>
        <v>0.26666666666666666</v>
      </c>
      <c r="T37">
        <f t="shared" si="31"/>
        <v>0.16666666666666666</v>
      </c>
      <c r="U37">
        <f t="shared" si="31"/>
        <v>0</v>
      </c>
      <c r="V37">
        <f t="shared" si="31"/>
        <v>0</v>
      </c>
      <c r="W37">
        <f t="shared" si="31"/>
        <v>0</v>
      </c>
      <c r="X37">
        <f t="shared" si="31"/>
        <v>0</v>
      </c>
      <c r="Z37" s="1" t="s">
        <v>35</v>
      </c>
      <c r="AA37">
        <f>L21*$D$21</f>
        <v>0</v>
      </c>
      <c r="AB37">
        <f t="shared" ref="AB37:AM37" si="32">M21*$D$21</f>
        <v>0</v>
      </c>
      <c r="AC37">
        <f t="shared" si="32"/>
        <v>0</v>
      </c>
      <c r="AD37">
        <f t="shared" si="32"/>
        <v>0</v>
      </c>
      <c r="AE37">
        <f t="shared" si="32"/>
        <v>0</v>
      </c>
      <c r="AF37">
        <f t="shared" si="32"/>
        <v>0</v>
      </c>
      <c r="AG37">
        <f t="shared" si="32"/>
        <v>0</v>
      </c>
      <c r="AH37">
        <f t="shared" si="32"/>
        <v>0</v>
      </c>
      <c r="AI37">
        <f t="shared" si="32"/>
        <v>0</v>
      </c>
      <c r="AJ37">
        <f t="shared" si="32"/>
        <v>0</v>
      </c>
      <c r="AK37">
        <f t="shared" si="32"/>
        <v>18141.074999999997</v>
      </c>
      <c r="AL37">
        <f t="shared" si="32"/>
        <v>48376.2</v>
      </c>
      <c r="AM37">
        <f t="shared" si="32"/>
        <v>72564.299999999988</v>
      </c>
    </row>
    <row r="38" spans="11:39" x14ac:dyDescent="0.3">
      <c r="K38" s="1" t="s">
        <v>29</v>
      </c>
      <c r="L38">
        <f>L15/$E$15</f>
        <v>0</v>
      </c>
      <c r="M38">
        <f t="shared" ref="M38:X38" si="33">M15/$E$15</f>
        <v>0</v>
      </c>
      <c r="N38">
        <f t="shared" si="33"/>
        <v>0</v>
      </c>
      <c r="O38">
        <f t="shared" si="33"/>
        <v>0</v>
      </c>
      <c r="P38">
        <f t="shared" si="33"/>
        <v>0.21052631578947367</v>
      </c>
      <c r="Q38">
        <f t="shared" si="33"/>
        <v>0.31578947368421051</v>
      </c>
      <c r="R38">
        <f t="shared" si="33"/>
        <v>0.10526315789473684</v>
      </c>
      <c r="S38">
        <f t="shared" si="33"/>
        <v>0.36842105263157893</v>
      </c>
      <c r="T38">
        <f t="shared" si="33"/>
        <v>0</v>
      </c>
      <c r="U38">
        <f t="shared" si="33"/>
        <v>0</v>
      </c>
      <c r="V38">
        <f t="shared" si="33"/>
        <v>0</v>
      </c>
      <c r="W38">
        <f t="shared" si="33"/>
        <v>0</v>
      </c>
      <c r="X38">
        <f t="shared" si="33"/>
        <v>0</v>
      </c>
      <c r="Z38" s="1" t="s">
        <v>74</v>
      </c>
      <c r="AA38">
        <f>SUM(AA18:AA37)</f>
        <v>81695.418749999997</v>
      </c>
      <c r="AB38">
        <f t="shared" ref="AB38:AM38" si="34">SUM(AB18:AB37)</f>
        <v>260587.55624999999</v>
      </c>
      <c r="AC38">
        <f t="shared" si="34"/>
        <v>64650.674999999996</v>
      </c>
      <c r="AD38">
        <f t="shared" si="34"/>
        <v>356793.48749999999</v>
      </c>
      <c r="AE38">
        <f t="shared" si="34"/>
        <v>162896.625</v>
      </c>
      <c r="AF38">
        <f t="shared" si="34"/>
        <v>178942.48125000001</v>
      </c>
      <c r="AG38">
        <f t="shared" si="34"/>
        <v>64453.874999999985</v>
      </c>
      <c r="AH38">
        <f t="shared" si="34"/>
        <v>245652.375</v>
      </c>
      <c r="AI38">
        <f t="shared" si="34"/>
        <v>227787.39375000002</v>
      </c>
      <c r="AJ38">
        <f t="shared" si="34"/>
        <v>397008.95625000005</v>
      </c>
      <c r="AK38">
        <f t="shared" si="34"/>
        <v>50974.987499999996</v>
      </c>
      <c r="AL38">
        <f t="shared" si="34"/>
        <v>250331.32499999995</v>
      </c>
      <c r="AM38">
        <f t="shared" si="34"/>
        <v>400173.59999999992</v>
      </c>
    </row>
    <row r="39" spans="11:39" x14ac:dyDescent="0.3">
      <c r="K39" s="1" t="s">
        <v>30</v>
      </c>
      <c r="L39">
        <f>L16/$E$16</f>
        <v>0</v>
      </c>
      <c r="M39">
        <f t="shared" ref="M39:X39" si="35">M16/$E$16</f>
        <v>0</v>
      </c>
      <c r="N39">
        <f t="shared" si="35"/>
        <v>0</v>
      </c>
      <c r="O39">
        <f t="shared" si="35"/>
        <v>0</v>
      </c>
      <c r="P39">
        <f t="shared" si="35"/>
        <v>0.1</v>
      </c>
      <c r="Q39">
        <f t="shared" si="35"/>
        <v>0.16666666666666666</v>
      </c>
      <c r="R39">
        <f t="shared" si="35"/>
        <v>6.6666666666666666E-2</v>
      </c>
      <c r="S39">
        <f t="shared" si="35"/>
        <v>0.33333333333333331</v>
      </c>
      <c r="T39">
        <f t="shared" si="35"/>
        <v>0</v>
      </c>
      <c r="U39">
        <f t="shared" si="35"/>
        <v>0.33333333333333331</v>
      </c>
      <c r="V39">
        <f t="shared" si="35"/>
        <v>0</v>
      </c>
      <c r="W39">
        <f t="shared" si="35"/>
        <v>0</v>
      </c>
      <c r="X39">
        <f t="shared" si="35"/>
        <v>0</v>
      </c>
      <c r="Z39" s="1" t="s">
        <v>75</v>
      </c>
      <c r="AA39">
        <f>5*16*60*L78</f>
        <v>96000</v>
      </c>
      <c r="AB39">
        <f t="shared" ref="AB39:AM39" si="36">5*16*60*M78</f>
        <v>297600</v>
      </c>
      <c r="AC39">
        <f t="shared" si="36"/>
        <v>76800</v>
      </c>
      <c r="AD39">
        <f t="shared" si="36"/>
        <v>408000</v>
      </c>
      <c r="AE39">
        <f t="shared" si="36"/>
        <v>187200</v>
      </c>
      <c r="AF39">
        <f t="shared" si="36"/>
        <v>206400</v>
      </c>
      <c r="AG39">
        <f t="shared" si="36"/>
        <v>76800</v>
      </c>
      <c r="AH39">
        <f t="shared" si="36"/>
        <v>283200</v>
      </c>
      <c r="AI39">
        <f t="shared" si="36"/>
        <v>259200</v>
      </c>
      <c r="AJ39">
        <f t="shared" si="36"/>
        <v>451200</v>
      </c>
      <c r="AK39">
        <f t="shared" si="36"/>
        <v>62400</v>
      </c>
      <c r="AL39">
        <f t="shared" si="36"/>
        <v>288000</v>
      </c>
      <c r="AM39">
        <f t="shared" si="36"/>
        <v>456000</v>
      </c>
    </row>
    <row r="40" spans="11:39" x14ac:dyDescent="0.3">
      <c r="K40" s="1" t="s">
        <v>31</v>
      </c>
      <c r="L40">
        <f>L17/$E$17</f>
        <v>0</v>
      </c>
      <c r="M40">
        <f t="shared" ref="M40:X40" si="37">M17/$E$17</f>
        <v>0</v>
      </c>
      <c r="N40">
        <f t="shared" si="37"/>
        <v>0</v>
      </c>
      <c r="O40">
        <f t="shared" si="37"/>
        <v>0</v>
      </c>
      <c r="P40">
        <f t="shared" si="37"/>
        <v>0</v>
      </c>
      <c r="Q40">
        <f t="shared" si="37"/>
        <v>0.125</v>
      </c>
      <c r="R40">
        <f t="shared" si="37"/>
        <v>0</v>
      </c>
      <c r="S40">
        <f t="shared" si="37"/>
        <v>0.5</v>
      </c>
      <c r="T40">
        <f t="shared" si="37"/>
        <v>0.125</v>
      </c>
      <c r="U40">
        <f t="shared" si="37"/>
        <v>0.25</v>
      </c>
      <c r="V40">
        <f t="shared" si="37"/>
        <v>0</v>
      </c>
      <c r="W40">
        <f t="shared" si="37"/>
        <v>0</v>
      </c>
      <c r="X40">
        <f t="shared" si="37"/>
        <v>0</v>
      </c>
      <c r="Z40" s="30" t="s">
        <v>76</v>
      </c>
      <c r="AA40" s="32">
        <f>AA38/AA39</f>
        <v>0.85099394531249994</v>
      </c>
      <c r="AB40" s="32">
        <f t="shared" ref="AB40:AM40" si="38">AB38/AB39</f>
        <v>0.87563022933467738</v>
      </c>
      <c r="AC40" s="32">
        <f t="shared" si="38"/>
        <v>0.8418056640624999</v>
      </c>
      <c r="AD40" s="32">
        <f t="shared" si="38"/>
        <v>0.87449384191176471</v>
      </c>
      <c r="AE40" s="32">
        <f t="shared" si="38"/>
        <v>0.87017427884615384</v>
      </c>
      <c r="AF40" s="32">
        <f t="shared" si="38"/>
        <v>0.86696938590116279</v>
      </c>
      <c r="AG40" s="32">
        <f t="shared" si="38"/>
        <v>0.83924316406249977</v>
      </c>
      <c r="AH40" s="32">
        <f t="shared" si="38"/>
        <v>0.86741657838983055</v>
      </c>
      <c r="AI40" s="32">
        <f t="shared" si="38"/>
        <v>0.87880938946759268</v>
      </c>
      <c r="AJ40" s="32">
        <f t="shared" si="38"/>
        <v>0.87989573636968099</v>
      </c>
      <c r="AK40" s="32">
        <f t="shared" si="38"/>
        <v>0.81690685096153837</v>
      </c>
      <c r="AL40" s="32">
        <f t="shared" si="38"/>
        <v>0.86920598958333317</v>
      </c>
      <c r="AM40" s="32">
        <f t="shared" si="38"/>
        <v>0.87757368421052617</v>
      </c>
    </row>
    <row r="41" spans="11:39" x14ac:dyDescent="0.3">
      <c r="K41" s="1" t="s">
        <v>32</v>
      </c>
      <c r="L41">
        <f>L18/$E$18</f>
        <v>0</v>
      </c>
      <c r="M41">
        <f t="shared" ref="M41:X41" si="39">M18/$E$18</f>
        <v>0</v>
      </c>
      <c r="N41">
        <f t="shared" si="39"/>
        <v>0</v>
      </c>
      <c r="O41">
        <f t="shared" si="39"/>
        <v>0</v>
      </c>
      <c r="P41">
        <f t="shared" si="39"/>
        <v>0</v>
      </c>
      <c r="Q41">
        <f t="shared" si="39"/>
        <v>0</v>
      </c>
      <c r="R41">
        <f t="shared" si="39"/>
        <v>0</v>
      </c>
      <c r="S41">
        <f t="shared" si="39"/>
        <v>0</v>
      </c>
      <c r="T41">
        <f t="shared" si="39"/>
        <v>0</v>
      </c>
      <c r="U41">
        <f t="shared" si="39"/>
        <v>0</v>
      </c>
      <c r="V41">
        <f t="shared" si="39"/>
        <v>0.10344827586206896</v>
      </c>
      <c r="W41">
        <f t="shared" si="39"/>
        <v>0.41379310344827586</v>
      </c>
      <c r="X41">
        <f t="shared" si="39"/>
        <v>0.48275862068965519</v>
      </c>
    </row>
    <row r="42" spans="11:39" x14ac:dyDescent="0.3">
      <c r="K42" s="1" t="s">
        <v>33</v>
      </c>
      <c r="L42">
        <f>L19/$E$19</f>
        <v>0</v>
      </c>
      <c r="M42">
        <f t="shared" ref="M42:X42" si="40">M19/$E$19</f>
        <v>0</v>
      </c>
      <c r="N42">
        <f t="shared" si="40"/>
        <v>0</v>
      </c>
      <c r="O42">
        <f t="shared" si="40"/>
        <v>0</v>
      </c>
      <c r="P42">
        <f t="shared" si="40"/>
        <v>0</v>
      </c>
      <c r="Q42">
        <f t="shared" si="40"/>
        <v>0</v>
      </c>
      <c r="R42">
        <f t="shared" si="40"/>
        <v>0</v>
      </c>
      <c r="S42">
        <f t="shared" si="40"/>
        <v>0</v>
      </c>
      <c r="T42">
        <f t="shared" si="40"/>
        <v>0</v>
      </c>
      <c r="U42">
        <f t="shared" si="40"/>
        <v>0</v>
      </c>
      <c r="V42">
        <f t="shared" si="40"/>
        <v>0.2</v>
      </c>
      <c r="W42">
        <f t="shared" si="40"/>
        <v>0.2</v>
      </c>
      <c r="X42">
        <f t="shared" si="40"/>
        <v>0.6</v>
      </c>
      <c r="AK42" s="55" t="s">
        <v>94</v>
      </c>
      <c r="AL42" s="55"/>
      <c r="AM42" s="9">
        <f>(SUM(AA38:AM38)/SUM(AA39:AM39))</f>
        <v>0.87079165277248483</v>
      </c>
    </row>
    <row r="43" spans="11:39" x14ac:dyDescent="0.3">
      <c r="K43" s="1" t="s">
        <v>34</v>
      </c>
      <c r="L43">
        <f>L20/$E$20</f>
        <v>0</v>
      </c>
      <c r="M43">
        <f t="shared" ref="M43:X43" si="41">M20/$E$20</f>
        <v>0</v>
      </c>
      <c r="N43">
        <f t="shared" si="41"/>
        <v>0</v>
      </c>
      <c r="O43">
        <f t="shared" si="41"/>
        <v>0</v>
      </c>
      <c r="P43">
        <f t="shared" si="41"/>
        <v>0</v>
      </c>
      <c r="Q43">
        <f t="shared" si="41"/>
        <v>0</v>
      </c>
      <c r="R43">
        <f t="shared" si="41"/>
        <v>0</v>
      </c>
      <c r="S43">
        <f t="shared" si="41"/>
        <v>0</v>
      </c>
      <c r="T43">
        <f t="shared" si="41"/>
        <v>0</v>
      </c>
      <c r="U43">
        <f t="shared" si="41"/>
        <v>0</v>
      </c>
      <c r="V43">
        <f t="shared" si="41"/>
        <v>0</v>
      </c>
      <c r="W43">
        <f t="shared" si="41"/>
        <v>0.40476190476190477</v>
      </c>
      <c r="X43">
        <f t="shared" si="41"/>
        <v>0.59523809523809523</v>
      </c>
    </row>
    <row r="44" spans="11:39" x14ac:dyDescent="0.3">
      <c r="K44" s="1" t="s">
        <v>35</v>
      </c>
      <c r="L44">
        <f>L21/$E$21</f>
        <v>0</v>
      </c>
      <c r="M44">
        <f t="shared" ref="M44:X44" si="42">M21/$E$21</f>
        <v>0</v>
      </c>
      <c r="N44">
        <f t="shared" si="42"/>
        <v>0</v>
      </c>
      <c r="O44">
        <f t="shared" si="42"/>
        <v>0</v>
      </c>
      <c r="P44">
        <f t="shared" si="42"/>
        <v>0</v>
      </c>
      <c r="Q44">
        <f t="shared" si="42"/>
        <v>0</v>
      </c>
      <c r="R44">
        <f t="shared" si="42"/>
        <v>0</v>
      </c>
      <c r="S44">
        <f t="shared" si="42"/>
        <v>0</v>
      </c>
      <c r="T44">
        <f t="shared" si="42"/>
        <v>0</v>
      </c>
      <c r="U44">
        <f t="shared" si="42"/>
        <v>0</v>
      </c>
      <c r="V44">
        <f t="shared" si="42"/>
        <v>0.13043478260869565</v>
      </c>
      <c r="W44">
        <f t="shared" si="42"/>
        <v>0.34782608695652173</v>
      </c>
      <c r="X44">
        <f t="shared" si="42"/>
        <v>0.52173913043478259</v>
      </c>
    </row>
    <row r="47" spans="11:39" x14ac:dyDescent="0.3">
      <c r="K47" s="2" t="s">
        <v>97</v>
      </c>
      <c r="L47" s="2" t="s">
        <v>3</v>
      </c>
      <c r="M47" s="2" t="s">
        <v>4</v>
      </c>
      <c r="N47" s="2" t="s">
        <v>5</v>
      </c>
      <c r="O47" s="2" t="s">
        <v>6</v>
      </c>
      <c r="P47" s="2" t="s">
        <v>7</v>
      </c>
      <c r="Q47" s="2" t="s">
        <v>8</v>
      </c>
      <c r="R47" s="2" t="s">
        <v>9</v>
      </c>
      <c r="S47" s="2" t="s">
        <v>10</v>
      </c>
      <c r="T47" s="2" t="s">
        <v>11</v>
      </c>
      <c r="U47" s="2" t="s">
        <v>12</v>
      </c>
      <c r="V47" s="2" t="s">
        <v>13</v>
      </c>
      <c r="W47" s="2" t="s">
        <v>14</v>
      </c>
      <c r="X47" s="2" t="s">
        <v>15</v>
      </c>
      <c r="Z47" s="13" t="s">
        <v>0</v>
      </c>
      <c r="AA47" s="51" t="s">
        <v>77</v>
      </c>
      <c r="AB47" s="52"/>
      <c r="AC47" s="52"/>
      <c r="AD47" s="53"/>
      <c r="AE47" s="14" t="s">
        <v>78</v>
      </c>
    </row>
    <row r="48" spans="11:39" x14ac:dyDescent="0.3">
      <c r="K48" s="1" t="s">
        <v>16</v>
      </c>
      <c r="L48">
        <f>L25*$G$2</f>
        <v>40817.261905882355</v>
      </c>
      <c r="M48">
        <f t="shared" ref="M48:X48" si="43">M25*$G$2</f>
        <v>204086.30952941175</v>
      </c>
      <c r="N48">
        <f t="shared" si="43"/>
        <v>20408.630952941177</v>
      </c>
      <c r="O48">
        <f t="shared" si="43"/>
        <v>102043.15476470588</v>
      </c>
      <c r="P48">
        <f t="shared" si="43"/>
        <v>0</v>
      </c>
      <c r="Q48">
        <f t="shared" si="43"/>
        <v>0</v>
      </c>
      <c r="R48">
        <f t="shared" si="43"/>
        <v>0</v>
      </c>
      <c r="S48">
        <f t="shared" si="43"/>
        <v>0</v>
      </c>
      <c r="T48">
        <f t="shared" si="43"/>
        <v>51021.577382352938</v>
      </c>
      <c r="U48">
        <f t="shared" si="43"/>
        <v>102043.15476470588</v>
      </c>
      <c r="V48">
        <f t="shared" si="43"/>
        <v>0</v>
      </c>
      <c r="W48">
        <f t="shared" si="43"/>
        <v>0</v>
      </c>
      <c r="X48">
        <f t="shared" si="43"/>
        <v>0</v>
      </c>
      <c r="Z48" s="15" t="s">
        <v>79</v>
      </c>
      <c r="AA48" s="16" t="s">
        <v>80</v>
      </c>
      <c r="AB48" s="17" t="s">
        <v>81</v>
      </c>
      <c r="AC48" s="17" t="s">
        <v>82</v>
      </c>
      <c r="AD48" s="18" t="s">
        <v>83</v>
      </c>
      <c r="AE48" s="15" t="s">
        <v>84</v>
      </c>
    </row>
    <row r="49" spans="11:32" x14ac:dyDescent="0.3">
      <c r="K49" s="1" t="s">
        <v>17</v>
      </c>
      <c r="L49">
        <f>L26*$G$3</f>
        <v>27063.350338709675</v>
      </c>
      <c r="M49">
        <f t="shared" ref="M49:X49" si="44">M26*$G$3</f>
        <v>0</v>
      </c>
      <c r="N49">
        <f t="shared" si="44"/>
        <v>10825.340135483872</v>
      </c>
      <c r="O49">
        <f t="shared" si="44"/>
        <v>54126.700677419351</v>
      </c>
      <c r="P49">
        <f t="shared" si="44"/>
        <v>0</v>
      </c>
      <c r="Q49">
        <f t="shared" si="44"/>
        <v>0</v>
      </c>
      <c r="R49">
        <f t="shared" si="44"/>
        <v>0</v>
      </c>
      <c r="S49">
        <f t="shared" si="44"/>
        <v>21650.680270967743</v>
      </c>
      <c r="T49">
        <f t="shared" si="44"/>
        <v>0</v>
      </c>
      <c r="U49">
        <f t="shared" si="44"/>
        <v>54126.700677419351</v>
      </c>
      <c r="V49">
        <f t="shared" si="44"/>
        <v>0</v>
      </c>
      <c r="W49">
        <f t="shared" si="44"/>
        <v>0</v>
      </c>
      <c r="X49">
        <f t="shared" si="44"/>
        <v>0</v>
      </c>
      <c r="Z49" s="19" t="s">
        <v>16</v>
      </c>
      <c r="AA49" s="20">
        <v>2</v>
      </c>
      <c r="AB49" s="20">
        <v>6</v>
      </c>
      <c r="AC49" s="20">
        <v>6</v>
      </c>
      <c r="AD49" s="21">
        <v>2</v>
      </c>
      <c r="AE49" s="22">
        <v>12</v>
      </c>
      <c r="AF49" s="11">
        <f>AE49*D2</f>
        <v>432009.89999999997</v>
      </c>
    </row>
    <row r="50" spans="11:32" x14ac:dyDescent="0.3">
      <c r="K50" s="1" t="s">
        <v>18</v>
      </c>
      <c r="L50">
        <f>L27*$G$4</f>
        <v>0</v>
      </c>
      <c r="M50">
        <f t="shared" ref="M50:X50" si="45">M27*$G$4</f>
        <v>25669.047618421049</v>
      </c>
      <c r="N50">
        <f t="shared" si="45"/>
        <v>11001.020407894735</v>
      </c>
      <c r="O50">
        <f t="shared" si="45"/>
        <v>44004.081631578942</v>
      </c>
      <c r="P50">
        <f t="shared" si="45"/>
        <v>0</v>
      </c>
      <c r="Q50">
        <f t="shared" si="45"/>
        <v>0</v>
      </c>
      <c r="R50">
        <f t="shared" si="45"/>
        <v>0</v>
      </c>
      <c r="S50">
        <f t="shared" si="45"/>
        <v>0</v>
      </c>
      <c r="T50">
        <f t="shared" si="45"/>
        <v>22002.040815789471</v>
      </c>
      <c r="U50">
        <f t="shared" si="45"/>
        <v>36670.068026315785</v>
      </c>
      <c r="V50">
        <f t="shared" si="45"/>
        <v>0</v>
      </c>
      <c r="W50">
        <f t="shared" si="45"/>
        <v>0</v>
      </c>
      <c r="X50">
        <f t="shared" si="45"/>
        <v>0</v>
      </c>
      <c r="Z50" s="19" t="s">
        <v>17</v>
      </c>
      <c r="AA50" s="20">
        <v>8</v>
      </c>
      <c r="AB50" s="20">
        <v>8</v>
      </c>
      <c r="AC50" s="20">
        <v>4</v>
      </c>
      <c r="AD50" s="21">
        <v>14</v>
      </c>
      <c r="AE50" s="23">
        <v>100</v>
      </c>
      <c r="AF50" s="11">
        <f t="shared" ref="AF50:AF68" si="46">AE50*D3</f>
        <v>1909590.0000000002</v>
      </c>
    </row>
    <row r="51" spans="11:32" x14ac:dyDescent="0.3">
      <c r="K51" s="1" t="s">
        <v>19</v>
      </c>
      <c r="L51">
        <f>L28*$G$5</f>
        <v>17710.20408</v>
      </c>
      <c r="M51">
        <f t="shared" ref="M51:X51" si="47">M28*$G$5</f>
        <v>35420.408159999999</v>
      </c>
      <c r="N51">
        <f t="shared" si="47"/>
        <v>0</v>
      </c>
      <c r="O51">
        <f t="shared" si="47"/>
        <v>53130.612240000002</v>
      </c>
      <c r="P51">
        <f t="shared" si="47"/>
        <v>0</v>
      </c>
      <c r="Q51">
        <f t="shared" si="47"/>
        <v>0</v>
      </c>
      <c r="R51">
        <f t="shared" si="47"/>
        <v>4427.5510199999999</v>
      </c>
      <c r="S51">
        <f t="shared" si="47"/>
        <v>22137.755099999998</v>
      </c>
      <c r="T51">
        <f t="shared" si="47"/>
        <v>0</v>
      </c>
      <c r="U51">
        <f t="shared" si="47"/>
        <v>0</v>
      </c>
      <c r="V51">
        <f t="shared" si="47"/>
        <v>0</v>
      </c>
      <c r="W51">
        <f t="shared" si="47"/>
        <v>0</v>
      </c>
      <c r="X51">
        <f t="shared" si="47"/>
        <v>0</v>
      </c>
      <c r="Z51" s="19" t="s">
        <v>18</v>
      </c>
      <c r="AA51" s="20">
        <v>6</v>
      </c>
      <c r="AB51" s="20">
        <v>6</v>
      </c>
      <c r="AC51" s="20">
        <v>6</v>
      </c>
      <c r="AD51" s="21">
        <v>6</v>
      </c>
      <c r="AE51" s="24">
        <v>50</v>
      </c>
      <c r="AF51" s="11">
        <f t="shared" si="46"/>
        <v>646860</v>
      </c>
    </row>
    <row r="52" spans="11:32" x14ac:dyDescent="0.3">
      <c r="K52" s="1" t="s">
        <v>20</v>
      </c>
      <c r="L52">
        <f>L29*$G$6</f>
        <v>0</v>
      </c>
      <c r="M52">
        <f t="shared" ref="M52:X52" si="48">M29*$G$6</f>
        <v>18551.020408</v>
      </c>
      <c r="N52">
        <f t="shared" si="48"/>
        <v>9275.5102040000002</v>
      </c>
      <c r="O52">
        <f t="shared" si="48"/>
        <v>43285.714285333335</v>
      </c>
      <c r="P52">
        <f t="shared" si="48"/>
        <v>0</v>
      </c>
      <c r="Q52">
        <f t="shared" si="48"/>
        <v>0</v>
      </c>
      <c r="R52">
        <f t="shared" si="48"/>
        <v>0</v>
      </c>
      <c r="S52">
        <f t="shared" si="48"/>
        <v>0</v>
      </c>
      <c r="T52">
        <f t="shared" si="48"/>
        <v>21642.857142666668</v>
      </c>
      <c r="U52">
        <f t="shared" si="48"/>
        <v>0</v>
      </c>
      <c r="V52">
        <f t="shared" si="48"/>
        <v>0</v>
      </c>
      <c r="W52">
        <f t="shared" si="48"/>
        <v>0</v>
      </c>
      <c r="X52">
        <f t="shared" si="48"/>
        <v>0</v>
      </c>
      <c r="Z52" s="19" t="s">
        <v>19</v>
      </c>
      <c r="AA52" s="20">
        <v>12</v>
      </c>
      <c r="AB52" s="20">
        <v>6</v>
      </c>
      <c r="AC52" s="20">
        <v>4</v>
      </c>
      <c r="AD52" s="21">
        <v>16</v>
      </c>
      <c r="AE52" s="24">
        <v>120</v>
      </c>
      <c r="AF52" s="11">
        <f t="shared" si="46"/>
        <v>1874448</v>
      </c>
    </row>
    <row r="53" spans="11:32" x14ac:dyDescent="0.3">
      <c r="K53" s="1" t="s">
        <v>21</v>
      </c>
      <c r="L53">
        <f>L30*$G$7</f>
        <v>7034.375</v>
      </c>
      <c r="M53">
        <f t="shared" ref="M53:X53" si="49">M30*$G$7</f>
        <v>11723.958333333332</v>
      </c>
      <c r="N53">
        <f t="shared" si="49"/>
        <v>4689.583333333333</v>
      </c>
      <c r="O53">
        <f t="shared" si="49"/>
        <v>28137.5</v>
      </c>
      <c r="P53">
        <f t="shared" si="49"/>
        <v>0</v>
      </c>
      <c r="Q53">
        <f t="shared" si="49"/>
        <v>0</v>
      </c>
      <c r="R53">
        <f t="shared" si="49"/>
        <v>0</v>
      </c>
      <c r="S53">
        <f t="shared" si="49"/>
        <v>9379.1666666666661</v>
      </c>
      <c r="T53">
        <f t="shared" si="49"/>
        <v>11723.958333333332</v>
      </c>
      <c r="U53">
        <f t="shared" si="49"/>
        <v>25792.708333333336</v>
      </c>
      <c r="V53">
        <f t="shared" si="49"/>
        <v>0</v>
      </c>
      <c r="W53">
        <f t="shared" si="49"/>
        <v>0</v>
      </c>
      <c r="X53">
        <f t="shared" si="49"/>
        <v>0</v>
      </c>
      <c r="Z53" s="19" t="s">
        <v>20</v>
      </c>
      <c r="AA53" s="20">
        <v>8</v>
      </c>
      <c r="AB53" s="20">
        <v>4</v>
      </c>
      <c r="AC53" s="20">
        <v>6</v>
      </c>
      <c r="AD53" s="21">
        <v>5</v>
      </c>
      <c r="AE53" s="24">
        <v>50</v>
      </c>
      <c r="AF53" s="11">
        <f t="shared" si="46"/>
        <v>545400</v>
      </c>
    </row>
    <row r="54" spans="11:32" x14ac:dyDescent="0.3">
      <c r="K54" s="1" t="s">
        <v>22</v>
      </c>
      <c r="L54">
        <f>L31*$G$8</f>
        <v>0</v>
      </c>
      <c r="M54">
        <f t="shared" ref="M54:X54" si="50">M31*$G$8</f>
        <v>0</v>
      </c>
      <c r="N54">
        <f t="shared" si="50"/>
        <v>17100</v>
      </c>
      <c r="O54">
        <f t="shared" si="50"/>
        <v>79800</v>
      </c>
      <c r="P54">
        <f t="shared" si="50"/>
        <v>22800</v>
      </c>
      <c r="Q54">
        <f t="shared" si="50"/>
        <v>34200</v>
      </c>
      <c r="R54">
        <f t="shared" si="50"/>
        <v>0</v>
      </c>
      <c r="S54">
        <f t="shared" si="50"/>
        <v>0</v>
      </c>
      <c r="T54">
        <f t="shared" si="50"/>
        <v>28500</v>
      </c>
      <c r="U54">
        <f t="shared" si="50"/>
        <v>45600</v>
      </c>
      <c r="V54">
        <f t="shared" si="50"/>
        <v>0</v>
      </c>
      <c r="W54">
        <f t="shared" si="50"/>
        <v>0</v>
      </c>
      <c r="X54">
        <f t="shared" si="50"/>
        <v>0</v>
      </c>
      <c r="Z54" s="19" t="s">
        <v>21</v>
      </c>
      <c r="AA54" s="20">
        <v>2</v>
      </c>
      <c r="AB54" s="20">
        <v>8</v>
      </c>
      <c r="AC54" s="20">
        <v>6</v>
      </c>
      <c r="AD54" s="21">
        <v>3</v>
      </c>
      <c r="AE54" s="24">
        <v>15</v>
      </c>
      <c r="AF54" s="11">
        <f t="shared" si="46"/>
        <v>124086.37499999999</v>
      </c>
    </row>
    <row r="55" spans="11:32" x14ac:dyDescent="0.3">
      <c r="K55" s="1" t="s">
        <v>23</v>
      </c>
      <c r="L55">
        <f>L32*$G$9</f>
        <v>0</v>
      </c>
      <c r="M55">
        <f t="shared" ref="M55:X55" si="51">M32*$G$9</f>
        <v>0</v>
      </c>
      <c r="N55">
        <f t="shared" si="51"/>
        <v>0</v>
      </c>
      <c r="O55">
        <f t="shared" si="51"/>
        <v>0</v>
      </c>
      <c r="P55">
        <f t="shared" si="51"/>
        <v>13357.142857894736</v>
      </c>
      <c r="Q55">
        <f t="shared" si="51"/>
        <v>0</v>
      </c>
      <c r="R55">
        <f t="shared" si="51"/>
        <v>0</v>
      </c>
      <c r="S55">
        <f t="shared" si="51"/>
        <v>21371.428572631579</v>
      </c>
      <c r="T55">
        <f t="shared" si="51"/>
        <v>10685.71428631579</v>
      </c>
      <c r="U55">
        <f t="shared" si="51"/>
        <v>5342.8571431578948</v>
      </c>
      <c r="V55">
        <f t="shared" si="51"/>
        <v>0</v>
      </c>
      <c r="W55">
        <f t="shared" si="51"/>
        <v>0</v>
      </c>
      <c r="X55">
        <f t="shared" si="51"/>
        <v>0</v>
      </c>
      <c r="Z55" s="19" t="s">
        <v>22</v>
      </c>
      <c r="AA55" s="20">
        <v>2</v>
      </c>
      <c r="AB55" s="20">
        <v>2</v>
      </c>
      <c r="AC55" s="20">
        <v>12</v>
      </c>
      <c r="AD55" s="21">
        <v>1</v>
      </c>
      <c r="AE55" s="24">
        <v>25</v>
      </c>
      <c r="AF55" s="11">
        <f t="shared" si="46"/>
        <v>502739.99999999994</v>
      </c>
    </row>
    <row r="56" spans="11:32" x14ac:dyDescent="0.3">
      <c r="K56" s="1" t="s">
        <v>24</v>
      </c>
      <c r="L56">
        <f>L33*$G$10</f>
        <v>0</v>
      </c>
      <c r="M56">
        <f t="shared" ref="M56:X56" si="52">M33*$G$10</f>
        <v>0</v>
      </c>
      <c r="N56">
        <f t="shared" si="52"/>
        <v>0</v>
      </c>
      <c r="O56">
        <f t="shared" si="52"/>
        <v>0</v>
      </c>
      <c r="P56">
        <f t="shared" si="52"/>
        <v>17606.292514705881</v>
      </c>
      <c r="Q56">
        <f t="shared" si="52"/>
        <v>24648.809520588235</v>
      </c>
      <c r="R56">
        <f t="shared" si="52"/>
        <v>17606.292514705881</v>
      </c>
      <c r="S56">
        <f t="shared" si="52"/>
        <v>0</v>
      </c>
      <c r="T56">
        <f t="shared" si="52"/>
        <v>17606.292514705881</v>
      </c>
      <c r="U56">
        <f t="shared" si="52"/>
        <v>42255.10203529412</v>
      </c>
      <c r="V56">
        <f t="shared" si="52"/>
        <v>0</v>
      </c>
      <c r="W56">
        <f t="shared" si="52"/>
        <v>0</v>
      </c>
      <c r="X56">
        <f t="shared" si="52"/>
        <v>0</v>
      </c>
      <c r="Z56" s="19" t="s">
        <v>23</v>
      </c>
      <c r="AA56" s="20">
        <v>4</v>
      </c>
      <c r="AB56" s="20">
        <v>4</v>
      </c>
      <c r="AC56" s="20">
        <v>4</v>
      </c>
      <c r="AD56" s="21">
        <v>1</v>
      </c>
      <c r="AE56" s="24">
        <v>20</v>
      </c>
      <c r="AF56" s="11">
        <f t="shared" si="46"/>
        <v>188496</v>
      </c>
    </row>
    <row r="57" spans="11:32" x14ac:dyDescent="0.3">
      <c r="K57" s="1" t="s">
        <v>25</v>
      </c>
      <c r="L57">
        <f>L34*$G$11</f>
        <v>0</v>
      </c>
      <c r="M57">
        <f t="shared" ref="M57:X57" si="53">M34*$G$11</f>
        <v>0</v>
      </c>
      <c r="N57">
        <f t="shared" si="53"/>
        <v>0</v>
      </c>
      <c r="O57">
        <f t="shared" si="53"/>
        <v>0</v>
      </c>
      <c r="P57">
        <f t="shared" si="53"/>
        <v>14116.198980000001</v>
      </c>
      <c r="Q57">
        <f t="shared" si="53"/>
        <v>16468.898809999999</v>
      </c>
      <c r="R57">
        <f t="shared" si="53"/>
        <v>0</v>
      </c>
      <c r="S57">
        <f t="shared" si="53"/>
        <v>0</v>
      </c>
      <c r="T57">
        <f t="shared" si="53"/>
        <v>11763.499150000001</v>
      </c>
      <c r="U57">
        <f t="shared" si="53"/>
        <v>18821.59864</v>
      </c>
      <c r="V57">
        <f t="shared" si="53"/>
        <v>0</v>
      </c>
      <c r="W57">
        <f t="shared" si="53"/>
        <v>0</v>
      </c>
      <c r="X57">
        <f t="shared" si="53"/>
        <v>0</v>
      </c>
      <c r="Z57" s="19" t="s">
        <v>24</v>
      </c>
      <c r="AA57" s="20">
        <v>2</v>
      </c>
      <c r="AB57" s="20">
        <v>4</v>
      </c>
      <c r="AC57" s="20">
        <v>12</v>
      </c>
      <c r="AD57" s="21">
        <v>2</v>
      </c>
      <c r="AE57" s="24">
        <v>40</v>
      </c>
      <c r="AF57" s="11">
        <f t="shared" si="46"/>
        <v>496920</v>
      </c>
    </row>
    <row r="58" spans="11:32" x14ac:dyDescent="0.3">
      <c r="K58" s="1" t="s">
        <v>26</v>
      </c>
      <c r="L58">
        <f>L35*$G$12</f>
        <v>0</v>
      </c>
      <c r="M58">
        <f t="shared" ref="M58:X58" si="54">M35*$G$12</f>
        <v>0</v>
      </c>
      <c r="N58">
        <f t="shared" si="54"/>
        <v>0</v>
      </c>
      <c r="O58">
        <f t="shared" si="54"/>
        <v>0</v>
      </c>
      <c r="P58">
        <f t="shared" si="54"/>
        <v>46895.833331249996</v>
      </c>
      <c r="Q58">
        <f t="shared" si="54"/>
        <v>0</v>
      </c>
      <c r="R58">
        <f t="shared" si="54"/>
        <v>14068.749999374999</v>
      </c>
      <c r="S58">
        <f t="shared" si="54"/>
        <v>0</v>
      </c>
      <c r="T58">
        <f t="shared" si="54"/>
        <v>14068.749999374999</v>
      </c>
      <c r="U58">
        <f t="shared" si="54"/>
        <v>0</v>
      </c>
      <c r="V58">
        <f t="shared" si="54"/>
        <v>0</v>
      </c>
      <c r="W58">
        <f t="shared" si="54"/>
        <v>0</v>
      </c>
      <c r="X58">
        <f t="shared" si="54"/>
        <v>0</v>
      </c>
      <c r="Z58" s="19" t="s">
        <v>25</v>
      </c>
      <c r="AA58" s="20">
        <v>4</v>
      </c>
      <c r="AB58" s="20">
        <v>4</v>
      </c>
      <c r="AC58" s="20">
        <v>4</v>
      </c>
      <c r="AD58" s="21">
        <v>1</v>
      </c>
      <c r="AE58" s="24">
        <v>20</v>
      </c>
      <c r="AF58" s="11">
        <f t="shared" si="46"/>
        <v>166006.5</v>
      </c>
    </row>
    <row r="59" spans="11:32" x14ac:dyDescent="0.3">
      <c r="K59" s="1" t="s">
        <v>27</v>
      </c>
      <c r="L59">
        <f>L36*$G$13</f>
        <v>0</v>
      </c>
      <c r="M59">
        <f t="shared" ref="M59:X59" si="55">M36*$G$13</f>
        <v>0</v>
      </c>
      <c r="N59">
        <f t="shared" si="55"/>
        <v>0</v>
      </c>
      <c r="O59">
        <f t="shared" si="55"/>
        <v>0</v>
      </c>
      <c r="P59">
        <f t="shared" si="55"/>
        <v>21587.414966666664</v>
      </c>
      <c r="Q59">
        <f t="shared" si="55"/>
        <v>21587.414966666664</v>
      </c>
      <c r="R59">
        <f t="shared" si="55"/>
        <v>10793.707483333332</v>
      </c>
      <c r="S59">
        <f t="shared" si="55"/>
        <v>0</v>
      </c>
      <c r="T59">
        <f t="shared" si="55"/>
        <v>26984.268708333333</v>
      </c>
      <c r="U59">
        <f t="shared" si="55"/>
        <v>48571.683675</v>
      </c>
      <c r="V59">
        <f t="shared" si="55"/>
        <v>0</v>
      </c>
      <c r="W59">
        <f t="shared" si="55"/>
        <v>0</v>
      </c>
      <c r="X59">
        <f t="shared" si="55"/>
        <v>0</v>
      </c>
      <c r="Z59" s="19" t="s">
        <v>26</v>
      </c>
      <c r="AA59" s="20">
        <v>4</v>
      </c>
      <c r="AB59" s="20">
        <v>6</v>
      </c>
      <c r="AC59" s="20">
        <v>4</v>
      </c>
      <c r="AD59" s="21">
        <v>2</v>
      </c>
      <c r="AE59" s="24">
        <v>30</v>
      </c>
      <c r="AF59" s="11">
        <f t="shared" si="46"/>
        <v>496345.49999999994</v>
      </c>
    </row>
    <row r="60" spans="11:32" x14ac:dyDescent="0.3">
      <c r="K60" s="1" t="s">
        <v>28</v>
      </c>
      <c r="L60">
        <f>L37*$G$14</f>
        <v>0</v>
      </c>
      <c r="M60">
        <f t="shared" ref="M60:X60" si="56">M37*$G$14</f>
        <v>0</v>
      </c>
      <c r="N60">
        <f t="shared" si="56"/>
        <v>0</v>
      </c>
      <c r="O60">
        <f t="shared" si="56"/>
        <v>0</v>
      </c>
      <c r="P60">
        <f t="shared" si="56"/>
        <v>13492.134353333331</v>
      </c>
      <c r="Q60">
        <f t="shared" si="56"/>
        <v>24285.841835999996</v>
      </c>
      <c r="R60">
        <f t="shared" si="56"/>
        <v>8095.2806119999996</v>
      </c>
      <c r="S60">
        <f t="shared" si="56"/>
        <v>21587.41496533333</v>
      </c>
      <c r="T60">
        <f t="shared" si="56"/>
        <v>13492.134353333331</v>
      </c>
      <c r="U60">
        <f t="shared" si="56"/>
        <v>0</v>
      </c>
      <c r="V60">
        <f t="shared" si="56"/>
        <v>0</v>
      </c>
      <c r="W60">
        <f t="shared" si="56"/>
        <v>0</v>
      </c>
      <c r="X60">
        <f t="shared" si="56"/>
        <v>0</v>
      </c>
      <c r="Z60" s="19" t="s">
        <v>27</v>
      </c>
      <c r="AA60" s="20">
        <v>6</v>
      </c>
      <c r="AB60" s="20">
        <v>6</v>
      </c>
      <c r="AC60" s="20">
        <v>4</v>
      </c>
      <c r="AD60" s="21">
        <v>2</v>
      </c>
      <c r="AE60" s="24">
        <v>30</v>
      </c>
      <c r="AF60" s="11">
        <f t="shared" si="46"/>
        <v>571203</v>
      </c>
    </row>
    <row r="61" spans="11:32" x14ac:dyDescent="0.3">
      <c r="K61" s="1" t="s">
        <v>29</v>
      </c>
      <c r="L61">
        <f>L38*$G$15</f>
        <v>0</v>
      </c>
      <c r="M61">
        <f t="shared" ref="M61:X61" si="57">M38*$G$15</f>
        <v>0</v>
      </c>
      <c r="N61">
        <f t="shared" si="57"/>
        <v>0</v>
      </c>
      <c r="O61">
        <f t="shared" si="57"/>
        <v>0</v>
      </c>
      <c r="P61">
        <f t="shared" si="57"/>
        <v>30827.891157894737</v>
      </c>
      <c r="Q61">
        <f t="shared" si="57"/>
        <v>46241.836736842102</v>
      </c>
      <c r="R61">
        <f t="shared" si="57"/>
        <v>15413.945578947369</v>
      </c>
      <c r="S61">
        <f t="shared" si="57"/>
        <v>53948.809526315788</v>
      </c>
      <c r="T61">
        <f t="shared" si="57"/>
        <v>0</v>
      </c>
      <c r="U61">
        <f t="shared" si="57"/>
        <v>0</v>
      </c>
      <c r="V61">
        <f t="shared" si="57"/>
        <v>0</v>
      </c>
      <c r="W61">
        <f t="shared" si="57"/>
        <v>0</v>
      </c>
      <c r="X61">
        <f t="shared" si="57"/>
        <v>0</v>
      </c>
      <c r="Z61" s="19" t="s">
        <v>28</v>
      </c>
      <c r="AA61" s="20">
        <v>2</v>
      </c>
      <c r="AB61" s="20">
        <v>2</v>
      </c>
      <c r="AC61" s="20">
        <v>12</v>
      </c>
      <c r="AD61" s="21">
        <v>1</v>
      </c>
      <c r="AE61" s="24">
        <v>25</v>
      </c>
      <c r="AF61" s="11">
        <f t="shared" si="46"/>
        <v>238001.24999999997</v>
      </c>
    </row>
    <row r="62" spans="11:32" x14ac:dyDescent="0.3">
      <c r="K62" s="1" t="s">
        <v>30</v>
      </c>
      <c r="L62">
        <f>L39*$G$16</f>
        <v>0</v>
      </c>
      <c r="M62">
        <f t="shared" ref="M62:X62" si="58">M39*$G$16</f>
        <v>0</v>
      </c>
      <c r="N62">
        <f t="shared" si="58"/>
        <v>0</v>
      </c>
      <c r="O62">
        <f t="shared" si="58"/>
        <v>0</v>
      </c>
      <c r="P62">
        <f t="shared" si="58"/>
        <v>4007.1428569999998</v>
      </c>
      <c r="Q62">
        <f t="shared" si="58"/>
        <v>6678.5714283333327</v>
      </c>
      <c r="R62">
        <f t="shared" si="58"/>
        <v>2671.4285713333329</v>
      </c>
      <c r="S62">
        <f t="shared" si="58"/>
        <v>13357.142856666665</v>
      </c>
      <c r="T62">
        <f t="shared" si="58"/>
        <v>0</v>
      </c>
      <c r="U62">
        <f t="shared" si="58"/>
        <v>13357.142856666665</v>
      </c>
      <c r="V62">
        <f t="shared" si="58"/>
        <v>0</v>
      </c>
      <c r="W62">
        <f t="shared" si="58"/>
        <v>0</v>
      </c>
      <c r="X62">
        <f t="shared" si="58"/>
        <v>0</v>
      </c>
      <c r="Z62" s="19" t="s">
        <v>29</v>
      </c>
      <c r="AA62" s="20">
        <v>2</v>
      </c>
      <c r="AB62" s="20">
        <v>4</v>
      </c>
      <c r="AC62" s="20">
        <v>6</v>
      </c>
      <c r="AD62" s="21">
        <v>1</v>
      </c>
      <c r="AE62" s="24">
        <v>20</v>
      </c>
      <c r="AF62" s="11">
        <f t="shared" si="46"/>
        <v>543804</v>
      </c>
    </row>
    <row r="63" spans="11:32" x14ac:dyDescent="0.3">
      <c r="K63" s="1" t="s">
        <v>31</v>
      </c>
      <c r="L63">
        <f>L40*$G$17</f>
        <v>0</v>
      </c>
      <c r="M63">
        <f t="shared" ref="M63:X63" si="59">M40*$G$17</f>
        <v>0</v>
      </c>
      <c r="N63">
        <f t="shared" si="59"/>
        <v>0</v>
      </c>
      <c r="O63">
        <f t="shared" si="59"/>
        <v>0</v>
      </c>
      <c r="P63">
        <f t="shared" si="59"/>
        <v>0</v>
      </c>
      <c r="Q63">
        <f t="shared" si="59"/>
        <v>28771.2585</v>
      </c>
      <c r="R63">
        <f t="shared" si="59"/>
        <v>0</v>
      </c>
      <c r="S63">
        <f t="shared" si="59"/>
        <v>115085.034</v>
      </c>
      <c r="T63">
        <f t="shared" si="59"/>
        <v>28771.2585</v>
      </c>
      <c r="U63">
        <f t="shared" si="59"/>
        <v>57542.517</v>
      </c>
      <c r="V63">
        <f t="shared" si="59"/>
        <v>0</v>
      </c>
      <c r="W63">
        <f t="shared" si="59"/>
        <v>0</v>
      </c>
      <c r="X63">
        <f t="shared" si="59"/>
        <v>0</v>
      </c>
      <c r="Z63" s="19" t="s">
        <v>30</v>
      </c>
      <c r="AA63" s="20">
        <v>4</v>
      </c>
      <c r="AB63" s="20">
        <v>6</v>
      </c>
      <c r="AC63" s="20">
        <v>4</v>
      </c>
      <c r="AD63" s="21">
        <v>2</v>
      </c>
      <c r="AE63" s="24">
        <v>25</v>
      </c>
      <c r="AF63" s="11">
        <f t="shared" si="46"/>
        <v>117809.99999999999</v>
      </c>
    </row>
    <row r="64" spans="11:32" x14ac:dyDescent="0.3">
      <c r="K64" s="1" t="s">
        <v>32</v>
      </c>
      <c r="L64">
        <f>L41*$G$18</f>
        <v>0</v>
      </c>
      <c r="M64">
        <f t="shared" ref="M64:X64" si="60">M41*$G$18</f>
        <v>0</v>
      </c>
      <c r="N64">
        <f t="shared" si="60"/>
        <v>0</v>
      </c>
      <c r="O64">
        <f t="shared" si="60"/>
        <v>0</v>
      </c>
      <c r="P64">
        <f t="shared" si="60"/>
        <v>0</v>
      </c>
      <c r="Q64">
        <f t="shared" si="60"/>
        <v>0</v>
      </c>
      <c r="R64">
        <f t="shared" si="60"/>
        <v>0</v>
      </c>
      <c r="S64">
        <f t="shared" si="60"/>
        <v>0</v>
      </c>
      <c r="T64">
        <f t="shared" si="60"/>
        <v>0</v>
      </c>
      <c r="U64">
        <f t="shared" si="60"/>
        <v>0</v>
      </c>
      <c r="V64">
        <f t="shared" si="60"/>
        <v>8095.2806120689656</v>
      </c>
      <c r="W64">
        <f t="shared" si="60"/>
        <v>32381.122448275863</v>
      </c>
      <c r="X64">
        <f t="shared" si="60"/>
        <v>37777.976189655172</v>
      </c>
      <c r="Z64" s="19" t="s">
        <v>31</v>
      </c>
      <c r="AA64" s="20">
        <v>4</v>
      </c>
      <c r="AB64" s="20">
        <v>4</v>
      </c>
      <c r="AC64" s="20">
        <v>4</v>
      </c>
      <c r="AD64" s="21">
        <v>1</v>
      </c>
      <c r="AE64" s="24">
        <v>20</v>
      </c>
      <c r="AF64" s="11">
        <f t="shared" si="46"/>
        <v>406020</v>
      </c>
    </row>
    <row r="65" spans="11:32" x14ac:dyDescent="0.3">
      <c r="K65" s="1" t="s">
        <v>33</v>
      </c>
      <c r="L65">
        <f>L42*$G$19</f>
        <v>0</v>
      </c>
      <c r="M65">
        <f t="shared" ref="M65:X65" si="61">M42*$G$19</f>
        <v>0</v>
      </c>
      <c r="N65">
        <f t="shared" si="61"/>
        <v>0</v>
      </c>
      <c r="O65">
        <f t="shared" si="61"/>
        <v>0</v>
      </c>
      <c r="P65">
        <f t="shared" si="61"/>
        <v>0</v>
      </c>
      <c r="Q65">
        <f t="shared" si="61"/>
        <v>0</v>
      </c>
      <c r="R65">
        <f t="shared" si="61"/>
        <v>0</v>
      </c>
      <c r="S65">
        <f t="shared" si="61"/>
        <v>0</v>
      </c>
      <c r="T65">
        <f t="shared" si="61"/>
        <v>0</v>
      </c>
      <c r="U65">
        <f t="shared" si="61"/>
        <v>0</v>
      </c>
      <c r="V65">
        <f t="shared" si="61"/>
        <v>29131.377560000001</v>
      </c>
      <c r="W65">
        <f t="shared" si="61"/>
        <v>29131.377560000001</v>
      </c>
      <c r="X65">
        <f t="shared" si="61"/>
        <v>87394.132679999995</v>
      </c>
      <c r="Z65" s="19" t="s">
        <v>32</v>
      </c>
      <c r="AA65" s="20">
        <v>12</v>
      </c>
      <c r="AB65" s="20">
        <v>2</v>
      </c>
      <c r="AC65" s="20">
        <v>2</v>
      </c>
      <c r="AD65" s="21">
        <v>4</v>
      </c>
      <c r="AE65" s="24">
        <v>80</v>
      </c>
      <c r="AF65" s="11">
        <f t="shared" si="46"/>
        <v>761604</v>
      </c>
    </row>
    <row r="66" spans="11:32" x14ac:dyDescent="0.3">
      <c r="K66" s="1" t="s">
        <v>34</v>
      </c>
      <c r="L66">
        <f>L43*$G$20</f>
        <v>0</v>
      </c>
      <c r="M66">
        <f t="shared" ref="M66:X66" si="62">M43*$G$20</f>
        <v>0</v>
      </c>
      <c r="N66">
        <f t="shared" si="62"/>
        <v>0</v>
      </c>
      <c r="O66">
        <f t="shared" si="62"/>
        <v>0</v>
      </c>
      <c r="P66">
        <f t="shared" si="62"/>
        <v>0</v>
      </c>
      <c r="Q66">
        <f t="shared" si="62"/>
        <v>0</v>
      </c>
      <c r="R66">
        <f t="shared" si="62"/>
        <v>0</v>
      </c>
      <c r="S66">
        <f t="shared" si="62"/>
        <v>0</v>
      </c>
      <c r="T66">
        <f t="shared" si="62"/>
        <v>0</v>
      </c>
      <c r="U66">
        <f t="shared" si="62"/>
        <v>0</v>
      </c>
      <c r="V66">
        <f t="shared" si="62"/>
        <v>0</v>
      </c>
      <c r="W66">
        <f t="shared" si="62"/>
        <v>167461.56461428571</v>
      </c>
      <c r="X66">
        <f t="shared" si="62"/>
        <v>246267.0067857143</v>
      </c>
      <c r="Z66" s="19" t="s">
        <v>33</v>
      </c>
      <c r="AA66" s="20">
        <v>12</v>
      </c>
      <c r="AB66" s="20">
        <v>2</v>
      </c>
      <c r="AC66" s="20">
        <v>2</v>
      </c>
      <c r="AD66" s="21">
        <v>4</v>
      </c>
      <c r="AE66" s="24">
        <v>80</v>
      </c>
      <c r="AF66" s="11">
        <f t="shared" si="46"/>
        <v>1644408</v>
      </c>
    </row>
    <row r="67" spans="11:32" x14ac:dyDescent="0.3">
      <c r="K67" s="1" t="s">
        <v>35</v>
      </c>
      <c r="L67">
        <f>L44*$G$21</f>
        <v>0</v>
      </c>
      <c r="M67">
        <f t="shared" ref="M67:X67" si="63">M44*$G$21</f>
        <v>0</v>
      </c>
      <c r="N67">
        <f t="shared" si="63"/>
        <v>0</v>
      </c>
      <c r="O67">
        <f t="shared" si="63"/>
        <v>0</v>
      </c>
      <c r="P67">
        <f t="shared" si="63"/>
        <v>0</v>
      </c>
      <c r="Q67">
        <f t="shared" si="63"/>
        <v>0</v>
      </c>
      <c r="R67">
        <f t="shared" si="63"/>
        <v>0</v>
      </c>
      <c r="S67">
        <f t="shared" si="63"/>
        <v>0</v>
      </c>
      <c r="T67">
        <f t="shared" si="63"/>
        <v>0</v>
      </c>
      <c r="U67">
        <f t="shared" si="63"/>
        <v>0</v>
      </c>
      <c r="V67">
        <f t="shared" si="63"/>
        <v>20568.112239130434</v>
      </c>
      <c r="W67">
        <f t="shared" si="63"/>
        <v>54848.299304347827</v>
      </c>
      <c r="X67">
        <f t="shared" si="63"/>
        <v>82272.448956521737</v>
      </c>
      <c r="Z67" s="19" t="s">
        <v>34</v>
      </c>
      <c r="AA67" s="20">
        <v>12</v>
      </c>
      <c r="AB67" s="20">
        <v>2</v>
      </c>
      <c r="AC67" s="20">
        <v>2</v>
      </c>
      <c r="AD67" s="21">
        <v>4</v>
      </c>
      <c r="AE67" s="24">
        <v>80</v>
      </c>
      <c r="AF67" s="11">
        <f t="shared" si="46"/>
        <v>2780256</v>
      </c>
    </row>
    <row r="68" spans="11:32" x14ac:dyDescent="0.3">
      <c r="Z68" s="15" t="s">
        <v>35</v>
      </c>
      <c r="AA68" s="25">
        <v>12</v>
      </c>
      <c r="AB68" s="25">
        <v>2</v>
      </c>
      <c r="AC68" s="25">
        <v>2</v>
      </c>
      <c r="AD68" s="26">
        <v>4</v>
      </c>
      <c r="AE68" s="27">
        <v>80</v>
      </c>
      <c r="AF68" s="11">
        <f t="shared" si="46"/>
        <v>1935048</v>
      </c>
    </row>
    <row r="69" spans="11:32" x14ac:dyDescent="0.3">
      <c r="K69" s="2" t="s">
        <v>37</v>
      </c>
      <c r="L69">
        <f>SUM(L48:L67)</f>
        <v>92625.19132459203</v>
      </c>
      <c r="M69">
        <f t="shared" ref="M69:X69" si="64">SUM(M48:M67)</f>
        <v>295450.7440491661</v>
      </c>
      <c r="N69">
        <f t="shared" si="64"/>
        <v>73300.085033653115</v>
      </c>
      <c r="O69">
        <f t="shared" si="64"/>
        <v>404527.76359903754</v>
      </c>
      <c r="P69">
        <f t="shared" si="64"/>
        <v>184690.05101874535</v>
      </c>
      <c r="Q69">
        <f t="shared" si="64"/>
        <v>202882.63179843032</v>
      </c>
      <c r="R69">
        <f t="shared" si="64"/>
        <v>73076.955779694923</v>
      </c>
      <c r="S69">
        <f t="shared" si="64"/>
        <v>278517.43195858179</v>
      </c>
      <c r="T69">
        <f t="shared" si="64"/>
        <v>258262.35118620572</v>
      </c>
      <c r="U69">
        <f t="shared" si="64"/>
        <v>450123.533151893</v>
      </c>
      <c r="V69">
        <f t="shared" si="64"/>
        <v>57794.770411199395</v>
      </c>
      <c r="W69">
        <f t="shared" si="64"/>
        <v>283822.3639269094</v>
      </c>
      <c r="X69">
        <f t="shared" si="64"/>
        <v>453711.56461189123</v>
      </c>
      <c r="AC69" s="54" t="s">
        <v>85</v>
      </c>
      <c r="AD69" s="54"/>
      <c r="AE69" s="54"/>
      <c r="AF69" s="10">
        <f>SUM(AF49:AF68)</f>
        <v>16381056.525</v>
      </c>
    </row>
    <row r="70" spans="11:32" x14ac:dyDescent="0.3">
      <c r="K70" t="s">
        <v>38</v>
      </c>
      <c r="L70">
        <f>8*60*5</f>
        <v>2400</v>
      </c>
      <c r="M70">
        <f t="shared" ref="M70:X70" si="65">8*60*5</f>
        <v>2400</v>
      </c>
      <c r="N70">
        <f t="shared" si="65"/>
        <v>2400</v>
      </c>
      <c r="O70">
        <f t="shared" si="65"/>
        <v>2400</v>
      </c>
      <c r="P70">
        <f t="shared" si="65"/>
        <v>2400</v>
      </c>
      <c r="Q70">
        <f t="shared" si="65"/>
        <v>2400</v>
      </c>
      <c r="R70">
        <f t="shared" si="65"/>
        <v>2400</v>
      </c>
      <c r="S70">
        <f t="shared" si="65"/>
        <v>2400</v>
      </c>
      <c r="T70">
        <f t="shared" si="65"/>
        <v>2400</v>
      </c>
      <c r="U70">
        <f t="shared" si="65"/>
        <v>2400</v>
      </c>
      <c r="V70">
        <f t="shared" si="65"/>
        <v>2400</v>
      </c>
      <c r="W70">
        <f t="shared" si="65"/>
        <v>2400</v>
      </c>
      <c r="X70">
        <f t="shared" si="65"/>
        <v>2400</v>
      </c>
      <c r="AC70" s="54" t="s">
        <v>93</v>
      </c>
      <c r="AD70" s="54"/>
      <c r="AE70" s="54"/>
      <c r="AF70" s="10">
        <f>AF69*49</f>
        <v>802671769.72500002</v>
      </c>
    </row>
    <row r="71" spans="11:32" x14ac:dyDescent="0.3">
      <c r="K71" t="s">
        <v>39</v>
      </c>
      <c r="L71">
        <f>16*5*60</f>
        <v>4800</v>
      </c>
      <c r="M71">
        <f t="shared" ref="M71:X71" si="66">16*5*60</f>
        <v>4800</v>
      </c>
      <c r="N71">
        <f t="shared" si="66"/>
        <v>4800</v>
      </c>
      <c r="O71">
        <f t="shared" si="66"/>
        <v>4800</v>
      </c>
      <c r="P71">
        <f t="shared" si="66"/>
        <v>4800</v>
      </c>
      <c r="Q71">
        <f t="shared" si="66"/>
        <v>4800</v>
      </c>
      <c r="R71">
        <f t="shared" si="66"/>
        <v>4800</v>
      </c>
      <c r="S71">
        <f t="shared" si="66"/>
        <v>4800</v>
      </c>
      <c r="T71">
        <f t="shared" si="66"/>
        <v>4800</v>
      </c>
      <c r="U71">
        <f t="shared" si="66"/>
        <v>4800</v>
      </c>
      <c r="V71">
        <f t="shared" si="66"/>
        <v>4800</v>
      </c>
      <c r="W71">
        <f t="shared" si="66"/>
        <v>4800</v>
      </c>
      <c r="X71">
        <f t="shared" si="66"/>
        <v>4800</v>
      </c>
    </row>
    <row r="73" spans="11:32" x14ac:dyDescent="0.3">
      <c r="K73" t="s">
        <v>40</v>
      </c>
      <c r="L73">
        <f>L69/L70</f>
        <v>38.593829718580011</v>
      </c>
      <c r="M73">
        <f t="shared" ref="M73:X73" si="67">M69/M70</f>
        <v>123.10447668715254</v>
      </c>
      <c r="N73">
        <f t="shared" si="67"/>
        <v>30.541702097355465</v>
      </c>
      <c r="O73">
        <f t="shared" si="67"/>
        <v>168.5532348329323</v>
      </c>
      <c r="P73">
        <f t="shared" si="67"/>
        <v>76.954187924477225</v>
      </c>
      <c r="Q73">
        <f t="shared" si="67"/>
        <v>84.534429916012627</v>
      </c>
      <c r="R73">
        <f t="shared" si="67"/>
        <v>30.448731574872884</v>
      </c>
      <c r="S73">
        <f t="shared" si="67"/>
        <v>116.04892998274241</v>
      </c>
      <c r="T73">
        <f t="shared" si="67"/>
        <v>107.60931299425238</v>
      </c>
      <c r="U73">
        <f t="shared" si="67"/>
        <v>187.55147214662207</v>
      </c>
      <c r="V73">
        <f t="shared" si="67"/>
        <v>24.081154337999749</v>
      </c>
      <c r="W73">
        <f t="shared" si="67"/>
        <v>118.25931830287891</v>
      </c>
      <c r="X73">
        <f t="shared" si="67"/>
        <v>189.04648525495469</v>
      </c>
    </row>
    <row r="74" spans="11:32" x14ac:dyDescent="0.3">
      <c r="K74" t="s">
        <v>41</v>
      </c>
      <c r="L74">
        <f>L69/L71</f>
        <v>19.296914859290005</v>
      </c>
      <c r="M74">
        <f t="shared" ref="M74:X74" si="68">M69/M71</f>
        <v>61.552238343576271</v>
      </c>
      <c r="N74">
        <f t="shared" si="68"/>
        <v>15.270851048677732</v>
      </c>
      <c r="O74">
        <f t="shared" si="68"/>
        <v>84.276617416466152</v>
      </c>
      <c r="P74">
        <f t="shared" si="68"/>
        <v>38.477093962238612</v>
      </c>
      <c r="Q74">
        <f t="shared" si="68"/>
        <v>42.267214958006313</v>
      </c>
      <c r="R74">
        <f t="shared" si="68"/>
        <v>15.224365787436442</v>
      </c>
      <c r="S74">
        <f t="shared" si="68"/>
        <v>58.024464991371204</v>
      </c>
      <c r="T74">
        <f t="shared" si="68"/>
        <v>53.804656497126189</v>
      </c>
      <c r="U74">
        <f t="shared" si="68"/>
        <v>93.775736073311037</v>
      </c>
      <c r="V74">
        <f t="shared" si="68"/>
        <v>12.040577168999874</v>
      </c>
      <c r="W74">
        <f t="shared" si="68"/>
        <v>59.129659151439455</v>
      </c>
      <c r="X74">
        <f t="shared" si="68"/>
        <v>94.523242627477345</v>
      </c>
    </row>
    <row r="76" spans="11:32" x14ac:dyDescent="0.3">
      <c r="K76" s="38" t="s">
        <v>42</v>
      </c>
      <c r="L76" s="39" t="s">
        <v>3</v>
      </c>
      <c r="M76" s="39" t="s">
        <v>4</v>
      </c>
      <c r="N76" s="39" t="s">
        <v>5</v>
      </c>
      <c r="O76" s="39" t="s">
        <v>6</v>
      </c>
      <c r="P76" s="39" t="s">
        <v>7</v>
      </c>
      <c r="Q76" s="39" t="s">
        <v>8</v>
      </c>
      <c r="R76" s="39" t="s">
        <v>9</v>
      </c>
      <c r="S76" s="39" t="s">
        <v>10</v>
      </c>
      <c r="T76" s="39" t="s">
        <v>11</v>
      </c>
      <c r="U76" s="39" t="s">
        <v>12</v>
      </c>
      <c r="V76" s="39" t="s">
        <v>13</v>
      </c>
      <c r="W76" s="39" t="s">
        <v>14</v>
      </c>
      <c r="X76" s="40" t="s">
        <v>15</v>
      </c>
    </row>
    <row r="77" spans="11:32" x14ac:dyDescent="0.3">
      <c r="K77" s="41" t="s">
        <v>40</v>
      </c>
      <c r="L77">
        <f>ROUNDUP(L73,0)</f>
        <v>39</v>
      </c>
      <c r="M77">
        <f t="shared" ref="M77:X78" si="69">ROUNDUP(M73,0)</f>
        <v>124</v>
      </c>
      <c r="N77">
        <f t="shared" si="69"/>
        <v>31</v>
      </c>
      <c r="O77">
        <f t="shared" si="69"/>
        <v>169</v>
      </c>
      <c r="P77">
        <f t="shared" si="69"/>
        <v>77</v>
      </c>
      <c r="Q77">
        <f t="shared" si="69"/>
        <v>85</v>
      </c>
      <c r="R77">
        <f t="shared" si="69"/>
        <v>31</v>
      </c>
      <c r="S77">
        <f t="shared" si="69"/>
        <v>117</v>
      </c>
      <c r="T77">
        <f t="shared" si="69"/>
        <v>108</v>
      </c>
      <c r="U77">
        <f t="shared" si="69"/>
        <v>188</v>
      </c>
      <c r="V77">
        <f t="shared" si="69"/>
        <v>25</v>
      </c>
      <c r="W77">
        <f t="shared" si="69"/>
        <v>119</v>
      </c>
      <c r="X77" s="42">
        <f t="shared" si="69"/>
        <v>190</v>
      </c>
      <c r="Y77" t="s">
        <v>90</v>
      </c>
    </row>
    <row r="78" spans="11:32" x14ac:dyDescent="0.3">
      <c r="K78" s="43" t="s">
        <v>41</v>
      </c>
      <c r="L78" s="4">
        <f>ROUNDUP(L74,0)</f>
        <v>20</v>
      </c>
      <c r="M78" s="4">
        <f t="shared" si="69"/>
        <v>62</v>
      </c>
      <c r="N78" s="4">
        <f t="shared" si="69"/>
        <v>16</v>
      </c>
      <c r="O78" s="4">
        <f t="shared" si="69"/>
        <v>85</v>
      </c>
      <c r="P78" s="4">
        <f t="shared" si="69"/>
        <v>39</v>
      </c>
      <c r="Q78" s="4">
        <f t="shared" si="69"/>
        <v>43</v>
      </c>
      <c r="R78" s="4">
        <f t="shared" si="69"/>
        <v>16</v>
      </c>
      <c r="S78" s="4">
        <f t="shared" si="69"/>
        <v>59</v>
      </c>
      <c r="T78" s="4">
        <f t="shared" si="69"/>
        <v>54</v>
      </c>
      <c r="U78" s="4">
        <f t="shared" si="69"/>
        <v>94</v>
      </c>
      <c r="V78" s="4">
        <f t="shared" si="69"/>
        <v>13</v>
      </c>
      <c r="W78" s="4">
        <f t="shared" si="69"/>
        <v>60</v>
      </c>
      <c r="X78" s="44">
        <f t="shared" si="69"/>
        <v>95</v>
      </c>
      <c r="Y78" s="12">
        <f>SUM(L78:X78)</f>
        <v>656</v>
      </c>
    </row>
    <row r="79" spans="11:32" x14ac:dyDescent="0.3">
      <c r="K79" s="3" t="s">
        <v>92</v>
      </c>
      <c r="L79" s="3">
        <f>L78-'Y3'!L78</f>
        <v>0</v>
      </c>
      <c r="M79" s="3">
        <f>M78-'Y3'!M78</f>
        <v>2</v>
      </c>
      <c r="N79" s="3">
        <f>N78-'Y3'!N78</f>
        <v>0</v>
      </c>
      <c r="O79" s="3">
        <f>O78-'Y3'!O78</f>
        <v>1</v>
      </c>
      <c r="P79" s="3">
        <f>P78-'Y3'!P78</f>
        <v>0</v>
      </c>
      <c r="Q79" s="3">
        <f>Q78-'Y3'!Q78</f>
        <v>-1</v>
      </c>
      <c r="R79" s="3">
        <f>R78-'Y3'!R78</f>
        <v>0</v>
      </c>
      <c r="S79" s="3">
        <f>S78-'Y3'!S78</f>
        <v>2</v>
      </c>
      <c r="T79" s="3">
        <f>T78-'Y3'!T78</f>
        <v>1</v>
      </c>
      <c r="U79" s="3">
        <f>U78-'Y3'!U78</f>
        <v>1</v>
      </c>
      <c r="V79" s="3">
        <f>V78-'Y3'!V78</f>
        <v>0</v>
      </c>
      <c r="W79" s="3">
        <f>W78-'Y3'!W78</f>
        <v>1</v>
      </c>
      <c r="X79" s="3">
        <f>X78-'Y3'!X78</f>
        <v>1</v>
      </c>
      <c r="Y79">
        <f>Y78-'Y3'!Y78</f>
        <v>8</v>
      </c>
    </row>
    <row r="81" spans="11:25" x14ac:dyDescent="0.3">
      <c r="K81" t="s">
        <v>48</v>
      </c>
      <c r="L81">
        <v>7</v>
      </c>
      <c r="M81">
        <v>7</v>
      </c>
      <c r="N81">
        <v>7</v>
      </c>
      <c r="O81">
        <v>7</v>
      </c>
      <c r="P81">
        <v>6</v>
      </c>
      <c r="Q81">
        <v>6</v>
      </c>
      <c r="R81">
        <v>6</v>
      </c>
      <c r="S81">
        <v>5</v>
      </c>
      <c r="T81">
        <v>5</v>
      </c>
      <c r="U81">
        <v>5</v>
      </c>
      <c r="V81">
        <v>3</v>
      </c>
      <c r="W81">
        <v>3</v>
      </c>
      <c r="X81">
        <v>3</v>
      </c>
    </row>
    <row r="82" spans="11:25" x14ac:dyDescent="0.3">
      <c r="L82">
        <v>8</v>
      </c>
      <c r="M82">
        <v>8</v>
      </c>
      <c r="N82">
        <v>8</v>
      </c>
      <c r="O82">
        <v>8</v>
      </c>
      <c r="P82">
        <v>16</v>
      </c>
      <c r="Q82">
        <v>16</v>
      </c>
      <c r="R82">
        <v>16</v>
      </c>
      <c r="S82">
        <v>24</v>
      </c>
      <c r="T82">
        <v>24</v>
      </c>
      <c r="U82">
        <v>24</v>
      </c>
      <c r="V82">
        <v>6</v>
      </c>
      <c r="W82">
        <v>6</v>
      </c>
      <c r="X82">
        <v>6</v>
      </c>
    </row>
    <row r="83" spans="11:25" x14ac:dyDescent="0.3">
      <c r="K83" t="s">
        <v>49</v>
      </c>
      <c r="L83">
        <v>14</v>
      </c>
      <c r="M83">
        <v>14</v>
      </c>
      <c r="N83">
        <v>14</v>
      </c>
      <c r="O83">
        <v>14</v>
      </c>
      <c r="P83">
        <v>22</v>
      </c>
      <c r="Q83">
        <v>22</v>
      </c>
      <c r="R83">
        <v>22</v>
      </c>
      <c r="S83">
        <v>14</v>
      </c>
      <c r="T83">
        <v>14</v>
      </c>
      <c r="U83">
        <v>14</v>
      </c>
      <c r="V83">
        <v>14</v>
      </c>
      <c r="W83">
        <v>14</v>
      </c>
      <c r="X83">
        <v>14</v>
      </c>
    </row>
    <row r="84" spans="11:25" x14ac:dyDescent="0.3">
      <c r="L84">
        <v>14</v>
      </c>
      <c r="M84">
        <v>14</v>
      </c>
      <c r="N84">
        <v>14</v>
      </c>
      <c r="O84">
        <v>14</v>
      </c>
      <c r="P84">
        <v>15</v>
      </c>
      <c r="Q84">
        <v>15</v>
      </c>
      <c r="R84">
        <v>15</v>
      </c>
      <c r="S84">
        <v>36</v>
      </c>
      <c r="T84">
        <v>36</v>
      </c>
      <c r="U84">
        <v>36</v>
      </c>
      <c r="V84">
        <v>7</v>
      </c>
      <c r="W84">
        <v>7</v>
      </c>
      <c r="X84">
        <v>7</v>
      </c>
    </row>
    <row r="86" spans="11:25" x14ac:dyDescent="0.3">
      <c r="K86" t="s">
        <v>43</v>
      </c>
      <c r="L86" s="5">
        <f>1*20+1/4*40</f>
        <v>30</v>
      </c>
      <c r="M86" s="5">
        <f t="shared" ref="M86:O86" si="70">1*20+1/4*40</f>
        <v>30</v>
      </c>
      <c r="N86" s="5">
        <f t="shared" si="70"/>
        <v>30</v>
      </c>
      <c r="O86" s="5">
        <f t="shared" si="70"/>
        <v>30</v>
      </c>
      <c r="P86" s="5">
        <f>1*20+1/2*60</f>
        <v>50</v>
      </c>
      <c r="Q86" s="5">
        <f t="shared" ref="Q86:R86" si="71">1*20+1/2*60</f>
        <v>50</v>
      </c>
      <c r="R86" s="5">
        <f t="shared" si="71"/>
        <v>50</v>
      </c>
      <c r="S86" s="5">
        <v>120</v>
      </c>
      <c r="T86" s="5">
        <v>120</v>
      </c>
      <c r="U86" s="5">
        <v>120</v>
      </c>
      <c r="V86" s="5">
        <v>20</v>
      </c>
      <c r="W86" s="5">
        <v>20</v>
      </c>
      <c r="X86" s="5">
        <v>20</v>
      </c>
    </row>
    <row r="87" spans="11:25" x14ac:dyDescent="0.3">
      <c r="K87" t="s">
        <v>44</v>
      </c>
      <c r="L87" s="6">
        <v>150000</v>
      </c>
      <c r="M87" s="6">
        <v>200000</v>
      </c>
      <c r="N87" s="6">
        <v>250000</v>
      </c>
      <c r="O87" s="6">
        <v>300000</v>
      </c>
      <c r="P87" s="6">
        <v>400000</v>
      </c>
      <c r="Q87" s="6">
        <v>400000</v>
      </c>
      <c r="R87" s="6">
        <v>400000</v>
      </c>
      <c r="S87" s="6">
        <v>1000000</v>
      </c>
      <c r="T87" s="6">
        <v>500000</v>
      </c>
      <c r="U87" s="6">
        <v>500000</v>
      </c>
      <c r="V87" s="6">
        <v>80000</v>
      </c>
      <c r="W87" s="6">
        <v>100000</v>
      </c>
      <c r="X87" s="6">
        <v>50000</v>
      </c>
      <c r="Y87" s="5"/>
    </row>
    <row r="89" spans="11:25" x14ac:dyDescent="0.3">
      <c r="K89" s="2" t="s">
        <v>50</v>
      </c>
      <c r="L89" s="2" t="s">
        <v>3</v>
      </c>
      <c r="M89" s="2" t="s">
        <v>4</v>
      </c>
      <c r="N89" s="2" t="s">
        <v>5</v>
      </c>
      <c r="O89" s="2" t="s">
        <v>6</v>
      </c>
      <c r="P89" s="2" t="s">
        <v>7</v>
      </c>
      <c r="Q89" s="2" t="s">
        <v>8</v>
      </c>
      <c r="R89" s="2" t="s">
        <v>9</v>
      </c>
      <c r="S89" s="2" t="s">
        <v>10</v>
      </c>
      <c r="T89" s="2" t="s">
        <v>11</v>
      </c>
      <c r="U89" s="2" t="s">
        <v>12</v>
      </c>
      <c r="V89" s="2" t="s">
        <v>13</v>
      </c>
      <c r="W89" s="2" t="s">
        <v>14</v>
      </c>
      <c r="X89" s="2" t="s">
        <v>15</v>
      </c>
    </row>
    <row r="90" spans="11:25" x14ac:dyDescent="0.3">
      <c r="K90" s="1" t="s">
        <v>45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1:25" x14ac:dyDescent="0.3">
      <c r="K91" s="1" t="s">
        <v>46</v>
      </c>
      <c r="L91">
        <v>0.25</v>
      </c>
      <c r="M91">
        <v>0.25</v>
      </c>
      <c r="N91">
        <v>0.25</v>
      </c>
      <c r="O91">
        <v>0.25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0.5</v>
      </c>
      <c r="W91">
        <v>0.5</v>
      </c>
      <c r="X91">
        <v>0.5</v>
      </c>
    </row>
    <row r="92" spans="11:25" x14ac:dyDescent="0.3">
      <c r="K92" s="1" t="s">
        <v>47</v>
      </c>
      <c r="L92">
        <v>0</v>
      </c>
      <c r="M92">
        <v>0</v>
      </c>
      <c r="N92">
        <v>0</v>
      </c>
      <c r="O92">
        <v>0</v>
      </c>
      <c r="P92">
        <v>0.5</v>
      </c>
      <c r="Q92">
        <v>0.5</v>
      </c>
      <c r="R92">
        <v>0.5</v>
      </c>
      <c r="S92">
        <v>2</v>
      </c>
      <c r="T92">
        <v>2</v>
      </c>
      <c r="U92">
        <v>2</v>
      </c>
      <c r="V92">
        <v>0</v>
      </c>
      <c r="W92">
        <v>0</v>
      </c>
      <c r="X92">
        <v>0</v>
      </c>
    </row>
    <row r="94" spans="11:25" x14ac:dyDescent="0.3">
      <c r="K94" t="s">
        <v>71</v>
      </c>
      <c r="L94">
        <f>49*5*16</f>
        <v>3920</v>
      </c>
      <c r="M94">
        <f t="shared" ref="M94:X94" si="72">49*5*16</f>
        <v>3920</v>
      </c>
      <c r="N94">
        <f t="shared" si="72"/>
        <v>3920</v>
      </c>
      <c r="O94">
        <f t="shared" si="72"/>
        <v>3920</v>
      </c>
      <c r="P94">
        <f t="shared" si="72"/>
        <v>3920</v>
      </c>
      <c r="Q94">
        <f t="shared" si="72"/>
        <v>3920</v>
      </c>
      <c r="R94">
        <f t="shared" si="72"/>
        <v>3920</v>
      </c>
      <c r="S94">
        <f t="shared" si="72"/>
        <v>3920</v>
      </c>
      <c r="T94">
        <f t="shared" si="72"/>
        <v>3920</v>
      </c>
      <c r="U94">
        <f t="shared" si="72"/>
        <v>3920</v>
      </c>
      <c r="V94">
        <f t="shared" si="72"/>
        <v>3920</v>
      </c>
      <c r="W94">
        <f t="shared" si="72"/>
        <v>3920</v>
      </c>
      <c r="X94">
        <f t="shared" si="72"/>
        <v>3920</v>
      </c>
    </row>
    <row r="96" spans="11:25" x14ac:dyDescent="0.3">
      <c r="K96" s="2" t="s">
        <v>51</v>
      </c>
      <c r="L96" s="2" t="s">
        <v>3</v>
      </c>
      <c r="M96" s="2" t="s">
        <v>4</v>
      </c>
      <c r="N96" s="2" t="s">
        <v>5</v>
      </c>
      <c r="O96" s="2" t="s">
        <v>6</v>
      </c>
      <c r="P96" s="2" t="s">
        <v>7</v>
      </c>
      <c r="Q96" s="2" t="s">
        <v>8</v>
      </c>
      <c r="R96" s="2" t="s">
        <v>9</v>
      </c>
      <c r="S96" s="2" t="s">
        <v>10</v>
      </c>
      <c r="T96" s="2" t="s">
        <v>11</v>
      </c>
      <c r="U96" s="2" t="s">
        <v>12</v>
      </c>
      <c r="V96" s="2" t="s">
        <v>13</v>
      </c>
      <c r="W96" s="2" t="s">
        <v>14</v>
      </c>
      <c r="X96" s="2" t="s">
        <v>15</v>
      </c>
      <c r="Y96" s="2" t="s">
        <v>52</v>
      </c>
    </row>
    <row r="97" spans="11:25" x14ac:dyDescent="0.3">
      <c r="K97" s="1" t="s">
        <v>45</v>
      </c>
      <c r="L97">
        <f t="shared" ref="L97:X97" si="73">ROUNDUP(L90*L78*2,0)</f>
        <v>40</v>
      </c>
      <c r="M97">
        <f t="shared" si="73"/>
        <v>124</v>
      </c>
      <c r="N97">
        <f t="shared" si="73"/>
        <v>32</v>
      </c>
      <c r="O97">
        <f t="shared" si="73"/>
        <v>170</v>
      </c>
      <c r="P97">
        <f t="shared" si="73"/>
        <v>78</v>
      </c>
      <c r="Q97">
        <f t="shared" si="73"/>
        <v>86</v>
      </c>
      <c r="R97">
        <f t="shared" si="73"/>
        <v>32</v>
      </c>
      <c r="S97">
        <f t="shared" si="73"/>
        <v>0</v>
      </c>
      <c r="T97">
        <f t="shared" si="73"/>
        <v>0</v>
      </c>
      <c r="U97">
        <f t="shared" si="73"/>
        <v>0</v>
      </c>
      <c r="V97">
        <f t="shared" si="73"/>
        <v>0</v>
      </c>
      <c r="W97">
        <f t="shared" si="73"/>
        <v>0</v>
      </c>
      <c r="X97">
        <f t="shared" si="73"/>
        <v>0</v>
      </c>
      <c r="Y97">
        <f>SUM(L97:X97)</f>
        <v>562</v>
      </c>
    </row>
    <row r="98" spans="11:25" x14ac:dyDescent="0.3">
      <c r="K98" s="1" t="s">
        <v>46</v>
      </c>
      <c r="L98">
        <f t="shared" ref="L98:X98" si="74">ROUNDUP(L91*L78*2,0)</f>
        <v>10</v>
      </c>
      <c r="M98">
        <f t="shared" si="74"/>
        <v>31</v>
      </c>
      <c r="N98">
        <f t="shared" si="74"/>
        <v>8</v>
      </c>
      <c r="O98">
        <f t="shared" si="74"/>
        <v>43</v>
      </c>
      <c r="P98">
        <f t="shared" si="74"/>
        <v>0</v>
      </c>
      <c r="Q98">
        <f t="shared" si="74"/>
        <v>0</v>
      </c>
      <c r="R98">
        <f t="shared" si="74"/>
        <v>0</v>
      </c>
      <c r="S98">
        <f t="shared" si="74"/>
        <v>0</v>
      </c>
      <c r="T98">
        <f t="shared" si="74"/>
        <v>0</v>
      </c>
      <c r="U98">
        <f t="shared" si="74"/>
        <v>0</v>
      </c>
      <c r="V98">
        <f t="shared" si="74"/>
        <v>13</v>
      </c>
      <c r="W98">
        <f t="shared" si="74"/>
        <v>60</v>
      </c>
      <c r="X98">
        <f t="shared" si="74"/>
        <v>95</v>
      </c>
      <c r="Y98">
        <f t="shared" ref="Y98:Y99" si="75">SUM(L98:X98)</f>
        <v>260</v>
      </c>
    </row>
    <row r="99" spans="11:25" x14ac:dyDescent="0.3">
      <c r="K99" s="1" t="s">
        <v>47</v>
      </c>
      <c r="L99">
        <f t="shared" ref="L99:X99" si="76">ROUNDUP(L92*L78*2,0)</f>
        <v>0</v>
      </c>
      <c r="M99">
        <f t="shared" si="76"/>
        <v>0</v>
      </c>
      <c r="N99">
        <f t="shared" si="76"/>
        <v>0</v>
      </c>
      <c r="O99">
        <f t="shared" si="76"/>
        <v>0</v>
      </c>
      <c r="P99">
        <f t="shared" si="76"/>
        <v>39</v>
      </c>
      <c r="Q99">
        <f t="shared" si="76"/>
        <v>43</v>
      </c>
      <c r="R99">
        <f t="shared" si="76"/>
        <v>16</v>
      </c>
      <c r="S99">
        <f t="shared" si="76"/>
        <v>236</v>
      </c>
      <c r="T99">
        <f t="shared" si="76"/>
        <v>216</v>
      </c>
      <c r="U99">
        <f t="shared" si="76"/>
        <v>376</v>
      </c>
      <c r="V99">
        <f t="shared" si="76"/>
        <v>0</v>
      </c>
      <c r="W99">
        <f t="shared" si="76"/>
        <v>0</v>
      </c>
      <c r="X99">
        <f t="shared" si="76"/>
        <v>0</v>
      </c>
      <c r="Y99">
        <f t="shared" si="75"/>
        <v>926</v>
      </c>
    </row>
    <row r="100" spans="11:25" x14ac:dyDescent="0.3">
      <c r="K100" s="30" t="s">
        <v>53</v>
      </c>
      <c r="L100" s="30">
        <f>SUM(L97:L99)</f>
        <v>50</v>
      </c>
      <c r="M100" s="30">
        <f t="shared" ref="M100:X100" si="77">SUM(M97:M99)</f>
        <v>155</v>
      </c>
      <c r="N100" s="30">
        <f t="shared" si="77"/>
        <v>40</v>
      </c>
      <c r="O100" s="30">
        <f t="shared" si="77"/>
        <v>213</v>
      </c>
      <c r="P100" s="30">
        <f t="shared" si="77"/>
        <v>117</v>
      </c>
      <c r="Q100" s="30">
        <f t="shared" si="77"/>
        <v>129</v>
      </c>
      <c r="R100" s="30">
        <f t="shared" si="77"/>
        <v>48</v>
      </c>
      <c r="S100" s="30">
        <f t="shared" si="77"/>
        <v>236</v>
      </c>
      <c r="T100" s="30">
        <f t="shared" si="77"/>
        <v>216</v>
      </c>
      <c r="U100" s="30">
        <f t="shared" si="77"/>
        <v>376</v>
      </c>
      <c r="V100" s="30">
        <f t="shared" si="77"/>
        <v>13</v>
      </c>
      <c r="W100" s="30">
        <f t="shared" si="77"/>
        <v>60</v>
      </c>
      <c r="X100" s="30">
        <f t="shared" si="77"/>
        <v>95</v>
      </c>
      <c r="Y100" s="30">
        <f>SUM(Y97:Y99)</f>
        <v>1748</v>
      </c>
    </row>
    <row r="101" spans="11:25" x14ac:dyDescent="0.3">
      <c r="K101" s="1" t="s">
        <v>107</v>
      </c>
      <c r="L101">
        <f>L100-'Y3'!L100</f>
        <v>0</v>
      </c>
      <c r="M101">
        <f>M100-'Y3'!M100</f>
        <v>5</v>
      </c>
      <c r="N101">
        <f>N100-'Y3'!N100</f>
        <v>0</v>
      </c>
      <c r="O101">
        <f>O100-'Y3'!O100</f>
        <v>3</v>
      </c>
      <c r="P101">
        <f>P100-'Y3'!P100</f>
        <v>0</v>
      </c>
      <c r="Q101">
        <f>Q100-'Y3'!Q100</f>
        <v>-3</v>
      </c>
      <c r="R101">
        <f>R100-'Y3'!R100</f>
        <v>0</v>
      </c>
      <c r="S101">
        <f>S100-'Y3'!S100</f>
        <v>8</v>
      </c>
      <c r="T101">
        <f>T100-'Y3'!T100</f>
        <v>4</v>
      </c>
      <c r="U101">
        <f>U100-'Y3'!U100</f>
        <v>4</v>
      </c>
      <c r="V101">
        <f>V100-'Y3'!V100</f>
        <v>0</v>
      </c>
      <c r="W101">
        <f>W100-'Y3'!W100</f>
        <v>1</v>
      </c>
      <c r="X101">
        <f>X100-'Y3'!X100</f>
        <v>1</v>
      </c>
    </row>
    <row r="103" spans="11:25" x14ac:dyDescent="0.3">
      <c r="K103" t="s">
        <v>98</v>
      </c>
      <c r="L103" s="5">
        <f t="shared" ref="L103:R103" si="78">L78*L87/10</f>
        <v>300000</v>
      </c>
      <c r="M103" s="5">
        <f t="shared" si="78"/>
        <v>1240000</v>
      </c>
      <c r="N103" s="5">
        <f t="shared" si="78"/>
        <v>400000</v>
      </c>
      <c r="O103" s="5">
        <f t="shared" si="78"/>
        <v>2550000</v>
      </c>
      <c r="P103" s="5">
        <f t="shared" si="78"/>
        <v>1560000</v>
      </c>
      <c r="Q103" s="5">
        <f t="shared" si="78"/>
        <v>1720000</v>
      </c>
      <c r="R103" s="5">
        <f t="shared" si="78"/>
        <v>640000</v>
      </c>
      <c r="S103" s="5">
        <f>S78*S87/15</f>
        <v>3933333.3333333335</v>
      </c>
      <c r="T103" s="5">
        <f>T78*T87/15</f>
        <v>1800000</v>
      </c>
      <c r="U103" s="5">
        <f>U78*U87/15</f>
        <v>3133333.3333333335</v>
      </c>
      <c r="V103" s="5">
        <f>V78*V87/8</f>
        <v>130000</v>
      </c>
      <c r="W103" s="5">
        <f>W78*W87/8</f>
        <v>750000</v>
      </c>
      <c r="X103" s="5">
        <f>X78*X87/8</f>
        <v>593750</v>
      </c>
      <c r="Y103" s="5"/>
    </row>
    <row r="104" spans="11:25" x14ac:dyDescent="0.3">
      <c r="K104" t="s">
        <v>99</v>
      </c>
      <c r="L104" s="5">
        <f t="shared" ref="L104:X104" si="79">L86*16*5*49*L78</f>
        <v>2352000</v>
      </c>
      <c r="M104" s="5">
        <f t="shared" si="79"/>
        <v>7291200</v>
      </c>
      <c r="N104" s="5">
        <f t="shared" si="79"/>
        <v>1881600</v>
      </c>
      <c r="O104" s="5">
        <f t="shared" si="79"/>
        <v>9996000</v>
      </c>
      <c r="P104" s="5">
        <f t="shared" si="79"/>
        <v>7644000</v>
      </c>
      <c r="Q104" s="5">
        <f t="shared" si="79"/>
        <v>8428000</v>
      </c>
      <c r="R104" s="5">
        <f t="shared" si="79"/>
        <v>3136000</v>
      </c>
      <c r="S104" s="5">
        <f t="shared" si="79"/>
        <v>27753600</v>
      </c>
      <c r="T104" s="5">
        <f t="shared" si="79"/>
        <v>25401600</v>
      </c>
      <c r="U104" s="5">
        <f t="shared" si="79"/>
        <v>44217600</v>
      </c>
      <c r="V104" s="5">
        <f t="shared" si="79"/>
        <v>1019200</v>
      </c>
      <c r="W104" s="5">
        <f t="shared" si="79"/>
        <v>4704000</v>
      </c>
      <c r="X104" s="5">
        <f t="shared" si="79"/>
        <v>7448000</v>
      </c>
      <c r="Y104" s="5"/>
    </row>
    <row r="105" spans="11:25" x14ac:dyDescent="0.3"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8"/>
    </row>
    <row r="107" spans="11:25" x14ac:dyDescent="0.3">
      <c r="K107" s="29" t="s">
        <v>100</v>
      </c>
      <c r="L107" s="36">
        <f>SUM(L103:X103)</f>
        <v>18750416.666666668</v>
      </c>
    </row>
    <row r="108" spans="11:25" x14ac:dyDescent="0.3">
      <c r="K108" s="29" t="s">
        <v>87</v>
      </c>
      <c r="L108" s="36">
        <f>SUM(L104:X104)</f>
        <v>151272800</v>
      </c>
    </row>
    <row r="109" spans="11:25" x14ac:dyDescent="0.3">
      <c r="K109" s="47" t="s">
        <v>86</v>
      </c>
      <c r="L109" s="37">
        <f>882*344*250</f>
        <v>75852000</v>
      </c>
    </row>
    <row r="110" spans="11:25" x14ac:dyDescent="0.3">
      <c r="K110" s="29" t="s">
        <v>88</v>
      </c>
      <c r="L110" s="36">
        <f>SUM(L107:L109)</f>
        <v>245875216.66666666</v>
      </c>
    </row>
  </sheetData>
  <mergeCells count="4">
    <mergeCell ref="AA47:AD47"/>
    <mergeCell ref="AC69:AE69"/>
    <mergeCell ref="AC70:AE70"/>
    <mergeCell ref="AK42:AL42"/>
  </mergeCells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3261-9AB9-46C2-A259-6C1A80A98FEE}">
  <dimension ref="A1:AM110"/>
  <sheetViews>
    <sheetView topLeftCell="G87" zoomScale="55" zoomScaleNormal="55" workbookViewId="0">
      <selection activeCell="AS41" sqref="AS41"/>
    </sheetView>
  </sheetViews>
  <sheetFormatPr defaultRowHeight="16.2" x14ac:dyDescent="0.3"/>
  <cols>
    <col min="11" max="11" width="37" customWidth="1"/>
    <col min="12" max="12" width="15.109375" bestFit="1" customWidth="1"/>
    <col min="13" max="14" width="12.44140625" customWidth="1"/>
    <col min="15" max="15" width="13.33203125" customWidth="1"/>
    <col min="16" max="17" width="13.109375" customWidth="1"/>
    <col min="18" max="18" width="11.88671875" customWidth="1"/>
    <col min="19" max="19" width="13.33203125" customWidth="1"/>
    <col min="20" max="20" width="13.5546875" customWidth="1"/>
    <col min="21" max="21" width="14" customWidth="1"/>
    <col min="22" max="22" width="14.33203125" bestFit="1" customWidth="1"/>
    <col min="23" max="23" width="12.6640625" customWidth="1"/>
    <col min="24" max="24" width="12.33203125" customWidth="1"/>
    <col min="25" max="25" width="13.77734375" customWidth="1"/>
    <col min="26" max="26" width="13.5546875" customWidth="1"/>
    <col min="27" max="27" width="10.6640625" bestFit="1" customWidth="1"/>
    <col min="28" max="30" width="8.88671875" customWidth="1"/>
    <col min="31" max="31" width="8.77734375" customWidth="1"/>
    <col min="32" max="32" width="20.109375" customWidth="1"/>
    <col min="33" max="33" width="8.88671875" customWidth="1"/>
    <col min="34" max="34" width="8.77734375" customWidth="1"/>
    <col min="35" max="35" width="11" customWidth="1"/>
    <col min="36" max="36" width="8.88671875" customWidth="1"/>
    <col min="37" max="37" width="8.77734375" customWidth="1"/>
    <col min="38" max="39" width="8.88671875" customWidth="1"/>
  </cols>
  <sheetData>
    <row r="1" spans="1:39" x14ac:dyDescent="0.3">
      <c r="A1" t="s">
        <v>0</v>
      </c>
      <c r="B1" t="s">
        <v>89</v>
      </c>
      <c r="C1" t="s">
        <v>55</v>
      </c>
      <c r="D1" t="s">
        <v>54</v>
      </c>
      <c r="E1" t="s">
        <v>1</v>
      </c>
      <c r="F1" t="s">
        <v>56</v>
      </c>
      <c r="G1" t="s">
        <v>57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Z1" s="45" t="s">
        <v>72</v>
      </c>
      <c r="AA1" s="45" t="s">
        <v>3</v>
      </c>
      <c r="AB1" s="45" t="s">
        <v>4</v>
      </c>
      <c r="AC1" s="45" t="s">
        <v>5</v>
      </c>
      <c r="AD1" s="45" t="s">
        <v>6</v>
      </c>
      <c r="AE1" s="45" t="s">
        <v>7</v>
      </c>
      <c r="AF1" s="45" t="s">
        <v>8</v>
      </c>
      <c r="AG1" s="45" t="s">
        <v>9</v>
      </c>
      <c r="AH1" s="45" t="s">
        <v>10</v>
      </c>
      <c r="AI1" s="45" t="s">
        <v>11</v>
      </c>
      <c r="AJ1" s="45" t="s">
        <v>12</v>
      </c>
      <c r="AK1" s="45" t="s">
        <v>13</v>
      </c>
      <c r="AL1" s="45" t="s">
        <v>14</v>
      </c>
      <c r="AM1" s="45" t="s">
        <v>15</v>
      </c>
    </row>
    <row r="2" spans="1:39" x14ac:dyDescent="0.3">
      <c r="A2" t="s">
        <v>16</v>
      </c>
      <c r="B2">
        <v>1549600</v>
      </c>
      <c r="C2">
        <v>3474.19055320804</v>
      </c>
      <c r="D2">
        <v>36629.574999999997</v>
      </c>
      <c r="E2">
        <v>12.75</v>
      </c>
      <c r="F2">
        <v>494048.75337159098</v>
      </c>
      <c r="G2">
        <v>529509.16240000003</v>
      </c>
      <c r="K2" s="1" t="s">
        <v>16</v>
      </c>
      <c r="L2">
        <v>1</v>
      </c>
      <c r="M2">
        <v>5</v>
      </c>
      <c r="N2">
        <v>0.5</v>
      </c>
      <c r="O2">
        <v>2.5</v>
      </c>
      <c r="P2">
        <v>0</v>
      </c>
      <c r="Q2">
        <v>0</v>
      </c>
      <c r="R2">
        <v>0</v>
      </c>
      <c r="S2">
        <v>0</v>
      </c>
      <c r="T2">
        <v>1.25</v>
      </c>
      <c r="U2">
        <v>2.5</v>
      </c>
      <c r="V2">
        <v>0</v>
      </c>
      <c r="W2">
        <v>0</v>
      </c>
      <c r="X2">
        <v>0</v>
      </c>
      <c r="Z2" s="45" t="s">
        <v>58</v>
      </c>
      <c r="AA2" s="46">
        <v>0</v>
      </c>
      <c r="AB2" s="46">
        <v>146</v>
      </c>
      <c r="AC2" s="46">
        <v>311</v>
      </c>
      <c r="AD2" s="46">
        <v>0</v>
      </c>
      <c r="AE2" s="46">
        <v>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</row>
    <row r="3" spans="1:39" x14ac:dyDescent="0.3">
      <c r="A3" t="s">
        <v>17</v>
      </c>
      <c r="B3">
        <v>769600</v>
      </c>
      <c r="C3">
        <v>1772.70979012358</v>
      </c>
      <c r="D3">
        <v>18007.5</v>
      </c>
      <c r="E3">
        <v>7.75</v>
      </c>
      <c r="F3">
        <v>150088.03313668401</v>
      </c>
      <c r="G3">
        <v>158229.1667</v>
      </c>
      <c r="K3" s="1" t="s">
        <v>17</v>
      </c>
      <c r="L3">
        <v>1.25</v>
      </c>
      <c r="M3">
        <v>0</v>
      </c>
      <c r="N3">
        <v>0.5</v>
      </c>
      <c r="O3">
        <v>2.5</v>
      </c>
      <c r="P3">
        <v>0</v>
      </c>
      <c r="Q3">
        <v>0</v>
      </c>
      <c r="R3">
        <v>0</v>
      </c>
      <c r="S3">
        <v>1</v>
      </c>
      <c r="T3">
        <v>0</v>
      </c>
      <c r="U3">
        <v>2.5</v>
      </c>
      <c r="V3">
        <v>0</v>
      </c>
      <c r="W3">
        <v>0</v>
      </c>
      <c r="X3">
        <v>0</v>
      </c>
      <c r="Z3" s="45" t="s">
        <v>59</v>
      </c>
      <c r="AA3" s="46">
        <v>146</v>
      </c>
      <c r="AB3" s="46">
        <v>0</v>
      </c>
      <c r="AC3" s="46">
        <v>165</v>
      </c>
      <c r="AD3" s="46">
        <v>357</v>
      </c>
      <c r="AE3" s="46">
        <v>0</v>
      </c>
      <c r="AF3" s="46">
        <v>0</v>
      </c>
      <c r="AG3" s="46">
        <v>0</v>
      </c>
      <c r="AH3" s="46">
        <v>0</v>
      </c>
      <c r="AI3" s="46">
        <v>0</v>
      </c>
      <c r="AJ3" s="46">
        <v>0</v>
      </c>
      <c r="AK3" s="46">
        <v>0</v>
      </c>
      <c r="AL3" s="46">
        <v>0</v>
      </c>
      <c r="AM3" s="46">
        <v>0</v>
      </c>
    </row>
    <row r="4" spans="1:39" x14ac:dyDescent="0.3">
      <c r="A4" t="s">
        <v>18</v>
      </c>
      <c r="B4">
        <v>1398800</v>
      </c>
      <c r="C4">
        <v>2426.29346947149</v>
      </c>
      <c r="D4">
        <v>14423.45</v>
      </c>
      <c r="E4">
        <v>9.5</v>
      </c>
      <c r="F4">
        <v>314922.319267902</v>
      </c>
      <c r="G4">
        <v>155354.6202</v>
      </c>
      <c r="K4" s="1" t="s">
        <v>18</v>
      </c>
      <c r="L4">
        <v>0</v>
      </c>
      <c r="M4">
        <v>1.75</v>
      </c>
      <c r="N4">
        <v>0.75</v>
      </c>
      <c r="O4">
        <v>3</v>
      </c>
      <c r="P4">
        <v>0</v>
      </c>
      <c r="Q4">
        <v>0</v>
      </c>
      <c r="R4">
        <v>0</v>
      </c>
      <c r="S4">
        <v>0</v>
      </c>
      <c r="T4">
        <v>1.5</v>
      </c>
      <c r="U4">
        <v>2.5</v>
      </c>
      <c r="V4">
        <v>0</v>
      </c>
      <c r="W4">
        <v>0</v>
      </c>
      <c r="X4">
        <v>0</v>
      </c>
      <c r="Z4" s="45" t="s">
        <v>60</v>
      </c>
      <c r="AA4" s="46">
        <v>0</v>
      </c>
      <c r="AB4" s="46">
        <v>0</v>
      </c>
      <c r="AC4" s="46">
        <v>0</v>
      </c>
      <c r="AD4" s="46">
        <v>193</v>
      </c>
      <c r="AE4" s="46">
        <v>0</v>
      </c>
      <c r="AF4" s="46">
        <v>0</v>
      </c>
      <c r="AG4" s="46">
        <v>0</v>
      </c>
      <c r="AH4" s="46">
        <v>0</v>
      </c>
      <c r="AI4" s="46">
        <f>236+211</f>
        <v>447</v>
      </c>
      <c r="AJ4" s="46">
        <v>0</v>
      </c>
      <c r="AK4" s="46">
        <v>0</v>
      </c>
      <c r="AL4" s="46">
        <v>0</v>
      </c>
      <c r="AM4" s="46">
        <v>0</v>
      </c>
    </row>
    <row r="5" spans="1:39" x14ac:dyDescent="0.3">
      <c r="A5" t="s">
        <v>19</v>
      </c>
      <c r="B5">
        <v>577200</v>
      </c>
      <c r="C5">
        <v>1723.3687939613999</v>
      </c>
      <c r="D5">
        <v>15992.5</v>
      </c>
      <c r="E5">
        <v>7.5</v>
      </c>
      <c r="F5">
        <v>116543.278802306</v>
      </c>
      <c r="G5">
        <v>135990.64629999999</v>
      </c>
      <c r="K5" s="1" t="s">
        <v>19</v>
      </c>
      <c r="L5">
        <v>1</v>
      </c>
      <c r="M5">
        <v>2</v>
      </c>
      <c r="N5">
        <v>0</v>
      </c>
      <c r="O5">
        <v>3</v>
      </c>
      <c r="P5">
        <v>0</v>
      </c>
      <c r="Q5">
        <v>0</v>
      </c>
      <c r="R5">
        <v>0.25</v>
      </c>
      <c r="S5">
        <v>1.25</v>
      </c>
      <c r="T5">
        <v>0</v>
      </c>
      <c r="U5">
        <v>0</v>
      </c>
      <c r="V5">
        <v>0</v>
      </c>
      <c r="W5">
        <v>0</v>
      </c>
      <c r="X5">
        <v>0</v>
      </c>
      <c r="Z5" s="45" t="s">
        <v>61</v>
      </c>
      <c r="AA5" s="46">
        <v>0</v>
      </c>
      <c r="AB5" s="46">
        <v>0</v>
      </c>
      <c r="AC5" s="46">
        <v>193</v>
      </c>
      <c r="AD5" s="46">
        <v>0</v>
      </c>
      <c r="AE5" s="46">
        <v>0</v>
      </c>
      <c r="AF5" s="46">
        <v>0</v>
      </c>
      <c r="AG5" s="46">
        <v>89</v>
      </c>
      <c r="AH5" s="46">
        <f>209+219</f>
        <v>428</v>
      </c>
      <c r="AI5" s="46">
        <f>428+209</f>
        <v>637</v>
      </c>
      <c r="AJ5" s="46">
        <v>0</v>
      </c>
      <c r="AK5" s="46">
        <v>0</v>
      </c>
      <c r="AL5" s="46">
        <v>0</v>
      </c>
      <c r="AM5" s="46">
        <v>0</v>
      </c>
    </row>
    <row r="6" spans="1:39" x14ac:dyDescent="0.3">
      <c r="A6" t="s">
        <v>20</v>
      </c>
      <c r="B6">
        <v>629200</v>
      </c>
      <c r="C6">
        <v>1506.12084508514</v>
      </c>
      <c r="D6">
        <v>10756.5</v>
      </c>
      <c r="E6">
        <v>7.5</v>
      </c>
      <c r="F6">
        <v>119846.326555921</v>
      </c>
      <c r="G6">
        <v>91466.836729999995</v>
      </c>
      <c r="K6" s="1" t="s">
        <v>20</v>
      </c>
      <c r="L6">
        <v>0</v>
      </c>
      <c r="M6">
        <v>1.5</v>
      </c>
      <c r="N6">
        <v>0.75</v>
      </c>
      <c r="O6">
        <v>3.5</v>
      </c>
      <c r="P6">
        <v>0</v>
      </c>
      <c r="Q6">
        <v>0</v>
      </c>
      <c r="R6">
        <v>0</v>
      </c>
      <c r="S6">
        <v>0</v>
      </c>
      <c r="T6">
        <v>1.75</v>
      </c>
      <c r="U6">
        <v>0</v>
      </c>
      <c r="V6">
        <v>0</v>
      </c>
      <c r="W6">
        <v>0</v>
      </c>
      <c r="X6">
        <v>0</v>
      </c>
      <c r="Z6" s="45" t="s">
        <v>62</v>
      </c>
      <c r="AA6" s="46">
        <v>0</v>
      </c>
      <c r="AB6" s="46">
        <v>0</v>
      </c>
      <c r="AC6" s="46">
        <v>0</v>
      </c>
      <c r="AD6" s="46">
        <v>0</v>
      </c>
      <c r="AE6" s="46">
        <v>0</v>
      </c>
      <c r="AF6" s="46">
        <v>282</v>
      </c>
      <c r="AG6" s="46">
        <v>485</v>
      </c>
      <c r="AH6" s="46">
        <f>633+131</f>
        <v>764</v>
      </c>
      <c r="AI6" s="46">
        <v>0</v>
      </c>
      <c r="AJ6" s="46">
        <v>0</v>
      </c>
      <c r="AK6" s="46">
        <v>0</v>
      </c>
      <c r="AL6" s="46">
        <v>0</v>
      </c>
      <c r="AM6" s="46">
        <v>0</v>
      </c>
    </row>
    <row r="7" spans="1:39" x14ac:dyDescent="0.3">
      <c r="A7" t="s">
        <v>21</v>
      </c>
      <c r="B7">
        <v>650000</v>
      </c>
      <c r="C7">
        <v>756.63729752107702</v>
      </c>
      <c r="D7">
        <v>8596.0249999999996</v>
      </c>
      <c r="E7">
        <v>10.5</v>
      </c>
      <c r="F7">
        <v>151714.16949268401</v>
      </c>
      <c r="G7">
        <v>102333.63099999999</v>
      </c>
      <c r="K7" s="1" t="s">
        <v>21</v>
      </c>
      <c r="L7">
        <v>0.75</v>
      </c>
      <c r="M7">
        <v>1.25</v>
      </c>
      <c r="N7">
        <v>0.5</v>
      </c>
      <c r="O7">
        <v>3</v>
      </c>
      <c r="P7">
        <v>0</v>
      </c>
      <c r="Q7">
        <v>0</v>
      </c>
      <c r="R7">
        <v>0</v>
      </c>
      <c r="S7">
        <v>1</v>
      </c>
      <c r="T7">
        <v>1.25</v>
      </c>
      <c r="U7">
        <v>2.75</v>
      </c>
      <c r="V7">
        <v>0</v>
      </c>
      <c r="W7">
        <v>0</v>
      </c>
      <c r="X7">
        <v>0</v>
      </c>
      <c r="Z7" s="45" t="s">
        <v>63</v>
      </c>
      <c r="AA7" s="46">
        <v>0</v>
      </c>
      <c r="AB7" s="46">
        <v>0</v>
      </c>
      <c r="AC7" s="46">
        <v>89</v>
      </c>
      <c r="AD7" s="46">
        <v>0</v>
      </c>
      <c r="AE7" s="46">
        <v>0</v>
      </c>
      <c r="AF7" s="46">
        <v>0</v>
      </c>
      <c r="AG7" s="46">
        <v>202</v>
      </c>
      <c r="AH7" s="46">
        <v>350</v>
      </c>
      <c r="AI7" s="46">
        <f>287+123</f>
        <v>410</v>
      </c>
      <c r="AJ7" s="46">
        <v>0</v>
      </c>
      <c r="AK7" s="46">
        <v>0</v>
      </c>
      <c r="AL7" s="46">
        <v>0</v>
      </c>
      <c r="AM7" s="46">
        <v>0</v>
      </c>
    </row>
    <row r="8" spans="1:39" x14ac:dyDescent="0.3">
      <c r="A8" t="s">
        <v>22</v>
      </c>
      <c r="B8">
        <v>884000</v>
      </c>
      <c r="C8">
        <v>1292.6329718833499</v>
      </c>
      <c r="D8">
        <v>18835.8</v>
      </c>
      <c r="E8">
        <v>10</v>
      </c>
      <c r="F8">
        <v>203296.01887710599</v>
      </c>
      <c r="G8">
        <v>213557.82310000001</v>
      </c>
      <c r="K8" s="1" t="s">
        <v>22</v>
      </c>
      <c r="L8">
        <v>0</v>
      </c>
      <c r="M8">
        <v>0</v>
      </c>
      <c r="N8">
        <v>0.75</v>
      </c>
      <c r="O8">
        <v>3.5</v>
      </c>
      <c r="P8">
        <v>1</v>
      </c>
      <c r="Q8">
        <v>1.5</v>
      </c>
      <c r="R8">
        <v>0</v>
      </c>
      <c r="S8">
        <v>0</v>
      </c>
      <c r="T8">
        <v>1.25</v>
      </c>
      <c r="U8">
        <v>2</v>
      </c>
      <c r="V8">
        <v>0</v>
      </c>
      <c r="W8">
        <v>0</v>
      </c>
      <c r="X8">
        <v>0</v>
      </c>
      <c r="Z8" s="45" t="s">
        <v>64</v>
      </c>
      <c r="AA8" s="46">
        <v>0</v>
      </c>
      <c r="AB8" s="46">
        <v>0</v>
      </c>
      <c r="AC8" s="46">
        <v>0</v>
      </c>
      <c r="AD8" s="46">
        <v>0</v>
      </c>
      <c r="AE8" s="46">
        <f>489</f>
        <v>489</v>
      </c>
      <c r="AF8" s="46">
        <v>202</v>
      </c>
      <c r="AG8" s="46">
        <v>0</v>
      </c>
      <c r="AH8" s="46">
        <f>148+131</f>
        <v>279</v>
      </c>
      <c r="AI8" s="46">
        <f>489+121</f>
        <v>610</v>
      </c>
      <c r="AJ8" s="46">
        <v>0</v>
      </c>
      <c r="AK8" s="46">
        <v>0</v>
      </c>
      <c r="AL8" s="46">
        <v>0</v>
      </c>
      <c r="AM8" s="46">
        <v>0</v>
      </c>
    </row>
    <row r="9" spans="1:39" x14ac:dyDescent="0.3">
      <c r="A9" t="s">
        <v>23</v>
      </c>
      <c r="B9">
        <v>1279200</v>
      </c>
      <c r="C9">
        <v>2322.95070976549</v>
      </c>
      <c r="D9">
        <v>10472</v>
      </c>
      <c r="E9">
        <v>4.75</v>
      </c>
      <c r="F9">
        <v>145271.74141733901</v>
      </c>
      <c r="G9">
        <v>56396.825400000002</v>
      </c>
      <c r="K9" s="1" t="s">
        <v>23</v>
      </c>
      <c r="L9">
        <v>0</v>
      </c>
      <c r="M9">
        <v>0</v>
      </c>
      <c r="N9">
        <v>0</v>
      </c>
      <c r="O9">
        <v>0</v>
      </c>
      <c r="P9">
        <v>1.25</v>
      </c>
      <c r="Q9">
        <v>0</v>
      </c>
      <c r="R9">
        <v>0</v>
      </c>
      <c r="S9">
        <v>2</v>
      </c>
      <c r="T9">
        <v>1</v>
      </c>
      <c r="U9">
        <v>0.5</v>
      </c>
      <c r="V9">
        <v>0</v>
      </c>
      <c r="W9">
        <v>0</v>
      </c>
      <c r="X9">
        <v>0</v>
      </c>
      <c r="Z9" s="45" t="s">
        <v>65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f>636</f>
        <v>636</v>
      </c>
      <c r="AJ9" s="46">
        <f>317</f>
        <v>317</v>
      </c>
      <c r="AK9" s="46">
        <v>0</v>
      </c>
      <c r="AL9" s="46">
        <v>0</v>
      </c>
      <c r="AM9" s="46">
        <v>0</v>
      </c>
    </row>
    <row r="10" spans="1:39" x14ac:dyDescent="0.3">
      <c r="A10" t="s">
        <v>24</v>
      </c>
      <c r="B10">
        <v>759200</v>
      </c>
      <c r="C10">
        <v>1563.2018423735301</v>
      </c>
      <c r="D10">
        <v>11514</v>
      </c>
      <c r="E10">
        <v>8.5</v>
      </c>
      <c r="F10">
        <v>158325.59946005201</v>
      </c>
      <c r="G10">
        <v>110962.58500000001</v>
      </c>
      <c r="K10" s="1" t="s">
        <v>24</v>
      </c>
      <c r="L10">
        <v>0</v>
      </c>
      <c r="M10">
        <v>0</v>
      </c>
      <c r="N10">
        <v>0</v>
      </c>
      <c r="O10">
        <v>0</v>
      </c>
      <c r="P10">
        <v>1.25</v>
      </c>
      <c r="Q10">
        <v>1.75</v>
      </c>
      <c r="R10">
        <v>1.25</v>
      </c>
      <c r="S10">
        <v>0</v>
      </c>
      <c r="T10">
        <v>1.25</v>
      </c>
      <c r="U10">
        <v>3</v>
      </c>
      <c r="V10">
        <v>0</v>
      </c>
      <c r="W10">
        <v>0</v>
      </c>
      <c r="X10">
        <v>0</v>
      </c>
      <c r="Z10" s="45" t="s">
        <v>66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f>319</f>
        <v>319</v>
      </c>
      <c r="AK10" s="46">
        <v>0</v>
      </c>
      <c r="AL10" s="46">
        <v>0</v>
      </c>
      <c r="AM10" s="46">
        <v>0</v>
      </c>
    </row>
    <row r="11" spans="1:39" x14ac:dyDescent="0.3">
      <c r="A11" t="s">
        <v>25</v>
      </c>
      <c r="B11">
        <v>416000</v>
      </c>
      <c r="C11">
        <v>878.91979156234697</v>
      </c>
      <c r="D11">
        <v>8310.625</v>
      </c>
      <c r="E11">
        <v>6.5</v>
      </c>
      <c r="F11">
        <v>66715.657804739996</v>
      </c>
      <c r="G11">
        <v>61246.102610000002</v>
      </c>
      <c r="K11" s="1" t="s">
        <v>25</v>
      </c>
      <c r="L11">
        <v>0</v>
      </c>
      <c r="M11">
        <v>0</v>
      </c>
      <c r="N11">
        <v>0</v>
      </c>
      <c r="O11">
        <v>0</v>
      </c>
      <c r="P11">
        <v>1.5</v>
      </c>
      <c r="Q11">
        <v>1.75</v>
      </c>
      <c r="R11">
        <v>0</v>
      </c>
      <c r="S11">
        <v>0</v>
      </c>
      <c r="T11">
        <v>1.25</v>
      </c>
      <c r="U11">
        <v>2</v>
      </c>
      <c r="V11">
        <v>0</v>
      </c>
      <c r="W11">
        <v>0</v>
      </c>
      <c r="X11">
        <v>0</v>
      </c>
      <c r="Z11" s="45" t="s">
        <v>67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6">
        <v>0</v>
      </c>
      <c r="AG11" s="46">
        <v>0</v>
      </c>
      <c r="AH11" s="46">
        <v>0</v>
      </c>
      <c r="AI11" s="46">
        <v>319</v>
      </c>
      <c r="AJ11" s="46">
        <v>0</v>
      </c>
      <c r="AK11" s="46">
        <v>0</v>
      </c>
      <c r="AL11" s="46">
        <v>0</v>
      </c>
      <c r="AM11" s="46">
        <v>0</v>
      </c>
    </row>
    <row r="12" spans="1:39" x14ac:dyDescent="0.3">
      <c r="A12" t="s">
        <v>26</v>
      </c>
      <c r="B12">
        <v>1445600</v>
      </c>
      <c r="C12">
        <v>2381.9319889535</v>
      </c>
      <c r="D12">
        <v>17192.05</v>
      </c>
      <c r="E12">
        <v>4</v>
      </c>
      <c r="F12">
        <v>135741.800864827</v>
      </c>
      <c r="G12">
        <v>77968.480729999996</v>
      </c>
      <c r="K12" s="1" t="s">
        <v>26</v>
      </c>
      <c r="L12">
        <v>0</v>
      </c>
      <c r="M12">
        <v>0</v>
      </c>
      <c r="N12">
        <v>0</v>
      </c>
      <c r="O12">
        <v>0</v>
      </c>
      <c r="P12">
        <v>2.5</v>
      </c>
      <c r="Q12">
        <v>0</v>
      </c>
      <c r="R12">
        <v>0.75</v>
      </c>
      <c r="S12">
        <v>0</v>
      </c>
      <c r="T12">
        <v>0.75</v>
      </c>
      <c r="U12">
        <v>0</v>
      </c>
      <c r="V12">
        <v>0</v>
      </c>
      <c r="W12">
        <v>0</v>
      </c>
      <c r="X12">
        <v>0</v>
      </c>
      <c r="Z12" s="45" t="s">
        <v>68</v>
      </c>
      <c r="AA12" s="46">
        <v>0</v>
      </c>
      <c r="AB12" s="46">
        <v>0</v>
      </c>
      <c r="AC12" s="46">
        <v>0</v>
      </c>
      <c r="AD12" s="46">
        <v>0</v>
      </c>
      <c r="AE12" s="46">
        <v>0</v>
      </c>
      <c r="AF12" s="46">
        <v>0</v>
      </c>
      <c r="AG12" s="46">
        <v>0</v>
      </c>
      <c r="AH12" s="46">
        <v>0</v>
      </c>
      <c r="AI12" s="46">
        <v>0</v>
      </c>
      <c r="AJ12" s="46">
        <v>0</v>
      </c>
      <c r="AK12" s="46">
        <v>0</v>
      </c>
      <c r="AL12" s="46">
        <v>85.5</v>
      </c>
      <c r="AM12" s="46">
        <v>95</v>
      </c>
    </row>
    <row r="13" spans="1:39" x14ac:dyDescent="0.3">
      <c r="A13" t="s">
        <v>27</v>
      </c>
      <c r="B13">
        <v>1549600</v>
      </c>
      <c r="C13">
        <v>2150.4418150696301</v>
      </c>
      <c r="D13">
        <v>18578.3</v>
      </c>
      <c r="E13">
        <v>6</v>
      </c>
      <c r="F13">
        <v>212035.026256999</v>
      </c>
      <c r="G13">
        <v>126382.9932</v>
      </c>
      <c r="K13" s="1" t="s">
        <v>27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0.5</v>
      </c>
      <c r="S13">
        <v>0</v>
      </c>
      <c r="T13">
        <v>1.25</v>
      </c>
      <c r="U13">
        <v>2.25</v>
      </c>
      <c r="V13">
        <v>0</v>
      </c>
      <c r="W13">
        <v>0</v>
      </c>
      <c r="X13">
        <v>0</v>
      </c>
      <c r="Z13" s="45" t="s">
        <v>69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  <c r="AI13" s="46">
        <v>0</v>
      </c>
      <c r="AJ13" s="46">
        <v>0</v>
      </c>
      <c r="AK13" s="46">
        <v>85.5</v>
      </c>
      <c r="AL13" s="46">
        <v>0</v>
      </c>
      <c r="AM13" s="46">
        <f>85.5+95</f>
        <v>180.5</v>
      </c>
    </row>
    <row r="14" spans="1:39" x14ac:dyDescent="0.3">
      <c r="A14" t="s">
        <v>28</v>
      </c>
      <c r="B14">
        <v>748800</v>
      </c>
      <c r="C14">
        <v>1203.4949106664301</v>
      </c>
      <c r="D14">
        <v>9289.15</v>
      </c>
      <c r="E14">
        <v>7.5</v>
      </c>
      <c r="F14">
        <v>131249.98093174901</v>
      </c>
      <c r="G14">
        <v>78989.370750000002</v>
      </c>
      <c r="K14" s="1" t="s">
        <v>28</v>
      </c>
      <c r="L14">
        <v>0</v>
      </c>
      <c r="M14">
        <v>0</v>
      </c>
      <c r="N14">
        <v>0</v>
      </c>
      <c r="O14">
        <v>0</v>
      </c>
      <c r="P14">
        <v>1.25</v>
      </c>
      <c r="Q14">
        <v>2.25</v>
      </c>
      <c r="R14">
        <v>0.75</v>
      </c>
      <c r="S14">
        <v>2</v>
      </c>
      <c r="T14">
        <v>1.25</v>
      </c>
      <c r="U14">
        <v>0</v>
      </c>
      <c r="V14">
        <v>0</v>
      </c>
      <c r="W14">
        <v>0</v>
      </c>
      <c r="X14">
        <v>0</v>
      </c>
      <c r="Z14" s="45" t="s">
        <v>70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  <c r="AH14" s="46">
        <v>0</v>
      </c>
      <c r="AI14" s="46">
        <v>0</v>
      </c>
      <c r="AJ14" s="46">
        <v>0</v>
      </c>
      <c r="AK14" s="46">
        <v>0</v>
      </c>
      <c r="AL14" s="46">
        <f>180.5</f>
        <v>180.5</v>
      </c>
      <c r="AM14" s="46">
        <v>0</v>
      </c>
    </row>
    <row r="15" spans="1:39" x14ac:dyDescent="0.3">
      <c r="A15" t="s">
        <v>29</v>
      </c>
      <c r="B15">
        <v>1393600</v>
      </c>
      <c r="C15">
        <v>1959.5917942265401</v>
      </c>
      <c r="D15">
        <v>26167.9</v>
      </c>
      <c r="E15">
        <v>4.75</v>
      </c>
      <c r="F15">
        <v>151275.97634117201</v>
      </c>
      <c r="G15">
        <v>140926.89910000001</v>
      </c>
      <c r="K15" s="1" t="s">
        <v>29</v>
      </c>
      <c r="L15">
        <v>0</v>
      </c>
      <c r="M15">
        <v>0</v>
      </c>
      <c r="N15">
        <v>0</v>
      </c>
      <c r="O15">
        <v>0</v>
      </c>
      <c r="P15">
        <v>1</v>
      </c>
      <c r="Q15">
        <v>1.5</v>
      </c>
      <c r="R15">
        <v>0.5</v>
      </c>
      <c r="S15">
        <v>1.75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39" x14ac:dyDescent="0.3">
      <c r="A16" t="s">
        <v>30</v>
      </c>
      <c r="B16">
        <v>634400</v>
      </c>
      <c r="C16">
        <v>1422.1462653327801</v>
      </c>
      <c r="D16">
        <v>5236</v>
      </c>
      <c r="E16">
        <v>7.5</v>
      </c>
      <c r="F16">
        <v>118974.045181326</v>
      </c>
      <c r="G16">
        <v>44523.809520000003</v>
      </c>
      <c r="K16" s="1" t="s">
        <v>30</v>
      </c>
      <c r="L16">
        <v>0</v>
      </c>
      <c r="M16">
        <v>0</v>
      </c>
      <c r="N16">
        <v>0</v>
      </c>
      <c r="O16">
        <v>0</v>
      </c>
      <c r="P16">
        <v>0.75</v>
      </c>
      <c r="Q16">
        <v>1.25</v>
      </c>
      <c r="R16">
        <v>0.5</v>
      </c>
      <c r="S16">
        <v>2.5</v>
      </c>
      <c r="T16">
        <v>0</v>
      </c>
      <c r="U16">
        <v>2.5</v>
      </c>
      <c r="V16">
        <v>0</v>
      </c>
      <c r="W16">
        <v>0</v>
      </c>
      <c r="X16">
        <v>0</v>
      </c>
    </row>
    <row r="17" spans="1:39" x14ac:dyDescent="0.3">
      <c r="A17" t="s">
        <v>31</v>
      </c>
      <c r="B17">
        <v>712400</v>
      </c>
      <c r="C17">
        <v>2801.7851452243799</v>
      </c>
      <c r="D17">
        <v>20755.5</v>
      </c>
      <c r="E17">
        <v>10</v>
      </c>
      <c r="F17">
        <v>209169.20279316901</v>
      </c>
      <c r="G17">
        <v>235323.1293</v>
      </c>
      <c r="K17" s="1" t="s">
        <v>31</v>
      </c>
      <c r="L17">
        <v>0</v>
      </c>
      <c r="M17">
        <v>0</v>
      </c>
      <c r="N17">
        <v>0</v>
      </c>
      <c r="O17">
        <v>0</v>
      </c>
      <c r="P17">
        <v>0</v>
      </c>
      <c r="Q17">
        <v>1.25</v>
      </c>
      <c r="R17">
        <v>0</v>
      </c>
      <c r="S17">
        <v>5</v>
      </c>
      <c r="T17">
        <v>1.25</v>
      </c>
      <c r="U17">
        <v>2.5</v>
      </c>
      <c r="V17">
        <v>0</v>
      </c>
      <c r="W17">
        <v>0</v>
      </c>
      <c r="X17">
        <v>0</v>
      </c>
      <c r="Z17" s="2" t="s">
        <v>73</v>
      </c>
      <c r="AA17" s="2" t="s">
        <v>3</v>
      </c>
      <c r="AB17" s="2" t="s">
        <v>4</v>
      </c>
      <c r="AC17" s="2" t="s">
        <v>5</v>
      </c>
      <c r="AD17" s="2" t="s">
        <v>6</v>
      </c>
      <c r="AE17" s="2" t="s">
        <v>7</v>
      </c>
      <c r="AF17" s="2" t="s">
        <v>8</v>
      </c>
      <c r="AG17" s="2" t="s">
        <v>9</v>
      </c>
      <c r="AH17" s="2" t="s">
        <v>10</v>
      </c>
      <c r="AI17" s="2" t="s">
        <v>11</v>
      </c>
      <c r="AJ17" s="2" t="s">
        <v>12</v>
      </c>
      <c r="AK17" s="2" t="s">
        <v>13</v>
      </c>
      <c r="AL17" s="2" t="s">
        <v>14</v>
      </c>
      <c r="AM17" s="2" t="s">
        <v>15</v>
      </c>
    </row>
    <row r="18" spans="1:39" x14ac:dyDescent="0.3">
      <c r="A18" t="s">
        <v>32</v>
      </c>
      <c r="B18">
        <v>967200</v>
      </c>
      <c r="C18">
        <v>1271.25921825566</v>
      </c>
      <c r="D18">
        <v>9289.15</v>
      </c>
      <c r="E18">
        <v>7.25</v>
      </c>
      <c r="F18">
        <v>158590.463914224</v>
      </c>
      <c r="G18">
        <v>76356.39172</v>
      </c>
      <c r="K18" s="1" t="s">
        <v>32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0.75</v>
      </c>
      <c r="W18">
        <v>3</v>
      </c>
      <c r="X18">
        <v>3.5</v>
      </c>
      <c r="Z18" s="1" t="s">
        <v>16</v>
      </c>
      <c r="AA18">
        <f>L2*$D$2</f>
        <v>36629.574999999997</v>
      </c>
      <c r="AB18">
        <f t="shared" ref="AB18:AM18" si="0">M2*$D$2</f>
        <v>183147.875</v>
      </c>
      <c r="AC18">
        <f t="shared" si="0"/>
        <v>18314.787499999999</v>
      </c>
      <c r="AD18">
        <f t="shared" si="0"/>
        <v>91573.9375</v>
      </c>
      <c r="AE18">
        <f t="shared" si="0"/>
        <v>0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45786.96875</v>
      </c>
      <c r="AJ18">
        <f t="shared" si="0"/>
        <v>91573.9375</v>
      </c>
      <c r="AK18">
        <f t="shared" si="0"/>
        <v>0</v>
      </c>
      <c r="AL18">
        <f t="shared" si="0"/>
        <v>0</v>
      </c>
      <c r="AM18">
        <f t="shared" si="0"/>
        <v>0</v>
      </c>
    </row>
    <row r="19" spans="1:39" x14ac:dyDescent="0.3">
      <c r="A19" t="s">
        <v>33</v>
      </c>
      <c r="B19">
        <v>1159600</v>
      </c>
      <c r="C19">
        <v>1515.1237573214901</v>
      </c>
      <c r="D19">
        <v>19335.8</v>
      </c>
      <c r="E19">
        <v>6.25</v>
      </c>
      <c r="F19">
        <v>163766.876078823</v>
      </c>
      <c r="G19">
        <v>137016.72339999999</v>
      </c>
      <c r="K19" s="1" t="s">
        <v>33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1.25</v>
      </c>
      <c r="W19">
        <v>1.25</v>
      </c>
      <c r="X19">
        <v>3.75</v>
      </c>
      <c r="Z19" s="1" t="s">
        <v>17</v>
      </c>
      <c r="AA19">
        <f>L3*$D$3</f>
        <v>22509.375</v>
      </c>
      <c r="AB19">
        <f t="shared" ref="AB19:AM19" si="1">M3*$D$3</f>
        <v>0</v>
      </c>
      <c r="AC19">
        <f t="shared" si="1"/>
        <v>9003.75</v>
      </c>
      <c r="AD19">
        <f t="shared" si="1"/>
        <v>45018.75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18007.5</v>
      </c>
      <c r="AI19">
        <f t="shared" si="1"/>
        <v>0</v>
      </c>
      <c r="AJ19">
        <f t="shared" si="1"/>
        <v>45018.75</v>
      </c>
      <c r="AK19">
        <f t="shared" si="1"/>
        <v>0</v>
      </c>
      <c r="AL19">
        <f t="shared" si="1"/>
        <v>0</v>
      </c>
      <c r="AM19">
        <f t="shared" si="1"/>
        <v>0</v>
      </c>
    </row>
    <row r="20" spans="1:39" x14ac:dyDescent="0.3">
      <c r="A20" t="s">
        <v>34</v>
      </c>
      <c r="B20">
        <v>1638000</v>
      </c>
      <c r="C20">
        <v>3488.9110048839002</v>
      </c>
      <c r="D20">
        <v>35936.449999999997</v>
      </c>
      <c r="E20">
        <v>10.5</v>
      </c>
      <c r="F20">
        <v>425111.81164046901</v>
      </c>
      <c r="G20">
        <v>427814.88099999999</v>
      </c>
      <c r="K20" s="1" t="s">
        <v>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4.25</v>
      </c>
      <c r="X20">
        <v>6.25</v>
      </c>
      <c r="Z20" s="1" t="s">
        <v>18</v>
      </c>
      <c r="AA20">
        <f>L4*$D$4</f>
        <v>0</v>
      </c>
      <c r="AB20">
        <f t="shared" ref="AB20:AM20" si="2">M4*$D$4</f>
        <v>25241.037500000002</v>
      </c>
      <c r="AC20">
        <f t="shared" si="2"/>
        <v>10817.587500000001</v>
      </c>
      <c r="AD20">
        <f t="shared" si="2"/>
        <v>43270.350000000006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2"/>
        <v>0</v>
      </c>
      <c r="AI20">
        <f t="shared" si="2"/>
        <v>21635.175000000003</v>
      </c>
      <c r="AJ20">
        <f t="shared" si="2"/>
        <v>36058.625</v>
      </c>
      <c r="AK20">
        <f t="shared" si="2"/>
        <v>0</v>
      </c>
      <c r="AL20">
        <f t="shared" si="2"/>
        <v>0</v>
      </c>
      <c r="AM20">
        <f t="shared" si="2"/>
        <v>0</v>
      </c>
    </row>
    <row r="21" spans="1:39" x14ac:dyDescent="0.3">
      <c r="A21" t="s">
        <v>35</v>
      </c>
      <c r="B21">
        <v>1336400</v>
      </c>
      <c r="C21">
        <v>2657.06605111728</v>
      </c>
      <c r="D21">
        <v>24367.5</v>
      </c>
      <c r="E21">
        <v>5.75</v>
      </c>
      <c r="F21">
        <v>187128.85442661299</v>
      </c>
      <c r="G21">
        <v>158858.4184</v>
      </c>
      <c r="K21" s="1" t="s">
        <v>35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0.75</v>
      </c>
      <c r="W21">
        <v>2</v>
      </c>
      <c r="X21">
        <v>3</v>
      </c>
      <c r="Z21" s="1" t="s">
        <v>19</v>
      </c>
      <c r="AA21">
        <f>L5*$D$5</f>
        <v>15992.5</v>
      </c>
      <c r="AB21">
        <f t="shared" ref="AB21:AM21" si="3">M5*$D$5</f>
        <v>31985</v>
      </c>
      <c r="AC21">
        <f t="shared" si="3"/>
        <v>0</v>
      </c>
      <c r="AD21">
        <f t="shared" si="3"/>
        <v>47977.5</v>
      </c>
      <c r="AE21">
        <f t="shared" si="3"/>
        <v>0</v>
      </c>
      <c r="AF21">
        <f t="shared" si="3"/>
        <v>0</v>
      </c>
      <c r="AG21">
        <f t="shared" si="3"/>
        <v>3998.125</v>
      </c>
      <c r="AH21">
        <f t="shared" si="3"/>
        <v>19990.625</v>
      </c>
      <c r="AI21">
        <f t="shared" si="3"/>
        <v>0</v>
      </c>
      <c r="AJ21">
        <f t="shared" si="3"/>
        <v>0</v>
      </c>
      <c r="AK21">
        <f t="shared" si="3"/>
        <v>0</v>
      </c>
      <c r="AL21">
        <f t="shared" si="3"/>
        <v>0</v>
      </c>
      <c r="AM21">
        <f t="shared" si="3"/>
        <v>0</v>
      </c>
    </row>
    <row r="22" spans="1:39" x14ac:dyDescent="0.3">
      <c r="D22">
        <f>SUM(D2:D21)</f>
        <v>339685.77499999997</v>
      </c>
      <c r="Z22" s="1" t="s">
        <v>20</v>
      </c>
      <c r="AA22">
        <f>L6*$D$6</f>
        <v>0</v>
      </c>
      <c r="AB22">
        <f t="shared" ref="AB22:AM22" si="4">M6*$D$6</f>
        <v>16134.75</v>
      </c>
      <c r="AC22">
        <f t="shared" si="4"/>
        <v>8067.375</v>
      </c>
      <c r="AD22">
        <f t="shared" si="4"/>
        <v>37647.75</v>
      </c>
      <c r="AE22">
        <f t="shared" si="4"/>
        <v>0</v>
      </c>
      <c r="AF22">
        <f t="shared" si="4"/>
        <v>0</v>
      </c>
      <c r="AG22">
        <f t="shared" si="4"/>
        <v>0</v>
      </c>
      <c r="AH22">
        <f t="shared" si="4"/>
        <v>0</v>
      </c>
      <c r="AI22">
        <f t="shared" si="4"/>
        <v>18823.875</v>
      </c>
      <c r="AJ22">
        <f t="shared" si="4"/>
        <v>0</v>
      </c>
      <c r="AK22">
        <f t="shared" si="4"/>
        <v>0</v>
      </c>
      <c r="AL22">
        <f t="shared" si="4"/>
        <v>0</v>
      </c>
      <c r="AM22">
        <f t="shared" si="4"/>
        <v>0</v>
      </c>
    </row>
    <row r="23" spans="1:39" x14ac:dyDescent="0.3">
      <c r="Z23" s="1" t="s">
        <v>21</v>
      </c>
      <c r="AA23">
        <f>L7*$D$7</f>
        <v>6447.0187499999993</v>
      </c>
      <c r="AB23">
        <f t="shared" ref="AB23:AM23" si="5">M7*$D$7</f>
        <v>10745.03125</v>
      </c>
      <c r="AC23">
        <f t="shared" si="5"/>
        <v>4298.0124999999998</v>
      </c>
      <c r="AD23">
        <f t="shared" si="5"/>
        <v>25788.074999999997</v>
      </c>
      <c r="AE23">
        <f t="shared" si="5"/>
        <v>0</v>
      </c>
      <c r="AF23">
        <f t="shared" si="5"/>
        <v>0</v>
      </c>
      <c r="AG23">
        <f t="shared" si="5"/>
        <v>0</v>
      </c>
      <c r="AH23">
        <f t="shared" si="5"/>
        <v>8596.0249999999996</v>
      </c>
      <c r="AI23">
        <f t="shared" si="5"/>
        <v>10745.03125</v>
      </c>
      <c r="AJ23">
        <f t="shared" si="5"/>
        <v>23639.068749999999</v>
      </c>
      <c r="AK23">
        <f t="shared" si="5"/>
        <v>0</v>
      </c>
      <c r="AL23">
        <f t="shared" si="5"/>
        <v>0</v>
      </c>
      <c r="AM23">
        <f t="shared" si="5"/>
        <v>0</v>
      </c>
    </row>
    <row r="24" spans="1:39" x14ac:dyDescent="0.3">
      <c r="K24" s="2" t="s">
        <v>36</v>
      </c>
      <c r="L24" s="2" t="s">
        <v>3</v>
      </c>
      <c r="M24" s="2" t="s">
        <v>4</v>
      </c>
      <c r="N24" s="2" t="s">
        <v>5</v>
      </c>
      <c r="O24" s="2" t="s">
        <v>6</v>
      </c>
      <c r="P24" s="2" t="s">
        <v>7</v>
      </c>
      <c r="Q24" s="2" t="s">
        <v>8</v>
      </c>
      <c r="R24" s="2" t="s">
        <v>9</v>
      </c>
      <c r="S24" s="2" t="s">
        <v>10</v>
      </c>
      <c r="T24" s="2" t="s">
        <v>11</v>
      </c>
      <c r="U24" s="2" t="s">
        <v>12</v>
      </c>
      <c r="V24" s="2" t="s">
        <v>13</v>
      </c>
      <c r="W24" s="2" t="s">
        <v>14</v>
      </c>
      <c r="X24" s="2" t="s">
        <v>15</v>
      </c>
      <c r="Z24" s="1" t="s">
        <v>22</v>
      </c>
      <c r="AA24">
        <f>L8*$D$8</f>
        <v>0</v>
      </c>
      <c r="AB24">
        <f t="shared" ref="AB24:AM24" si="6">M8*$D$8</f>
        <v>0</v>
      </c>
      <c r="AC24">
        <f t="shared" si="6"/>
        <v>14126.849999999999</v>
      </c>
      <c r="AD24">
        <f t="shared" si="6"/>
        <v>65925.3</v>
      </c>
      <c r="AE24">
        <f t="shared" si="6"/>
        <v>18835.8</v>
      </c>
      <c r="AF24">
        <f t="shared" si="6"/>
        <v>28253.699999999997</v>
      </c>
      <c r="AG24">
        <f t="shared" si="6"/>
        <v>0</v>
      </c>
      <c r="AH24">
        <f t="shared" si="6"/>
        <v>0</v>
      </c>
      <c r="AI24">
        <f t="shared" si="6"/>
        <v>23544.75</v>
      </c>
      <c r="AJ24">
        <f t="shared" si="6"/>
        <v>37671.599999999999</v>
      </c>
      <c r="AK24">
        <f t="shared" si="6"/>
        <v>0</v>
      </c>
      <c r="AL24">
        <f t="shared" si="6"/>
        <v>0</v>
      </c>
      <c r="AM24">
        <f t="shared" si="6"/>
        <v>0</v>
      </c>
    </row>
    <row r="25" spans="1:39" x14ac:dyDescent="0.3">
      <c r="K25" s="1" t="s">
        <v>16</v>
      </c>
      <c r="L25">
        <f>L2/$E$2</f>
        <v>7.8431372549019607E-2</v>
      </c>
      <c r="M25">
        <f t="shared" ref="M25:X25" si="7">M2/$E$2</f>
        <v>0.39215686274509803</v>
      </c>
      <c r="N25">
        <f t="shared" si="7"/>
        <v>3.9215686274509803E-2</v>
      </c>
      <c r="O25">
        <f t="shared" si="7"/>
        <v>0.19607843137254902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9.8039215686274508E-2</v>
      </c>
      <c r="U25">
        <f t="shared" si="7"/>
        <v>0.19607843137254902</v>
      </c>
      <c r="V25">
        <f t="shared" si="7"/>
        <v>0</v>
      </c>
      <c r="W25">
        <f t="shared" si="7"/>
        <v>0</v>
      </c>
      <c r="X25">
        <f t="shared" si="7"/>
        <v>0</v>
      </c>
      <c r="Z25" s="1" t="s">
        <v>23</v>
      </c>
      <c r="AA25">
        <f>L9*$D$9</f>
        <v>0</v>
      </c>
      <c r="AB25">
        <f t="shared" ref="AB25:AM25" si="8">M9*$D$9</f>
        <v>0</v>
      </c>
      <c r="AC25">
        <f t="shared" si="8"/>
        <v>0</v>
      </c>
      <c r="AD25">
        <f t="shared" si="8"/>
        <v>0</v>
      </c>
      <c r="AE25">
        <f t="shared" si="8"/>
        <v>13090</v>
      </c>
      <c r="AF25">
        <f t="shared" si="8"/>
        <v>0</v>
      </c>
      <c r="AG25">
        <f t="shared" si="8"/>
        <v>0</v>
      </c>
      <c r="AH25">
        <f t="shared" si="8"/>
        <v>20944</v>
      </c>
      <c r="AI25">
        <f t="shared" si="8"/>
        <v>10472</v>
      </c>
      <c r="AJ25">
        <f t="shared" si="8"/>
        <v>5236</v>
      </c>
      <c r="AK25">
        <f t="shared" si="8"/>
        <v>0</v>
      </c>
      <c r="AL25">
        <f t="shared" si="8"/>
        <v>0</v>
      </c>
      <c r="AM25">
        <f t="shared" si="8"/>
        <v>0</v>
      </c>
    </row>
    <row r="26" spans="1:39" x14ac:dyDescent="0.3">
      <c r="K26" s="1" t="s">
        <v>17</v>
      </c>
      <c r="L26">
        <f>L3/$E$3</f>
        <v>0.16129032258064516</v>
      </c>
      <c r="M26">
        <f t="shared" ref="M26:X26" si="9">M3/$E$3</f>
        <v>0</v>
      </c>
      <c r="N26">
        <f t="shared" si="9"/>
        <v>6.4516129032258063E-2</v>
      </c>
      <c r="O26">
        <f t="shared" si="9"/>
        <v>0.32258064516129031</v>
      </c>
      <c r="P26">
        <f t="shared" si="9"/>
        <v>0</v>
      </c>
      <c r="Q26">
        <f t="shared" si="9"/>
        <v>0</v>
      </c>
      <c r="R26">
        <f t="shared" si="9"/>
        <v>0</v>
      </c>
      <c r="S26">
        <f t="shared" si="9"/>
        <v>0.12903225806451613</v>
      </c>
      <c r="T26">
        <f t="shared" si="9"/>
        <v>0</v>
      </c>
      <c r="U26">
        <f t="shared" si="9"/>
        <v>0.32258064516129031</v>
      </c>
      <c r="V26">
        <f t="shared" si="9"/>
        <v>0</v>
      </c>
      <c r="W26">
        <f t="shared" si="9"/>
        <v>0</v>
      </c>
      <c r="X26">
        <f t="shared" si="9"/>
        <v>0</v>
      </c>
      <c r="Z26" s="1" t="s">
        <v>24</v>
      </c>
      <c r="AA26">
        <f>L10*$D$10</f>
        <v>0</v>
      </c>
      <c r="AB26">
        <f t="shared" ref="AB26:AM26" si="10">M10*$D$10</f>
        <v>0</v>
      </c>
      <c r="AC26">
        <f t="shared" si="10"/>
        <v>0</v>
      </c>
      <c r="AD26">
        <f t="shared" si="10"/>
        <v>0</v>
      </c>
      <c r="AE26">
        <f t="shared" si="10"/>
        <v>14392.5</v>
      </c>
      <c r="AF26">
        <f t="shared" si="10"/>
        <v>20149.5</v>
      </c>
      <c r="AG26">
        <f t="shared" si="10"/>
        <v>14392.5</v>
      </c>
      <c r="AH26">
        <f t="shared" si="10"/>
        <v>0</v>
      </c>
      <c r="AI26">
        <f t="shared" si="10"/>
        <v>14392.5</v>
      </c>
      <c r="AJ26">
        <f t="shared" si="10"/>
        <v>34542</v>
      </c>
      <c r="AK26">
        <f t="shared" si="10"/>
        <v>0</v>
      </c>
      <c r="AL26">
        <f t="shared" si="10"/>
        <v>0</v>
      </c>
      <c r="AM26">
        <f t="shared" si="10"/>
        <v>0</v>
      </c>
    </row>
    <row r="27" spans="1:39" x14ac:dyDescent="0.3">
      <c r="K27" s="1" t="s">
        <v>18</v>
      </c>
      <c r="L27">
        <f>L4/$E$4</f>
        <v>0</v>
      </c>
      <c r="M27">
        <f t="shared" ref="M27:X27" si="11">M4/$E$4</f>
        <v>0.18421052631578946</v>
      </c>
      <c r="N27">
        <f t="shared" si="11"/>
        <v>7.8947368421052627E-2</v>
      </c>
      <c r="O27">
        <f t="shared" si="11"/>
        <v>0.31578947368421051</v>
      </c>
      <c r="P27">
        <f t="shared" si="11"/>
        <v>0</v>
      </c>
      <c r="Q27">
        <f t="shared" si="11"/>
        <v>0</v>
      </c>
      <c r="R27">
        <f t="shared" si="11"/>
        <v>0</v>
      </c>
      <c r="S27">
        <f t="shared" si="11"/>
        <v>0</v>
      </c>
      <c r="T27">
        <f t="shared" si="11"/>
        <v>0.15789473684210525</v>
      </c>
      <c r="U27">
        <f t="shared" si="11"/>
        <v>0.26315789473684209</v>
      </c>
      <c r="V27">
        <f t="shared" si="11"/>
        <v>0</v>
      </c>
      <c r="W27">
        <f t="shared" si="11"/>
        <v>0</v>
      </c>
      <c r="X27">
        <f t="shared" si="11"/>
        <v>0</v>
      </c>
      <c r="Z27" s="1" t="s">
        <v>25</v>
      </c>
      <c r="AA27">
        <f>L11*$D$11</f>
        <v>0</v>
      </c>
      <c r="AB27">
        <f t="shared" ref="AB27:AM27" si="12">M11*$D$11</f>
        <v>0</v>
      </c>
      <c r="AC27">
        <f t="shared" si="12"/>
        <v>0</v>
      </c>
      <c r="AD27">
        <f t="shared" si="12"/>
        <v>0</v>
      </c>
      <c r="AE27">
        <f t="shared" si="12"/>
        <v>12465.9375</v>
      </c>
      <c r="AF27">
        <f t="shared" si="12"/>
        <v>14543.59375</v>
      </c>
      <c r="AG27">
        <f t="shared" si="12"/>
        <v>0</v>
      </c>
      <c r="AH27">
        <f t="shared" si="12"/>
        <v>0</v>
      </c>
      <c r="AI27">
        <f t="shared" si="12"/>
        <v>10388.28125</v>
      </c>
      <c r="AJ27">
        <f t="shared" si="12"/>
        <v>16621.25</v>
      </c>
      <c r="AK27">
        <f t="shared" si="12"/>
        <v>0</v>
      </c>
      <c r="AL27">
        <f t="shared" si="12"/>
        <v>0</v>
      </c>
      <c r="AM27">
        <f t="shared" si="12"/>
        <v>0</v>
      </c>
    </row>
    <row r="28" spans="1:39" x14ac:dyDescent="0.3">
      <c r="K28" s="1" t="s">
        <v>19</v>
      </c>
      <c r="L28">
        <f>L5/$E$5</f>
        <v>0.13333333333333333</v>
      </c>
      <c r="M28">
        <f t="shared" ref="M28:X28" si="13">M5/$E$5</f>
        <v>0.26666666666666666</v>
      </c>
      <c r="N28">
        <f t="shared" si="13"/>
        <v>0</v>
      </c>
      <c r="O28">
        <f t="shared" si="13"/>
        <v>0.4</v>
      </c>
      <c r="P28">
        <f t="shared" si="13"/>
        <v>0</v>
      </c>
      <c r="Q28">
        <f t="shared" si="13"/>
        <v>0</v>
      </c>
      <c r="R28">
        <f t="shared" si="13"/>
        <v>3.3333333333333333E-2</v>
      </c>
      <c r="S28">
        <f t="shared" si="13"/>
        <v>0.16666666666666666</v>
      </c>
      <c r="T28">
        <f t="shared" si="13"/>
        <v>0</v>
      </c>
      <c r="U28">
        <f t="shared" si="13"/>
        <v>0</v>
      </c>
      <c r="V28">
        <f t="shared" si="13"/>
        <v>0</v>
      </c>
      <c r="W28">
        <f t="shared" si="13"/>
        <v>0</v>
      </c>
      <c r="X28">
        <f t="shared" si="13"/>
        <v>0</v>
      </c>
      <c r="Z28" s="1" t="s">
        <v>26</v>
      </c>
      <c r="AA28">
        <f>L12*$D$12</f>
        <v>0</v>
      </c>
      <c r="AB28">
        <f t="shared" ref="AB28:AM28" si="14">M12*$D$12</f>
        <v>0</v>
      </c>
      <c r="AC28">
        <f t="shared" si="14"/>
        <v>0</v>
      </c>
      <c r="AD28">
        <f t="shared" si="14"/>
        <v>0</v>
      </c>
      <c r="AE28">
        <f t="shared" si="14"/>
        <v>42980.125</v>
      </c>
      <c r="AF28">
        <f t="shared" si="14"/>
        <v>0</v>
      </c>
      <c r="AG28">
        <f t="shared" si="14"/>
        <v>12894.037499999999</v>
      </c>
      <c r="AH28">
        <f t="shared" si="14"/>
        <v>0</v>
      </c>
      <c r="AI28">
        <f t="shared" si="14"/>
        <v>12894.037499999999</v>
      </c>
      <c r="AJ28">
        <f t="shared" si="14"/>
        <v>0</v>
      </c>
      <c r="AK28">
        <f t="shared" si="14"/>
        <v>0</v>
      </c>
      <c r="AL28">
        <f t="shared" si="14"/>
        <v>0</v>
      </c>
      <c r="AM28">
        <f t="shared" si="14"/>
        <v>0</v>
      </c>
    </row>
    <row r="29" spans="1:39" x14ac:dyDescent="0.3">
      <c r="K29" s="1" t="s">
        <v>20</v>
      </c>
      <c r="L29">
        <f>L6/$E$6</f>
        <v>0</v>
      </c>
      <c r="M29">
        <f t="shared" ref="M29:X29" si="15">M6/$E$6</f>
        <v>0.2</v>
      </c>
      <c r="N29">
        <f t="shared" si="15"/>
        <v>0.1</v>
      </c>
      <c r="O29">
        <f t="shared" si="15"/>
        <v>0.46666666666666667</v>
      </c>
      <c r="P29">
        <f t="shared" si="15"/>
        <v>0</v>
      </c>
      <c r="Q29">
        <f t="shared" si="15"/>
        <v>0</v>
      </c>
      <c r="R29">
        <f t="shared" si="15"/>
        <v>0</v>
      </c>
      <c r="S29">
        <f t="shared" si="15"/>
        <v>0</v>
      </c>
      <c r="T29">
        <f t="shared" si="15"/>
        <v>0.23333333333333334</v>
      </c>
      <c r="U29">
        <f t="shared" si="15"/>
        <v>0</v>
      </c>
      <c r="V29">
        <f t="shared" si="15"/>
        <v>0</v>
      </c>
      <c r="W29">
        <f t="shared" si="15"/>
        <v>0</v>
      </c>
      <c r="X29">
        <f t="shared" si="15"/>
        <v>0</v>
      </c>
      <c r="Z29" s="1" t="s">
        <v>27</v>
      </c>
      <c r="AA29">
        <f>L13*$D$13</f>
        <v>0</v>
      </c>
      <c r="AB29">
        <f t="shared" ref="AB29:AM29" si="16">M13*$D$13</f>
        <v>0</v>
      </c>
      <c r="AC29">
        <f t="shared" si="16"/>
        <v>0</v>
      </c>
      <c r="AD29">
        <f t="shared" si="16"/>
        <v>0</v>
      </c>
      <c r="AE29">
        <f t="shared" si="16"/>
        <v>18578.3</v>
      </c>
      <c r="AF29">
        <f t="shared" si="16"/>
        <v>18578.3</v>
      </c>
      <c r="AG29">
        <f t="shared" si="16"/>
        <v>9289.15</v>
      </c>
      <c r="AH29">
        <f t="shared" si="16"/>
        <v>0</v>
      </c>
      <c r="AI29">
        <f t="shared" si="16"/>
        <v>23222.875</v>
      </c>
      <c r="AJ29">
        <f t="shared" si="16"/>
        <v>41801.174999999996</v>
      </c>
      <c r="AK29">
        <f t="shared" si="16"/>
        <v>0</v>
      </c>
      <c r="AL29">
        <f t="shared" si="16"/>
        <v>0</v>
      </c>
      <c r="AM29">
        <f t="shared" si="16"/>
        <v>0</v>
      </c>
    </row>
    <row r="30" spans="1:39" x14ac:dyDescent="0.3">
      <c r="K30" s="1" t="s">
        <v>21</v>
      </c>
      <c r="L30">
        <f>L7/$E$7</f>
        <v>7.1428571428571425E-2</v>
      </c>
      <c r="M30">
        <f t="shared" ref="M30:X30" si="17">M7/$E$7</f>
        <v>0.11904761904761904</v>
      </c>
      <c r="N30">
        <f t="shared" si="17"/>
        <v>4.7619047619047616E-2</v>
      </c>
      <c r="O30">
        <f t="shared" si="17"/>
        <v>0.2857142857142857</v>
      </c>
      <c r="P30">
        <f t="shared" si="17"/>
        <v>0</v>
      </c>
      <c r="Q30">
        <f t="shared" si="17"/>
        <v>0</v>
      </c>
      <c r="R30">
        <f t="shared" si="17"/>
        <v>0</v>
      </c>
      <c r="S30">
        <f t="shared" si="17"/>
        <v>9.5238095238095233E-2</v>
      </c>
      <c r="T30">
        <f t="shared" si="17"/>
        <v>0.11904761904761904</v>
      </c>
      <c r="U30">
        <f t="shared" si="17"/>
        <v>0.26190476190476192</v>
      </c>
      <c r="V30">
        <f t="shared" si="17"/>
        <v>0</v>
      </c>
      <c r="W30">
        <f t="shared" si="17"/>
        <v>0</v>
      </c>
      <c r="X30">
        <f t="shared" si="17"/>
        <v>0</v>
      </c>
      <c r="Z30" s="1" t="s">
        <v>28</v>
      </c>
      <c r="AA30">
        <f>L14*$D$14</f>
        <v>0</v>
      </c>
      <c r="AB30">
        <f t="shared" ref="AB30:AM30" si="18">M14*$D$14</f>
        <v>0</v>
      </c>
      <c r="AC30">
        <f t="shared" si="18"/>
        <v>0</v>
      </c>
      <c r="AD30">
        <f t="shared" si="18"/>
        <v>0</v>
      </c>
      <c r="AE30">
        <f t="shared" si="18"/>
        <v>11611.4375</v>
      </c>
      <c r="AF30">
        <f t="shared" si="18"/>
        <v>20900.587499999998</v>
      </c>
      <c r="AG30">
        <f t="shared" si="18"/>
        <v>6966.8624999999993</v>
      </c>
      <c r="AH30">
        <f t="shared" si="18"/>
        <v>18578.3</v>
      </c>
      <c r="AI30">
        <f t="shared" si="18"/>
        <v>11611.4375</v>
      </c>
      <c r="AJ30">
        <f t="shared" si="18"/>
        <v>0</v>
      </c>
      <c r="AK30">
        <f t="shared" si="18"/>
        <v>0</v>
      </c>
      <c r="AL30">
        <f t="shared" si="18"/>
        <v>0</v>
      </c>
      <c r="AM30">
        <f t="shared" si="18"/>
        <v>0</v>
      </c>
    </row>
    <row r="31" spans="1:39" x14ac:dyDescent="0.3">
      <c r="K31" s="1" t="s">
        <v>22</v>
      </c>
      <c r="L31">
        <f>L8/$E$8</f>
        <v>0</v>
      </c>
      <c r="M31">
        <f t="shared" ref="M31:X31" si="19">M8/$E$8</f>
        <v>0</v>
      </c>
      <c r="N31">
        <f t="shared" si="19"/>
        <v>7.4999999999999997E-2</v>
      </c>
      <c r="O31">
        <f t="shared" si="19"/>
        <v>0.35</v>
      </c>
      <c r="P31">
        <f t="shared" si="19"/>
        <v>0.1</v>
      </c>
      <c r="Q31">
        <f t="shared" si="19"/>
        <v>0.15</v>
      </c>
      <c r="R31">
        <f t="shared" si="19"/>
        <v>0</v>
      </c>
      <c r="S31">
        <f t="shared" si="19"/>
        <v>0</v>
      </c>
      <c r="T31">
        <f t="shared" si="19"/>
        <v>0.125</v>
      </c>
      <c r="U31">
        <f t="shared" si="19"/>
        <v>0.2</v>
      </c>
      <c r="V31">
        <f t="shared" si="19"/>
        <v>0</v>
      </c>
      <c r="W31">
        <f t="shared" si="19"/>
        <v>0</v>
      </c>
      <c r="X31">
        <f t="shared" si="19"/>
        <v>0</v>
      </c>
      <c r="Z31" s="1" t="s">
        <v>29</v>
      </c>
      <c r="AA31">
        <f>L15*$D$15</f>
        <v>0</v>
      </c>
      <c r="AB31">
        <f t="shared" ref="AB31:AM31" si="20">M15*$D$15</f>
        <v>0</v>
      </c>
      <c r="AC31">
        <f t="shared" si="20"/>
        <v>0</v>
      </c>
      <c r="AD31">
        <f t="shared" si="20"/>
        <v>0</v>
      </c>
      <c r="AE31">
        <f t="shared" si="20"/>
        <v>26167.9</v>
      </c>
      <c r="AF31">
        <f t="shared" si="20"/>
        <v>39251.850000000006</v>
      </c>
      <c r="AG31">
        <f t="shared" si="20"/>
        <v>13083.95</v>
      </c>
      <c r="AH31">
        <f t="shared" si="20"/>
        <v>45793.825000000004</v>
      </c>
      <c r="AI31">
        <f t="shared" si="20"/>
        <v>0</v>
      </c>
      <c r="AJ31">
        <f t="shared" si="20"/>
        <v>0</v>
      </c>
      <c r="AK31">
        <f t="shared" si="20"/>
        <v>0</v>
      </c>
      <c r="AL31">
        <f t="shared" si="20"/>
        <v>0</v>
      </c>
      <c r="AM31">
        <f t="shared" si="20"/>
        <v>0</v>
      </c>
    </row>
    <row r="32" spans="1:39" x14ac:dyDescent="0.3">
      <c r="K32" s="1" t="s">
        <v>23</v>
      </c>
      <c r="L32">
        <f>L9/$E$9</f>
        <v>0</v>
      </c>
      <c r="M32">
        <f t="shared" ref="M32:X32" si="21">M9/$E$9</f>
        <v>0</v>
      </c>
      <c r="N32">
        <f t="shared" si="21"/>
        <v>0</v>
      </c>
      <c r="O32">
        <f t="shared" si="21"/>
        <v>0</v>
      </c>
      <c r="P32">
        <f t="shared" si="21"/>
        <v>0.26315789473684209</v>
      </c>
      <c r="Q32">
        <f t="shared" si="21"/>
        <v>0</v>
      </c>
      <c r="R32">
        <f t="shared" si="21"/>
        <v>0</v>
      </c>
      <c r="S32">
        <f t="shared" si="21"/>
        <v>0.42105263157894735</v>
      </c>
      <c r="T32">
        <f t="shared" si="21"/>
        <v>0.21052631578947367</v>
      </c>
      <c r="U32">
        <f t="shared" si="21"/>
        <v>0.10526315789473684</v>
      </c>
      <c r="V32">
        <f t="shared" si="21"/>
        <v>0</v>
      </c>
      <c r="W32">
        <f t="shared" si="21"/>
        <v>0</v>
      </c>
      <c r="X32">
        <f t="shared" si="21"/>
        <v>0</v>
      </c>
      <c r="Z32" s="1" t="s">
        <v>30</v>
      </c>
      <c r="AA32">
        <f>L16*$D$16</f>
        <v>0</v>
      </c>
      <c r="AB32">
        <f t="shared" ref="AB32:AM32" si="22">M16*$D$16</f>
        <v>0</v>
      </c>
      <c r="AC32">
        <f t="shared" si="22"/>
        <v>0</v>
      </c>
      <c r="AD32">
        <f t="shared" si="22"/>
        <v>0</v>
      </c>
      <c r="AE32">
        <f t="shared" si="22"/>
        <v>3927</v>
      </c>
      <c r="AF32">
        <f t="shared" si="22"/>
        <v>6545</v>
      </c>
      <c r="AG32">
        <f t="shared" si="22"/>
        <v>2618</v>
      </c>
      <c r="AH32">
        <f t="shared" si="22"/>
        <v>13090</v>
      </c>
      <c r="AI32">
        <f t="shared" si="22"/>
        <v>0</v>
      </c>
      <c r="AJ32">
        <f t="shared" si="22"/>
        <v>13090</v>
      </c>
      <c r="AK32">
        <f t="shared" si="22"/>
        <v>0</v>
      </c>
      <c r="AL32">
        <f t="shared" si="22"/>
        <v>0</v>
      </c>
      <c r="AM32">
        <f t="shared" si="22"/>
        <v>0</v>
      </c>
    </row>
    <row r="33" spans="11:39" x14ac:dyDescent="0.3">
      <c r="K33" s="1" t="s">
        <v>24</v>
      </c>
      <c r="L33">
        <f>L10/$E$10</f>
        <v>0</v>
      </c>
      <c r="M33">
        <f t="shared" ref="M33:X33" si="23">M10/$E$10</f>
        <v>0</v>
      </c>
      <c r="N33">
        <f t="shared" si="23"/>
        <v>0</v>
      </c>
      <c r="O33">
        <f t="shared" si="23"/>
        <v>0</v>
      </c>
      <c r="P33">
        <f t="shared" si="23"/>
        <v>0.14705882352941177</v>
      </c>
      <c r="Q33">
        <f t="shared" si="23"/>
        <v>0.20588235294117646</v>
      </c>
      <c r="R33">
        <f t="shared" si="23"/>
        <v>0.14705882352941177</v>
      </c>
      <c r="S33">
        <f t="shared" si="23"/>
        <v>0</v>
      </c>
      <c r="T33">
        <f t="shared" si="23"/>
        <v>0.14705882352941177</v>
      </c>
      <c r="U33">
        <f t="shared" si="23"/>
        <v>0.35294117647058826</v>
      </c>
      <c r="V33">
        <f t="shared" si="23"/>
        <v>0</v>
      </c>
      <c r="W33">
        <f t="shared" si="23"/>
        <v>0</v>
      </c>
      <c r="X33">
        <f t="shared" si="23"/>
        <v>0</v>
      </c>
      <c r="Z33" s="1" t="s">
        <v>31</v>
      </c>
      <c r="AA33">
        <f>L17*$D$17</f>
        <v>0</v>
      </c>
      <c r="AB33">
        <f t="shared" ref="AB33:AM33" si="24">M17*$D$17</f>
        <v>0</v>
      </c>
      <c r="AC33">
        <f t="shared" si="24"/>
        <v>0</v>
      </c>
      <c r="AD33">
        <f t="shared" si="24"/>
        <v>0</v>
      </c>
      <c r="AE33">
        <f t="shared" si="24"/>
        <v>0</v>
      </c>
      <c r="AF33">
        <f t="shared" si="24"/>
        <v>25944.375</v>
      </c>
      <c r="AG33">
        <f t="shared" si="24"/>
        <v>0</v>
      </c>
      <c r="AH33">
        <f t="shared" si="24"/>
        <v>103777.5</v>
      </c>
      <c r="AI33">
        <f t="shared" si="24"/>
        <v>25944.375</v>
      </c>
      <c r="AJ33">
        <f t="shared" si="24"/>
        <v>51888.75</v>
      </c>
      <c r="AK33">
        <f t="shared" si="24"/>
        <v>0</v>
      </c>
      <c r="AL33">
        <f t="shared" si="24"/>
        <v>0</v>
      </c>
      <c r="AM33">
        <f t="shared" si="24"/>
        <v>0</v>
      </c>
    </row>
    <row r="34" spans="11:39" x14ac:dyDescent="0.3">
      <c r="K34" s="1" t="s">
        <v>25</v>
      </c>
      <c r="L34">
        <f>L11/$E$11</f>
        <v>0</v>
      </c>
      <c r="M34">
        <f t="shared" ref="M34:X34" si="25">M11/$E$11</f>
        <v>0</v>
      </c>
      <c r="N34">
        <f t="shared" si="25"/>
        <v>0</v>
      </c>
      <c r="O34">
        <f t="shared" si="25"/>
        <v>0</v>
      </c>
      <c r="P34">
        <f t="shared" si="25"/>
        <v>0.23076923076923078</v>
      </c>
      <c r="Q34">
        <f t="shared" si="25"/>
        <v>0.26923076923076922</v>
      </c>
      <c r="R34">
        <f t="shared" si="25"/>
        <v>0</v>
      </c>
      <c r="S34">
        <f t="shared" si="25"/>
        <v>0</v>
      </c>
      <c r="T34">
        <f t="shared" si="25"/>
        <v>0.19230769230769232</v>
      </c>
      <c r="U34">
        <f t="shared" si="25"/>
        <v>0.30769230769230771</v>
      </c>
      <c r="V34">
        <f t="shared" si="25"/>
        <v>0</v>
      </c>
      <c r="W34">
        <f t="shared" si="25"/>
        <v>0</v>
      </c>
      <c r="X34">
        <f t="shared" si="25"/>
        <v>0</v>
      </c>
      <c r="Z34" s="1" t="s">
        <v>32</v>
      </c>
      <c r="AA34">
        <f>L18*$D$18</f>
        <v>0</v>
      </c>
      <c r="AB34">
        <f t="shared" ref="AB34:AL34" si="26">M18*$D$18</f>
        <v>0</v>
      </c>
      <c r="AC34">
        <f t="shared" si="26"/>
        <v>0</v>
      </c>
      <c r="AD34">
        <f t="shared" si="26"/>
        <v>0</v>
      </c>
      <c r="AE34">
        <f t="shared" si="26"/>
        <v>0</v>
      </c>
      <c r="AF34">
        <f t="shared" si="26"/>
        <v>0</v>
      </c>
      <c r="AG34">
        <f t="shared" si="26"/>
        <v>0</v>
      </c>
      <c r="AH34">
        <f t="shared" si="26"/>
        <v>0</v>
      </c>
      <c r="AI34">
        <f t="shared" si="26"/>
        <v>0</v>
      </c>
      <c r="AJ34">
        <f t="shared" si="26"/>
        <v>0</v>
      </c>
      <c r="AK34">
        <f t="shared" si="26"/>
        <v>6966.8624999999993</v>
      </c>
      <c r="AL34">
        <f t="shared" si="26"/>
        <v>27867.449999999997</v>
      </c>
      <c r="AM34">
        <f>X18*$D$18</f>
        <v>32512.024999999998</v>
      </c>
    </row>
    <row r="35" spans="11:39" x14ac:dyDescent="0.3">
      <c r="K35" s="1" t="s">
        <v>26</v>
      </c>
      <c r="L35">
        <f>L12/$E$12</f>
        <v>0</v>
      </c>
      <c r="M35">
        <f t="shared" ref="M35:X35" si="27">M12/$E$12</f>
        <v>0</v>
      </c>
      <c r="N35">
        <f t="shared" si="27"/>
        <v>0</v>
      </c>
      <c r="O35">
        <f t="shared" si="27"/>
        <v>0</v>
      </c>
      <c r="P35">
        <f t="shared" si="27"/>
        <v>0.625</v>
      </c>
      <c r="Q35">
        <f t="shared" si="27"/>
        <v>0</v>
      </c>
      <c r="R35">
        <f t="shared" si="27"/>
        <v>0.1875</v>
      </c>
      <c r="S35">
        <f t="shared" si="27"/>
        <v>0</v>
      </c>
      <c r="T35">
        <f t="shared" si="27"/>
        <v>0.1875</v>
      </c>
      <c r="U35">
        <f t="shared" si="27"/>
        <v>0</v>
      </c>
      <c r="V35">
        <f t="shared" si="27"/>
        <v>0</v>
      </c>
      <c r="W35">
        <f t="shared" si="27"/>
        <v>0</v>
      </c>
      <c r="X35">
        <f t="shared" si="27"/>
        <v>0</v>
      </c>
      <c r="Z35" s="1" t="s">
        <v>33</v>
      </c>
      <c r="AA35">
        <f>L19*$D$19</f>
        <v>0</v>
      </c>
      <c r="AB35">
        <f t="shared" ref="AB35:AM35" si="28">M19*$D$19</f>
        <v>0</v>
      </c>
      <c r="AC35">
        <f t="shared" si="28"/>
        <v>0</v>
      </c>
      <c r="AD35">
        <f t="shared" si="28"/>
        <v>0</v>
      </c>
      <c r="AE35">
        <f t="shared" si="28"/>
        <v>0</v>
      </c>
      <c r="AF35">
        <f t="shared" si="28"/>
        <v>0</v>
      </c>
      <c r="AG35">
        <f t="shared" si="28"/>
        <v>0</v>
      </c>
      <c r="AH35">
        <f t="shared" si="28"/>
        <v>0</v>
      </c>
      <c r="AI35">
        <f t="shared" si="28"/>
        <v>0</v>
      </c>
      <c r="AJ35">
        <f t="shared" si="28"/>
        <v>0</v>
      </c>
      <c r="AK35">
        <f t="shared" si="28"/>
        <v>24169.75</v>
      </c>
      <c r="AL35">
        <f t="shared" si="28"/>
        <v>24169.75</v>
      </c>
      <c r="AM35">
        <f t="shared" si="28"/>
        <v>72509.25</v>
      </c>
    </row>
    <row r="36" spans="11:39" x14ac:dyDescent="0.3">
      <c r="K36" s="1" t="s">
        <v>27</v>
      </c>
      <c r="L36">
        <f>L13/$E$13</f>
        <v>0</v>
      </c>
      <c r="M36">
        <f t="shared" ref="M36:X36" si="29">M13/$E$13</f>
        <v>0</v>
      </c>
      <c r="N36">
        <f t="shared" si="29"/>
        <v>0</v>
      </c>
      <c r="O36">
        <f t="shared" si="29"/>
        <v>0</v>
      </c>
      <c r="P36">
        <f t="shared" si="29"/>
        <v>0.16666666666666666</v>
      </c>
      <c r="Q36">
        <f t="shared" si="29"/>
        <v>0.16666666666666666</v>
      </c>
      <c r="R36">
        <f t="shared" si="29"/>
        <v>8.3333333333333329E-2</v>
      </c>
      <c r="S36">
        <f t="shared" si="29"/>
        <v>0</v>
      </c>
      <c r="T36">
        <f t="shared" si="29"/>
        <v>0.20833333333333334</v>
      </c>
      <c r="U36">
        <f t="shared" si="29"/>
        <v>0.375</v>
      </c>
      <c r="V36">
        <f t="shared" si="29"/>
        <v>0</v>
      </c>
      <c r="W36">
        <f t="shared" si="29"/>
        <v>0</v>
      </c>
      <c r="X36">
        <f t="shared" si="29"/>
        <v>0</v>
      </c>
      <c r="Z36" s="1" t="s">
        <v>34</v>
      </c>
      <c r="AA36">
        <f>L20*$D$20</f>
        <v>0</v>
      </c>
      <c r="AB36">
        <f t="shared" ref="AB36:AM36" si="30">M20*$D$20</f>
        <v>0</v>
      </c>
      <c r="AC36">
        <f t="shared" si="30"/>
        <v>0</v>
      </c>
      <c r="AD36">
        <f t="shared" si="30"/>
        <v>0</v>
      </c>
      <c r="AE36">
        <f t="shared" si="30"/>
        <v>0</v>
      </c>
      <c r="AF36">
        <f t="shared" si="30"/>
        <v>0</v>
      </c>
      <c r="AG36">
        <f t="shared" si="30"/>
        <v>0</v>
      </c>
      <c r="AH36">
        <f t="shared" si="30"/>
        <v>0</v>
      </c>
      <c r="AI36">
        <f t="shared" si="30"/>
        <v>0</v>
      </c>
      <c r="AJ36">
        <f t="shared" si="30"/>
        <v>0</v>
      </c>
      <c r="AK36">
        <f t="shared" si="30"/>
        <v>0</v>
      </c>
      <c r="AL36">
        <f t="shared" si="30"/>
        <v>152729.91249999998</v>
      </c>
      <c r="AM36">
        <f t="shared" si="30"/>
        <v>224602.81249999997</v>
      </c>
    </row>
    <row r="37" spans="11:39" x14ac:dyDescent="0.3">
      <c r="K37" s="1" t="s">
        <v>28</v>
      </c>
      <c r="L37">
        <f>L14/$E$14</f>
        <v>0</v>
      </c>
      <c r="M37">
        <f t="shared" ref="M37:X37" si="31">M14/$E$14</f>
        <v>0</v>
      </c>
      <c r="N37">
        <f t="shared" si="31"/>
        <v>0</v>
      </c>
      <c r="O37">
        <f t="shared" si="31"/>
        <v>0</v>
      </c>
      <c r="P37">
        <f t="shared" si="31"/>
        <v>0.16666666666666666</v>
      </c>
      <c r="Q37">
        <f t="shared" si="31"/>
        <v>0.3</v>
      </c>
      <c r="R37">
        <f t="shared" si="31"/>
        <v>0.1</v>
      </c>
      <c r="S37">
        <f t="shared" si="31"/>
        <v>0.26666666666666666</v>
      </c>
      <c r="T37">
        <f t="shared" si="31"/>
        <v>0.16666666666666666</v>
      </c>
      <c r="U37">
        <f t="shared" si="31"/>
        <v>0</v>
      </c>
      <c r="V37">
        <f t="shared" si="31"/>
        <v>0</v>
      </c>
      <c r="W37">
        <f t="shared" si="31"/>
        <v>0</v>
      </c>
      <c r="X37">
        <f t="shared" si="31"/>
        <v>0</v>
      </c>
      <c r="Z37" s="1" t="s">
        <v>35</v>
      </c>
      <c r="AA37">
        <f>L21*$D$21</f>
        <v>0</v>
      </c>
      <c r="AB37">
        <f t="shared" ref="AB37:AM37" si="32">M21*$D$21</f>
        <v>0</v>
      </c>
      <c r="AC37">
        <f t="shared" si="32"/>
        <v>0</v>
      </c>
      <c r="AD37">
        <f t="shared" si="32"/>
        <v>0</v>
      </c>
      <c r="AE37">
        <f t="shared" si="32"/>
        <v>0</v>
      </c>
      <c r="AF37">
        <f t="shared" si="32"/>
        <v>0</v>
      </c>
      <c r="AG37">
        <f t="shared" si="32"/>
        <v>0</v>
      </c>
      <c r="AH37">
        <f t="shared" si="32"/>
        <v>0</v>
      </c>
      <c r="AI37">
        <f t="shared" si="32"/>
        <v>0</v>
      </c>
      <c r="AJ37">
        <f t="shared" si="32"/>
        <v>0</v>
      </c>
      <c r="AK37">
        <f t="shared" si="32"/>
        <v>18275.625</v>
      </c>
      <c r="AL37">
        <f t="shared" si="32"/>
        <v>48735</v>
      </c>
      <c r="AM37">
        <f t="shared" si="32"/>
        <v>73102.5</v>
      </c>
    </row>
    <row r="38" spans="11:39" x14ac:dyDescent="0.3">
      <c r="K38" s="1" t="s">
        <v>29</v>
      </c>
      <c r="L38">
        <f>L15/$E$15</f>
        <v>0</v>
      </c>
      <c r="M38">
        <f t="shared" ref="M38:X38" si="33">M15/$E$15</f>
        <v>0</v>
      </c>
      <c r="N38">
        <f t="shared" si="33"/>
        <v>0</v>
      </c>
      <c r="O38">
        <f t="shared" si="33"/>
        <v>0</v>
      </c>
      <c r="P38">
        <f t="shared" si="33"/>
        <v>0.21052631578947367</v>
      </c>
      <c r="Q38">
        <f t="shared" si="33"/>
        <v>0.31578947368421051</v>
      </c>
      <c r="R38">
        <f t="shared" si="33"/>
        <v>0.10526315789473684</v>
      </c>
      <c r="S38">
        <f t="shared" si="33"/>
        <v>0.36842105263157893</v>
      </c>
      <c r="T38">
        <f t="shared" si="33"/>
        <v>0</v>
      </c>
      <c r="U38">
        <f t="shared" si="33"/>
        <v>0</v>
      </c>
      <c r="V38">
        <f t="shared" si="33"/>
        <v>0</v>
      </c>
      <c r="W38">
        <f t="shared" si="33"/>
        <v>0</v>
      </c>
      <c r="X38">
        <f t="shared" si="33"/>
        <v>0</v>
      </c>
      <c r="Z38" s="1" t="s">
        <v>74</v>
      </c>
      <c r="AA38">
        <f>SUM(AA18:AA37)</f>
        <v>81578.46875</v>
      </c>
      <c r="AB38">
        <f t="shared" ref="AB38:AM38" si="34">SUM(AB18:AB37)</f>
        <v>267253.69374999998</v>
      </c>
      <c r="AC38">
        <f t="shared" si="34"/>
        <v>64628.362499999996</v>
      </c>
      <c r="AD38">
        <f t="shared" si="34"/>
        <v>357201.66249999998</v>
      </c>
      <c r="AE38">
        <f t="shared" si="34"/>
        <v>162049</v>
      </c>
      <c r="AF38">
        <f t="shared" si="34"/>
        <v>174166.90625</v>
      </c>
      <c r="AG38">
        <f t="shared" si="34"/>
        <v>63242.625</v>
      </c>
      <c r="AH38">
        <f t="shared" si="34"/>
        <v>248777.77499999999</v>
      </c>
      <c r="AI38">
        <f t="shared" si="34"/>
        <v>229461.30624999999</v>
      </c>
      <c r="AJ38">
        <f t="shared" si="34"/>
        <v>397141.15625</v>
      </c>
      <c r="AK38">
        <f t="shared" si="34"/>
        <v>49412.237500000003</v>
      </c>
      <c r="AL38">
        <f t="shared" si="34"/>
        <v>253502.11249999999</v>
      </c>
      <c r="AM38">
        <f t="shared" si="34"/>
        <v>402726.58749999997</v>
      </c>
    </row>
    <row r="39" spans="11:39" x14ac:dyDescent="0.3">
      <c r="K39" s="1" t="s">
        <v>30</v>
      </c>
      <c r="L39">
        <f>L16/$E$16</f>
        <v>0</v>
      </c>
      <c r="M39">
        <f t="shared" ref="M39:X39" si="35">M16/$E$16</f>
        <v>0</v>
      </c>
      <c r="N39">
        <f t="shared" si="35"/>
        <v>0</v>
      </c>
      <c r="O39">
        <f t="shared" si="35"/>
        <v>0</v>
      </c>
      <c r="P39">
        <f t="shared" si="35"/>
        <v>0.1</v>
      </c>
      <c r="Q39">
        <f t="shared" si="35"/>
        <v>0.16666666666666666</v>
      </c>
      <c r="R39">
        <f t="shared" si="35"/>
        <v>6.6666666666666666E-2</v>
      </c>
      <c r="S39">
        <f t="shared" si="35"/>
        <v>0.33333333333333331</v>
      </c>
      <c r="T39">
        <f t="shared" si="35"/>
        <v>0</v>
      </c>
      <c r="U39">
        <f t="shared" si="35"/>
        <v>0.33333333333333331</v>
      </c>
      <c r="V39">
        <f t="shared" si="35"/>
        <v>0</v>
      </c>
      <c r="W39">
        <f t="shared" si="35"/>
        <v>0</v>
      </c>
      <c r="X39">
        <f t="shared" si="35"/>
        <v>0</v>
      </c>
      <c r="Z39" s="1" t="s">
        <v>75</v>
      </c>
      <c r="AA39">
        <f>5*16*60*L78</f>
        <v>96000</v>
      </c>
      <c r="AB39">
        <f t="shared" ref="AB39:AM39" si="36">5*16*60*M78</f>
        <v>307200</v>
      </c>
      <c r="AC39">
        <f t="shared" si="36"/>
        <v>76800</v>
      </c>
      <c r="AD39">
        <f t="shared" si="36"/>
        <v>408000</v>
      </c>
      <c r="AE39">
        <f t="shared" si="36"/>
        <v>187200</v>
      </c>
      <c r="AF39">
        <f t="shared" si="36"/>
        <v>201600</v>
      </c>
      <c r="AG39">
        <f t="shared" si="36"/>
        <v>72000</v>
      </c>
      <c r="AH39">
        <f t="shared" si="36"/>
        <v>283200</v>
      </c>
      <c r="AI39">
        <f t="shared" si="36"/>
        <v>264000</v>
      </c>
      <c r="AJ39">
        <f t="shared" si="36"/>
        <v>451200</v>
      </c>
      <c r="AK39">
        <f t="shared" si="36"/>
        <v>57600</v>
      </c>
      <c r="AL39">
        <f t="shared" si="36"/>
        <v>288000</v>
      </c>
      <c r="AM39">
        <f t="shared" si="36"/>
        <v>460800</v>
      </c>
    </row>
    <row r="40" spans="11:39" x14ac:dyDescent="0.3">
      <c r="K40" s="1" t="s">
        <v>31</v>
      </c>
      <c r="L40">
        <f>L17/$E$17</f>
        <v>0</v>
      </c>
      <c r="M40">
        <f t="shared" ref="M40:X40" si="37">M17/$E$17</f>
        <v>0</v>
      </c>
      <c r="N40">
        <f t="shared" si="37"/>
        <v>0</v>
      </c>
      <c r="O40">
        <f t="shared" si="37"/>
        <v>0</v>
      </c>
      <c r="P40">
        <f t="shared" si="37"/>
        <v>0</v>
      </c>
      <c r="Q40">
        <f t="shared" si="37"/>
        <v>0.125</v>
      </c>
      <c r="R40">
        <f t="shared" si="37"/>
        <v>0</v>
      </c>
      <c r="S40">
        <f t="shared" si="37"/>
        <v>0.5</v>
      </c>
      <c r="T40">
        <f t="shared" si="37"/>
        <v>0.125</v>
      </c>
      <c r="U40">
        <f t="shared" si="37"/>
        <v>0.25</v>
      </c>
      <c r="V40">
        <f t="shared" si="37"/>
        <v>0</v>
      </c>
      <c r="W40">
        <f t="shared" si="37"/>
        <v>0</v>
      </c>
      <c r="X40">
        <f t="shared" si="37"/>
        <v>0</v>
      </c>
      <c r="Z40" s="30" t="s">
        <v>76</v>
      </c>
      <c r="AA40" s="32">
        <f>AA38/AA39</f>
        <v>0.84977571614583336</v>
      </c>
      <c r="AB40" s="32">
        <f t="shared" ref="AB40:AM40" si="38">AB38/AB39</f>
        <v>0.86996645100911452</v>
      </c>
      <c r="AC40" s="32">
        <f t="shared" si="38"/>
        <v>0.84151513671874989</v>
      </c>
      <c r="AD40" s="32">
        <f t="shared" si="38"/>
        <v>0.87549427083333331</v>
      </c>
      <c r="AE40" s="32">
        <f t="shared" si="38"/>
        <v>0.86564636752136748</v>
      </c>
      <c r="AF40" s="32">
        <f t="shared" si="38"/>
        <v>0.86392314608134924</v>
      </c>
      <c r="AG40" s="32">
        <f t="shared" si="38"/>
        <v>0.87836979166666662</v>
      </c>
      <c r="AH40" s="32">
        <f t="shared" si="38"/>
        <v>0.87845259533898301</v>
      </c>
      <c r="AI40" s="32">
        <f t="shared" si="38"/>
        <v>0.86917161458333336</v>
      </c>
      <c r="AJ40" s="32">
        <f t="shared" si="38"/>
        <v>0.88018873282358157</v>
      </c>
      <c r="AK40" s="32">
        <f t="shared" si="38"/>
        <v>0.85785134548611119</v>
      </c>
      <c r="AL40" s="32">
        <f t="shared" si="38"/>
        <v>0.88021566840277776</v>
      </c>
      <c r="AM40" s="32">
        <f t="shared" si="38"/>
        <v>0.87397262912326379</v>
      </c>
    </row>
    <row r="41" spans="11:39" x14ac:dyDescent="0.3">
      <c r="K41" s="1" t="s">
        <v>32</v>
      </c>
      <c r="L41">
        <f>L18/$E$18</f>
        <v>0</v>
      </c>
      <c r="M41">
        <f t="shared" ref="M41:X41" si="39">M18/$E$18</f>
        <v>0</v>
      </c>
      <c r="N41">
        <f t="shared" si="39"/>
        <v>0</v>
      </c>
      <c r="O41">
        <f t="shared" si="39"/>
        <v>0</v>
      </c>
      <c r="P41">
        <f t="shared" si="39"/>
        <v>0</v>
      </c>
      <c r="Q41">
        <f t="shared" si="39"/>
        <v>0</v>
      </c>
      <c r="R41">
        <f t="shared" si="39"/>
        <v>0</v>
      </c>
      <c r="S41">
        <f t="shared" si="39"/>
        <v>0</v>
      </c>
      <c r="T41">
        <f t="shared" si="39"/>
        <v>0</v>
      </c>
      <c r="U41">
        <f t="shared" si="39"/>
        <v>0</v>
      </c>
      <c r="V41">
        <f t="shared" si="39"/>
        <v>0.10344827586206896</v>
      </c>
      <c r="W41">
        <f t="shared" si="39"/>
        <v>0.41379310344827586</v>
      </c>
      <c r="X41">
        <f t="shared" si="39"/>
        <v>0.48275862068965519</v>
      </c>
      <c r="Z41" s="1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 spans="11:39" x14ac:dyDescent="0.3">
      <c r="K42" s="1" t="s">
        <v>33</v>
      </c>
      <c r="L42">
        <f>L19/$E$19</f>
        <v>0</v>
      </c>
      <c r="M42">
        <f t="shared" ref="M42:X42" si="40">M19/$E$19</f>
        <v>0</v>
      </c>
      <c r="N42">
        <f t="shared" si="40"/>
        <v>0</v>
      </c>
      <c r="O42">
        <f t="shared" si="40"/>
        <v>0</v>
      </c>
      <c r="P42">
        <f t="shared" si="40"/>
        <v>0</v>
      </c>
      <c r="Q42">
        <f t="shared" si="40"/>
        <v>0</v>
      </c>
      <c r="R42">
        <f t="shared" si="40"/>
        <v>0</v>
      </c>
      <c r="S42">
        <f t="shared" si="40"/>
        <v>0</v>
      </c>
      <c r="T42">
        <f t="shared" si="40"/>
        <v>0</v>
      </c>
      <c r="U42">
        <f t="shared" si="40"/>
        <v>0</v>
      </c>
      <c r="V42">
        <f t="shared" si="40"/>
        <v>0.2</v>
      </c>
      <c r="W42">
        <f t="shared" si="40"/>
        <v>0.2</v>
      </c>
      <c r="X42">
        <f t="shared" si="40"/>
        <v>0.6</v>
      </c>
      <c r="AK42" s="55" t="s">
        <v>94</v>
      </c>
      <c r="AL42" s="55"/>
      <c r="AM42" s="9">
        <f>(SUM(AA38:AM38)/SUM(AA39:AM39))</f>
        <v>0.87238137168632668</v>
      </c>
    </row>
    <row r="43" spans="11:39" x14ac:dyDescent="0.3">
      <c r="K43" s="1" t="s">
        <v>34</v>
      </c>
      <c r="L43">
        <f>L20/$E$20</f>
        <v>0</v>
      </c>
      <c r="M43">
        <f t="shared" ref="M43:X43" si="41">M20/$E$20</f>
        <v>0</v>
      </c>
      <c r="N43">
        <f t="shared" si="41"/>
        <v>0</v>
      </c>
      <c r="O43">
        <f t="shared" si="41"/>
        <v>0</v>
      </c>
      <c r="P43">
        <f t="shared" si="41"/>
        <v>0</v>
      </c>
      <c r="Q43">
        <f t="shared" si="41"/>
        <v>0</v>
      </c>
      <c r="R43">
        <f t="shared" si="41"/>
        <v>0</v>
      </c>
      <c r="S43">
        <f t="shared" si="41"/>
        <v>0</v>
      </c>
      <c r="T43">
        <f t="shared" si="41"/>
        <v>0</v>
      </c>
      <c r="U43">
        <f t="shared" si="41"/>
        <v>0</v>
      </c>
      <c r="V43">
        <f t="shared" si="41"/>
        <v>0</v>
      </c>
      <c r="W43">
        <f t="shared" si="41"/>
        <v>0.40476190476190477</v>
      </c>
      <c r="X43">
        <f t="shared" si="41"/>
        <v>0.59523809523809523</v>
      </c>
      <c r="AK43" s="55"/>
      <c r="AL43" s="55"/>
      <c r="AM43" s="9"/>
    </row>
    <row r="44" spans="11:39" x14ac:dyDescent="0.3">
      <c r="K44" s="1" t="s">
        <v>35</v>
      </c>
      <c r="L44">
        <f>L21/$E$21</f>
        <v>0</v>
      </c>
      <c r="M44">
        <f t="shared" ref="M44:X44" si="42">M21/$E$21</f>
        <v>0</v>
      </c>
      <c r="N44">
        <f t="shared" si="42"/>
        <v>0</v>
      </c>
      <c r="O44">
        <f t="shared" si="42"/>
        <v>0</v>
      </c>
      <c r="P44">
        <f t="shared" si="42"/>
        <v>0</v>
      </c>
      <c r="Q44">
        <f t="shared" si="42"/>
        <v>0</v>
      </c>
      <c r="R44">
        <f t="shared" si="42"/>
        <v>0</v>
      </c>
      <c r="S44">
        <f t="shared" si="42"/>
        <v>0</v>
      </c>
      <c r="T44">
        <f t="shared" si="42"/>
        <v>0</v>
      </c>
      <c r="U44">
        <f t="shared" si="42"/>
        <v>0</v>
      </c>
      <c r="V44">
        <f t="shared" si="42"/>
        <v>0.13043478260869565</v>
      </c>
      <c r="W44">
        <f t="shared" si="42"/>
        <v>0.34782608695652173</v>
      </c>
      <c r="X44">
        <f t="shared" si="42"/>
        <v>0.52173913043478259</v>
      </c>
    </row>
    <row r="47" spans="11:39" x14ac:dyDescent="0.3">
      <c r="K47" s="2" t="s">
        <v>97</v>
      </c>
      <c r="L47" s="2" t="s">
        <v>3</v>
      </c>
      <c r="M47" s="2" t="s">
        <v>4</v>
      </c>
      <c r="N47" s="2" t="s">
        <v>5</v>
      </c>
      <c r="O47" s="2" t="s">
        <v>6</v>
      </c>
      <c r="P47" s="2" t="s">
        <v>7</v>
      </c>
      <c r="Q47" s="2" t="s">
        <v>8</v>
      </c>
      <c r="R47" s="2" t="s">
        <v>9</v>
      </c>
      <c r="S47" s="2" t="s">
        <v>10</v>
      </c>
      <c r="T47" s="2" t="s">
        <v>11</v>
      </c>
      <c r="U47" s="2" t="s">
        <v>12</v>
      </c>
      <c r="V47" s="2" t="s">
        <v>13</v>
      </c>
      <c r="W47" s="2" t="s">
        <v>14</v>
      </c>
      <c r="X47" s="2" t="s">
        <v>15</v>
      </c>
      <c r="Z47" s="13" t="s">
        <v>0</v>
      </c>
      <c r="AA47" s="51" t="s">
        <v>77</v>
      </c>
      <c r="AB47" s="52"/>
      <c r="AC47" s="52"/>
      <c r="AD47" s="53"/>
      <c r="AE47" s="14" t="s">
        <v>78</v>
      </c>
    </row>
    <row r="48" spans="11:39" x14ac:dyDescent="0.3">
      <c r="K48" s="1" t="s">
        <v>16</v>
      </c>
      <c r="L48">
        <f>L25*$G$2</f>
        <v>41530.130384313728</v>
      </c>
      <c r="M48">
        <f t="shared" ref="M48:X48" si="43">M25*$G$2</f>
        <v>207650.65192156864</v>
      </c>
      <c r="N48">
        <f t="shared" si="43"/>
        <v>20765.065192156864</v>
      </c>
      <c r="O48">
        <f t="shared" si="43"/>
        <v>103825.32596078432</v>
      </c>
      <c r="P48">
        <f t="shared" si="43"/>
        <v>0</v>
      </c>
      <c r="Q48">
        <f t="shared" si="43"/>
        <v>0</v>
      </c>
      <c r="R48">
        <f t="shared" si="43"/>
        <v>0</v>
      </c>
      <c r="S48">
        <f t="shared" si="43"/>
        <v>0</v>
      </c>
      <c r="T48">
        <f t="shared" si="43"/>
        <v>51912.662980392161</v>
      </c>
      <c r="U48">
        <f t="shared" si="43"/>
        <v>103825.32596078432</v>
      </c>
      <c r="V48">
        <f t="shared" si="43"/>
        <v>0</v>
      </c>
      <c r="W48">
        <f t="shared" si="43"/>
        <v>0</v>
      </c>
      <c r="X48">
        <f t="shared" si="43"/>
        <v>0</v>
      </c>
      <c r="Z48" s="15" t="s">
        <v>79</v>
      </c>
      <c r="AA48" s="16" t="s">
        <v>80</v>
      </c>
      <c r="AB48" s="17" t="s">
        <v>81</v>
      </c>
      <c r="AC48" s="17" t="s">
        <v>82</v>
      </c>
      <c r="AD48" s="18" t="s">
        <v>83</v>
      </c>
      <c r="AE48" s="15" t="s">
        <v>84</v>
      </c>
    </row>
    <row r="49" spans="11:32" x14ac:dyDescent="0.3">
      <c r="K49" s="1" t="s">
        <v>17</v>
      </c>
      <c r="L49">
        <f>L26*$G$3</f>
        <v>25520.833338709675</v>
      </c>
      <c r="M49">
        <f t="shared" ref="M49:X49" si="44">M26*$G$3</f>
        <v>0</v>
      </c>
      <c r="N49">
        <f t="shared" si="44"/>
        <v>10208.333335483871</v>
      </c>
      <c r="O49">
        <f t="shared" si="44"/>
        <v>51041.666677419351</v>
      </c>
      <c r="P49">
        <f t="shared" si="44"/>
        <v>0</v>
      </c>
      <c r="Q49">
        <f t="shared" si="44"/>
        <v>0</v>
      </c>
      <c r="R49">
        <f t="shared" si="44"/>
        <v>0</v>
      </c>
      <c r="S49">
        <f t="shared" si="44"/>
        <v>20416.666670967741</v>
      </c>
      <c r="T49">
        <f t="shared" si="44"/>
        <v>0</v>
      </c>
      <c r="U49">
        <f t="shared" si="44"/>
        <v>51041.666677419351</v>
      </c>
      <c r="V49">
        <f t="shared" si="44"/>
        <v>0</v>
      </c>
      <c r="W49">
        <f t="shared" si="44"/>
        <v>0</v>
      </c>
      <c r="X49">
        <f t="shared" si="44"/>
        <v>0</v>
      </c>
      <c r="Z49" s="19" t="s">
        <v>16</v>
      </c>
      <c r="AA49" s="20">
        <v>2</v>
      </c>
      <c r="AB49" s="20">
        <v>6</v>
      </c>
      <c r="AC49" s="20">
        <v>6</v>
      </c>
      <c r="AD49" s="21">
        <v>2</v>
      </c>
      <c r="AE49" s="22">
        <v>12</v>
      </c>
      <c r="AF49" s="11">
        <f>AE49*D2</f>
        <v>439554.89999999997</v>
      </c>
    </row>
    <row r="50" spans="11:32" x14ac:dyDescent="0.3">
      <c r="K50" s="1" t="s">
        <v>18</v>
      </c>
      <c r="L50">
        <f>L27*$G$4</f>
        <v>0</v>
      </c>
      <c r="M50">
        <f t="shared" ref="M50:X50" si="45">M27*$G$4</f>
        <v>28617.95635263158</v>
      </c>
      <c r="N50">
        <f t="shared" si="45"/>
        <v>12264.838436842105</v>
      </c>
      <c r="O50">
        <f t="shared" si="45"/>
        <v>49059.353747368419</v>
      </c>
      <c r="P50">
        <f t="shared" si="45"/>
        <v>0</v>
      </c>
      <c r="Q50">
        <f t="shared" si="45"/>
        <v>0</v>
      </c>
      <c r="R50">
        <f t="shared" si="45"/>
        <v>0</v>
      </c>
      <c r="S50">
        <f t="shared" si="45"/>
        <v>0</v>
      </c>
      <c r="T50">
        <f t="shared" si="45"/>
        <v>24529.67687368421</v>
      </c>
      <c r="U50">
        <f t="shared" si="45"/>
        <v>40882.794789473686</v>
      </c>
      <c r="V50">
        <f t="shared" si="45"/>
        <v>0</v>
      </c>
      <c r="W50">
        <f t="shared" si="45"/>
        <v>0</v>
      </c>
      <c r="X50">
        <f t="shared" si="45"/>
        <v>0</v>
      </c>
      <c r="Z50" s="19" t="s">
        <v>17</v>
      </c>
      <c r="AA50" s="20">
        <v>8</v>
      </c>
      <c r="AB50" s="20">
        <v>8</v>
      </c>
      <c r="AC50" s="20">
        <v>4</v>
      </c>
      <c r="AD50" s="21">
        <v>14</v>
      </c>
      <c r="AE50" s="23">
        <v>100</v>
      </c>
      <c r="AF50" s="11">
        <f t="shared" ref="AF50:AF68" si="46">AE50*D3</f>
        <v>1800750</v>
      </c>
    </row>
    <row r="51" spans="11:32" x14ac:dyDescent="0.3">
      <c r="K51" s="1" t="s">
        <v>19</v>
      </c>
      <c r="L51">
        <f>L28*$G$5</f>
        <v>18132.086173333333</v>
      </c>
      <c r="M51">
        <f t="shared" ref="M51:X51" si="47">M28*$G$5</f>
        <v>36264.172346666666</v>
      </c>
      <c r="N51">
        <f t="shared" si="47"/>
        <v>0</v>
      </c>
      <c r="O51">
        <f t="shared" si="47"/>
        <v>54396.258520000003</v>
      </c>
      <c r="P51">
        <f t="shared" si="47"/>
        <v>0</v>
      </c>
      <c r="Q51">
        <f t="shared" si="47"/>
        <v>0</v>
      </c>
      <c r="R51">
        <f t="shared" si="47"/>
        <v>4533.0215433333333</v>
      </c>
      <c r="S51">
        <f t="shared" si="47"/>
        <v>22665.107716666666</v>
      </c>
      <c r="T51">
        <f t="shared" si="47"/>
        <v>0</v>
      </c>
      <c r="U51">
        <f t="shared" si="47"/>
        <v>0</v>
      </c>
      <c r="V51">
        <f t="shared" si="47"/>
        <v>0</v>
      </c>
      <c r="W51">
        <f t="shared" si="47"/>
        <v>0</v>
      </c>
      <c r="X51">
        <f t="shared" si="47"/>
        <v>0</v>
      </c>
      <c r="Z51" s="19" t="s">
        <v>18</v>
      </c>
      <c r="AA51" s="20">
        <v>6</v>
      </c>
      <c r="AB51" s="20">
        <v>6</v>
      </c>
      <c r="AC51" s="20">
        <v>6</v>
      </c>
      <c r="AD51" s="21">
        <v>6</v>
      </c>
      <c r="AE51" s="24">
        <v>50</v>
      </c>
      <c r="AF51" s="11">
        <f t="shared" si="46"/>
        <v>721172.5</v>
      </c>
    </row>
    <row r="52" spans="11:32" x14ac:dyDescent="0.3">
      <c r="K52" s="1" t="s">
        <v>20</v>
      </c>
      <c r="L52">
        <f>L29*$G$6</f>
        <v>0</v>
      </c>
      <c r="M52">
        <f t="shared" ref="M52:X52" si="48">M29*$G$6</f>
        <v>18293.367345999999</v>
      </c>
      <c r="N52">
        <f t="shared" si="48"/>
        <v>9146.6836729999995</v>
      </c>
      <c r="O52">
        <f t="shared" si="48"/>
        <v>42684.523807333331</v>
      </c>
      <c r="P52">
        <f t="shared" si="48"/>
        <v>0</v>
      </c>
      <c r="Q52">
        <f t="shared" si="48"/>
        <v>0</v>
      </c>
      <c r="R52">
        <f t="shared" si="48"/>
        <v>0</v>
      </c>
      <c r="S52">
        <f t="shared" si="48"/>
        <v>0</v>
      </c>
      <c r="T52">
        <f t="shared" si="48"/>
        <v>21342.261903666666</v>
      </c>
      <c r="U52">
        <f t="shared" si="48"/>
        <v>0</v>
      </c>
      <c r="V52">
        <f t="shared" si="48"/>
        <v>0</v>
      </c>
      <c r="W52">
        <f t="shared" si="48"/>
        <v>0</v>
      </c>
      <c r="X52">
        <f t="shared" si="48"/>
        <v>0</v>
      </c>
      <c r="Z52" s="19" t="s">
        <v>19</v>
      </c>
      <c r="AA52" s="20">
        <v>12</v>
      </c>
      <c r="AB52" s="20">
        <v>6</v>
      </c>
      <c r="AC52" s="20">
        <v>4</v>
      </c>
      <c r="AD52" s="21">
        <v>16</v>
      </c>
      <c r="AE52" s="24">
        <v>120</v>
      </c>
      <c r="AF52" s="11">
        <f t="shared" si="46"/>
        <v>1919100</v>
      </c>
    </row>
    <row r="53" spans="11:32" x14ac:dyDescent="0.3">
      <c r="K53" s="1" t="s">
        <v>21</v>
      </c>
      <c r="L53">
        <f>L30*$G$7</f>
        <v>7309.5450714285707</v>
      </c>
      <c r="M53">
        <f t="shared" ref="M53:X53" si="49">M30*$G$7</f>
        <v>12182.575119047619</v>
      </c>
      <c r="N53">
        <f t="shared" si="49"/>
        <v>4873.0300476190469</v>
      </c>
      <c r="O53">
        <f t="shared" si="49"/>
        <v>29238.180285714283</v>
      </c>
      <c r="P53">
        <f t="shared" si="49"/>
        <v>0</v>
      </c>
      <c r="Q53">
        <f t="shared" si="49"/>
        <v>0</v>
      </c>
      <c r="R53">
        <f t="shared" si="49"/>
        <v>0</v>
      </c>
      <c r="S53">
        <f t="shared" si="49"/>
        <v>9746.0600952380937</v>
      </c>
      <c r="T53">
        <f t="shared" si="49"/>
        <v>12182.575119047619</v>
      </c>
      <c r="U53">
        <f t="shared" si="49"/>
        <v>26801.66526190476</v>
      </c>
      <c r="V53">
        <f t="shared" si="49"/>
        <v>0</v>
      </c>
      <c r="W53">
        <f t="shared" si="49"/>
        <v>0</v>
      </c>
      <c r="X53">
        <f t="shared" si="49"/>
        <v>0</v>
      </c>
      <c r="Z53" s="19" t="s">
        <v>20</v>
      </c>
      <c r="AA53" s="20">
        <v>8</v>
      </c>
      <c r="AB53" s="20">
        <v>4</v>
      </c>
      <c r="AC53" s="20">
        <v>6</v>
      </c>
      <c r="AD53" s="21">
        <v>5</v>
      </c>
      <c r="AE53" s="24">
        <v>50</v>
      </c>
      <c r="AF53" s="11">
        <f t="shared" si="46"/>
        <v>537825</v>
      </c>
    </row>
    <row r="54" spans="11:32" x14ac:dyDescent="0.3">
      <c r="K54" s="1" t="s">
        <v>22</v>
      </c>
      <c r="L54">
        <f>L31*$G$8</f>
        <v>0</v>
      </c>
      <c r="M54">
        <f t="shared" ref="M54:X54" si="50">M31*$G$8</f>
        <v>0</v>
      </c>
      <c r="N54">
        <f t="shared" si="50"/>
        <v>16016.8367325</v>
      </c>
      <c r="O54">
        <f t="shared" si="50"/>
        <v>74745.238085000005</v>
      </c>
      <c r="P54">
        <f t="shared" si="50"/>
        <v>21355.782310000002</v>
      </c>
      <c r="Q54">
        <f t="shared" si="50"/>
        <v>32033.673465</v>
      </c>
      <c r="R54">
        <f t="shared" si="50"/>
        <v>0</v>
      </c>
      <c r="S54">
        <f t="shared" si="50"/>
        <v>0</v>
      </c>
      <c r="T54">
        <f t="shared" si="50"/>
        <v>26694.727887500001</v>
      </c>
      <c r="U54">
        <f t="shared" si="50"/>
        <v>42711.564620000005</v>
      </c>
      <c r="V54">
        <f t="shared" si="50"/>
        <v>0</v>
      </c>
      <c r="W54">
        <f t="shared" si="50"/>
        <v>0</v>
      </c>
      <c r="X54">
        <f t="shared" si="50"/>
        <v>0</v>
      </c>
      <c r="Z54" s="19" t="s">
        <v>21</v>
      </c>
      <c r="AA54" s="20">
        <v>2</v>
      </c>
      <c r="AB54" s="20">
        <v>8</v>
      </c>
      <c r="AC54" s="20">
        <v>6</v>
      </c>
      <c r="AD54" s="21">
        <v>3</v>
      </c>
      <c r="AE54" s="24">
        <v>15</v>
      </c>
      <c r="AF54" s="11">
        <f t="shared" si="46"/>
        <v>128940.375</v>
      </c>
    </row>
    <row r="55" spans="11:32" x14ac:dyDescent="0.3">
      <c r="K55" s="1" t="s">
        <v>23</v>
      </c>
      <c r="L55">
        <f>L32*$G$9</f>
        <v>0</v>
      </c>
      <c r="M55">
        <f t="shared" ref="M55:X55" si="51">M32*$G$9</f>
        <v>0</v>
      </c>
      <c r="N55">
        <f t="shared" si="51"/>
        <v>0</v>
      </c>
      <c r="O55">
        <f t="shared" si="51"/>
        <v>0</v>
      </c>
      <c r="P55">
        <f t="shared" si="51"/>
        <v>14841.269842105263</v>
      </c>
      <c r="Q55">
        <f t="shared" si="51"/>
        <v>0</v>
      </c>
      <c r="R55">
        <f t="shared" si="51"/>
        <v>0</v>
      </c>
      <c r="S55">
        <f t="shared" si="51"/>
        <v>23746.031747368419</v>
      </c>
      <c r="T55">
        <f t="shared" si="51"/>
        <v>11873.01587368421</v>
      </c>
      <c r="U55">
        <f t="shared" si="51"/>
        <v>5936.5079368421048</v>
      </c>
      <c r="V55">
        <f t="shared" si="51"/>
        <v>0</v>
      </c>
      <c r="W55">
        <f t="shared" si="51"/>
        <v>0</v>
      </c>
      <c r="X55">
        <f t="shared" si="51"/>
        <v>0</v>
      </c>
      <c r="Z55" s="19" t="s">
        <v>22</v>
      </c>
      <c r="AA55" s="20">
        <v>2</v>
      </c>
      <c r="AB55" s="20">
        <v>2</v>
      </c>
      <c r="AC55" s="20">
        <v>12</v>
      </c>
      <c r="AD55" s="21">
        <v>1</v>
      </c>
      <c r="AE55" s="24">
        <v>25</v>
      </c>
      <c r="AF55" s="11">
        <f t="shared" si="46"/>
        <v>470895</v>
      </c>
    </row>
    <row r="56" spans="11:32" x14ac:dyDescent="0.3">
      <c r="K56" s="1" t="s">
        <v>24</v>
      </c>
      <c r="L56">
        <f>L33*$G$10</f>
        <v>0</v>
      </c>
      <c r="M56">
        <f t="shared" ref="M56:X56" si="52">M33*$G$10</f>
        <v>0</v>
      </c>
      <c r="N56">
        <f t="shared" si="52"/>
        <v>0</v>
      </c>
      <c r="O56">
        <f t="shared" si="52"/>
        <v>0</v>
      </c>
      <c r="P56">
        <f t="shared" si="52"/>
        <v>16318.027205882354</v>
      </c>
      <c r="Q56">
        <f t="shared" si="52"/>
        <v>22845.238088235295</v>
      </c>
      <c r="R56">
        <f t="shared" si="52"/>
        <v>16318.027205882354</v>
      </c>
      <c r="S56">
        <f t="shared" si="52"/>
        <v>0</v>
      </c>
      <c r="T56">
        <f t="shared" si="52"/>
        <v>16318.027205882354</v>
      </c>
      <c r="U56">
        <f t="shared" si="52"/>
        <v>39163.265294117649</v>
      </c>
      <c r="V56">
        <f t="shared" si="52"/>
        <v>0</v>
      </c>
      <c r="W56">
        <f t="shared" si="52"/>
        <v>0</v>
      </c>
      <c r="X56">
        <f t="shared" si="52"/>
        <v>0</v>
      </c>
      <c r="Z56" s="19" t="s">
        <v>23</v>
      </c>
      <c r="AA56" s="20">
        <v>4</v>
      </c>
      <c r="AB56" s="20">
        <v>4</v>
      </c>
      <c r="AC56" s="20">
        <v>4</v>
      </c>
      <c r="AD56" s="21">
        <v>1</v>
      </c>
      <c r="AE56" s="24">
        <v>20</v>
      </c>
      <c r="AF56" s="11">
        <f t="shared" si="46"/>
        <v>209440</v>
      </c>
    </row>
    <row r="57" spans="11:32" x14ac:dyDescent="0.3">
      <c r="K57" s="1" t="s">
        <v>25</v>
      </c>
      <c r="L57">
        <f>L34*$G$11</f>
        <v>0</v>
      </c>
      <c r="M57">
        <f t="shared" ref="M57:X57" si="53">M34*$G$11</f>
        <v>0</v>
      </c>
      <c r="N57">
        <f t="shared" si="53"/>
        <v>0</v>
      </c>
      <c r="O57">
        <f t="shared" si="53"/>
        <v>0</v>
      </c>
      <c r="P57">
        <f t="shared" si="53"/>
        <v>14133.715986923078</v>
      </c>
      <c r="Q57">
        <f t="shared" si="53"/>
        <v>16489.335318076923</v>
      </c>
      <c r="R57">
        <f t="shared" si="53"/>
        <v>0</v>
      </c>
      <c r="S57">
        <f t="shared" si="53"/>
        <v>0</v>
      </c>
      <c r="T57">
        <f t="shared" si="53"/>
        <v>11778.096655769232</v>
      </c>
      <c r="U57">
        <f t="shared" si="53"/>
        <v>18844.954649230771</v>
      </c>
      <c r="V57">
        <f t="shared" si="53"/>
        <v>0</v>
      </c>
      <c r="W57">
        <f t="shared" si="53"/>
        <v>0</v>
      </c>
      <c r="X57">
        <f t="shared" si="53"/>
        <v>0</v>
      </c>
      <c r="Z57" s="19" t="s">
        <v>24</v>
      </c>
      <c r="AA57" s="20">
        <v>2</v>
      </c>
      <c r="AB57" s="20">
        <v>4</v>
      </c>
      <c r="AC57" s="20">
        <v>12</v>
      </c>
      <c r="AD57" s="21">
        <v>2</v>
      </c>
      <c r="AE57" s="24">
        <v>40</v>
      </c>
      <c r="AF57" s="11">
        <f t="shared" si="46"/>
        <v>460560</v>
      </c>
    </row>
    <row r="58" spans="11:32" x14ac:dyDescent="0.3">
      <c r="K58" s="1" t="s">
        <v>26</v>
      </c>
      <c r="L58">
        <f>L35*$G$12</f>
        <v>0</v>
      </c>
      <c r="M58">
        <f t="shared" ref="M58:X58" si="54">M35*$G$12</f>
        <v>0</v>
      </c>
      <c r="N58">
        <f t="shared" si="54"/>
        <v>0</v>
      </c>
      <c r="O58">
        <f t="shared" si="54"/>
        <v>0</v>
      </c>
      <c r="P58">
        <f t="shared" si="54"/>
        <v>48730.300456249999</v>
      </c>
      <c r="Q58">
        <f t="shared" si="54"/>
        <v>0</v>
      </c>
      <c r="R58">
        <f t="shared" si="54"/>
        <v>14619.090136874998</v>
      </c>
      <c r="S58">
        <f t="shared" si="54"/>
        <v>0</v>
      </c>
      <c r="T58">
        <f t="shared" si="54"/>
        <v>14619.090136874998</v>
      </c>
      <c r="U58">
        <f t="shared" si="54"/>
        <v>0</v>
      </c>
      <c r="V58">
        <f t="shared" si="54"/>
        <v>0</v>
      </c>
      <c r="W58">
        <f t="shared" si="54"/>
        <v>0</v>
      </c>
      <c r="X58">
        <f t="shared" si="54"/>
        <v>0</v>
      </c>
      <c r="Z58" s="19" t="s">
        <v>25</v>
      </c>
      <c r="AA58" s="20">
        <v>4</v>
      </c>
      <c r="AB58" s="20">
        <v>4</v>
      </c>
      <c r="AC58" s="20">
        <v>4</v>
      </c>
      <c r="AD58" s="21">
        <v>1</v>
      </c>
      <c r="AE58" s="24">
        <v>20</v>
      </c>
      <c r="AF58" s="11">
        <f t="shared" si="46"/>
        <v>166212.5</v>
      </c>
    </row>
    <row r="59" spans="11:32" x14ac:dyDescent="0.3">
      <c r="K59" s="1" t="s">
        <v>27</v>
      </c>
      <c r="L59">
        <f>L36*$G$13</f>
        <v>0</v>
      </c>
      <c r="M59">
        <f t="shared" ref="M59:X59" si="55">M36*$G$13</f>
        <v>0</v>
      </c>
      <c r="N59">
        <f t="shared" si="55"/>
        <v>0</v>
      </c>
      <c r="O59">
        <f t="shared" si="55"/>
        <v>0</v>
      </c>
      <c r="P59">
        <f t="shared" si="55"/>
        <v>21063.832199999997</v>
      </c>
      <c r="Q59">
        <f t="shared" si="55"/>
        <v>21063.832199999997</v>
      </c>
      <c r="R59">
        <f t="shared" si="55"/>
        <v>10531.916099999999</v>
      </c>
      <c r="S59">
        <f t="shared" si="55"/>
        <v>0</v>
      </c>
      <c r="T59">
        <f t="shared" si="55"/>
        <v>26329.790250000002</v>
      </c>
      <c r="U59">
        <f t="shared" si="55"/>
        <v>47393.622449999995</v>
      </c>
      <c r="V59">
        <f t="shared" si="55"/>
        <v>0</v>
      </c>
      <c r="W59">
        <f t="shared" si="55"/>
        <v>0</v>
      </c>
      <c r="X59">
        <f t="shared" si="55"/>
        <v>0</v>
      </c>
      <c r="Z59" s="19" t="s">
        <v>26</v>
      </c>
      <c r="AA59" s="20">
        <v>4</v>
      </c>
      <c r="AB59" s="20">
        <v>6</v>
      </c>
      <c r="AC59" s="20">
        <v>4</v>
      </c>
      <c r="AD59" s="21">
        <v>2</v>
      </c>
      <c r="AE59" s="24">
        <v>30</v>
      </c>
      <c r="AF59" s="11">
        <f t="shared" si="46"/>
        <v>515761.5</v>
      </c>
    </row>
    <row r="60" spans="11:32" x14ac:dyDescent="0.3">
      <c r="K60" s="1" t="s">
        <v>28</v>
      </c>
      <c r="L60">
        <f>L37*$G$14</f>
        <v>0</v>
      </c>
      <c r="M60">
        <f t="shared" ref="M60:X60" si="56">M37*$G$14</f>
        <v>0</v>
      </c>
      <c r="N60">
        <f t="shared" si="56"/>
        <v>0</v>
      </c>
      <c r="O60">
        <f t="shared" si="56"/>
        <v>0</v>
      </c>
      <c r="P60">
        <f t="shared" si="56"/>
        <v>13164.895124999999</v>
      </c>
      <c r="Q60">
        <f t="shared" si="56"/>
        <v>23696.811225000001</v>
      </c>
      <c r="R60">
        <f t="shared" si="56"/>
        <v>7898.9370750000007</v>
      </c>
      <c r="S60">
        <f t="shared" si="56"/>
        <v>21063.832200000001</v>
      </c>
      <c r="T60">
        <f t="shared" si="56"/>
        <v>13164.895124999999</v>
      </c>
      <c r="U60">
        <f t="shared" si="56"/>
        <v>0</v>
      </c>
      <c r="V60">
        <f t="shared" si="56"/>
        <v>0</v>
      </c>
      <c r="W60">
        <f t="shared" si="56"/>
        <v>0</v>
      </c>
      <c r="X60">
        <f t="shared" si="56"/>
        <v>0</v>
      </c>
      <c r="Z60" s="19" t="s">
        <v>27</v>
      </c>
      <c r="AA60" s="20">
        <v>6</v>
      </c>
      <c r="AB60" s="20">
        <v>6</v>
      </c>
      <c r="AC60" s="20">
        <v>4</v>
      </c>
      <c r="AD60" s="21">
        <v>2</v>
      </c>
      <c r="AE60" s="24">
        <v>30</v>
      </c>
      <c r="AF60" s="11">
        <f t="shared" si="46"/>
        <v>557349</v>
      </c>
    </row>
    <row r="61" spans="11:32" x14ac:dyDescent="0.3">
      <c r="K61" s="1" t="s">
        <v>29</v>
      </c>
      <c r="L61">
        <f>L38*$G$15</f>
        <v>0</v>
      </c>
      <c r="M61">
        <f t="shared" ref="M61:X61" si="57">M38*$G$15</f>
        <v>0</v>
      </c>
      <c r="N61">
        <f t="shared" si="57"/>
        <v>0</v>
      </c>
      <c r="O61">
        <f t="shared" si="57"/>
        <v>0</v>
      </c>
      <c r="P61">
        <f t="shared" si="57"/>
        <v>29668.820863157896</v>
      </c>
      <c r="Q61">
        <f t="shared" si="57"/>
        <v>44503.231294736841</v>
      </c>
      <c r="R61">
        <f t="shared" si="57"/>
        <v>14834.410431578948</v>
      </c>
      <c r="S61">
        <f t="shared" si="57"/>
        <v>51920.436510526313</v>
      </c>
      <c r="T61">
        <f t="shared" si="57"/>
        <v>0</v>
      </c>
      <c r="U61">
        <f t="shared" si="57"/>
        <v>0</v>
      </c>
      <c r="V61">
        <f t="shared" si="57"/>
        <v>0</v>
      </c>
      <c r="W61">
        <f t="shared" si="57"/>
        <v>0</v>
      </c>
      <c r="X61">
        <f t="shared" si="57"/>
        <v>0</v>
      </c>
      <c r="Z61" s="19" t="s">
        <v>28</v>
      </c>
      <c r="AA61" s="20">
        <v>2</v>
      </c>
      <c r="AB61" s="20">
        <v>2</v>
      </c>
      <c r="AC61" s="20">
        <v>12</v>
      </c>
      <c r="AD61" s="21">
        <v>1</v>
      </c>
      <c r="AE61" s="24">
        <v>25</v>
      </c>
      <c r="AF61" s="11">
        <f t="shared" si="46"/>
        <v>232228.75</v>
      </c>
    </row>
    <row r="62" spans="11:32" x14ac:dyDescent="0.3">
      <c r="K62" s="1" t="s">
        <v>30</v>
      </c>
      <c r="L62">
        <f>L39*$G$16</f>
        <v>0</v>
      </c>
      <c r="M62">
        <f t="shared" ref="M62:X62" si="58">M39*$G$16</f>
        <v>0</v>
      </c>
      <c r="N62">
        <f t="shared" si="58"/>
        <v>0</v>
      </c>
      <c r="O62">
        <f t="shared" si="58"/>
        <v>0</v>
      </c>
      <c r="P62">
        <f t="shared" si="58"/>
        <v>4452.3809520000004</v>
      </c>
      <c r="Q62">
        <f t="shared" si="58"/>
        <v>7420.6349200000004</v>
      </c>
      <c r="R62">
        <f t="shared" si="58"/>
        <v>2968.253968</v>
      </c>
      <c r="S62">
        <f t="shared" si="58"/>
        <v>14841.269840000001</v>
      </c>
      <c r="T62">
        <f t="shared" si="58"/>
        <v>0</v>
      </c>
      <c r="U62">
        <f t="shared" si="58"/>
        <v>14841.269840000001</v>
      </c>
      <c r="V62">
        <f t="shared" si="58"/>
        <v>0</v>
      </c>
      <c r="W62">
        <f t="shared" si="58"/>
        <v>0</v>
      </c>
      <c r="X62">
        <f t="shared" si="58"/>
        <v>0</v>
      </c>
      <c r="Z62" s="19" t="s">
        <v>29</v>
      </c>
      <c r="AA62" s="20">
        <v>2</v>
      </c>
      <c r="AB62" s="20">
        <v>4</v>
      </c>
      <c r="AC62" s="20">
        <v>6</v>
      </c>
      <c r="AD62" s="21">
        <v>1</v>
      </c>
      <c r="AE62" s="24">
        <v>20</v>
      </c>
      <c r="AF62" s="11">
        <f t="shared" si="46"/>
        <v>523358</v>
      </c>
    </row>
    <row r="63" spans="11:32" x14ac:dyDescent="0.3">
      <c r="K63" s="1" t="s">
        <v>31</v>
      </c>
      <c r="L63">
        <f>L40*$G$17</f>
        <v>0</v>
      </c>
      <c r="M63">
        <f t="shared" ref="M63:X63" si="59">M40*$G$17</f>
        <v>0</v>
      </c>
      <c r="N63">
        <f t="shared" si="59"/>
        <v>0</v>
      </c>
      <c r="O63">
        <f t="shared" si="59"/>
        <v>0</v>
      </c>
      <c r="P63">
        <f t="shared" si="59"/>
        <v>0</v>
      </c>
      <c r="Q63">
        <f t="shared" si="59"/>
        <v>29415.3911625</v>
      </c>
      <c r="R63">
        <f t="shared" si="59"/>
        <v>0</v>
      </c>
      <c r="S63">
        <f t="shared" si="59"/>
        <v>117661.56465</v>
      </c>
      <c r="T63">
        <f t="shared" si="59"/>
        <v>29415.3911625</v>
      </c>
      <c r="U63">
        <f t="shared" si="59"/>
        <v>58830.782325</v>
      </c>
      <c r="V63">
        <f t="shared" si="59"/>
        <v>0</v>
      </c>
      <c r="W63">
        <f t="shared" si="59"/>
        <v>0</v>
      </c>
      <c r="X63">
        <f t="shared" si="59"/>
        <v>0</v>
      </c>
      <c r="Z63" s="19" t="s">
        <v>30</v>
      </c>
      <c r="AA63" s="20">
        <v>4</v>
      </c>
      <c r="AB63" s="20">
        <v>6</v>
      </c>
      <c r="AC63" s="20">
        <v>4</v>
      </c>
      <c r="AD63" s="21">
        <v>2</v>
      </c>
      <c r="AE63" s="24">
        <v>25</v>
      </c>
      <c r="AF63" s="11">
        <f t="shared" si="46"/>
        <v>130900</v>
      </c>
    </row>
    <row r="64" spans="11:32" x14ac:dyDescent="0.3">
      <c r="K64" s="1" t="s">
        <v>32</v>
      </c>
      <c r="L64">
        <f>L41*$G$18</f>
        <v>0</v>
      </c>
      <c r="M64">
        <f t="shared" ref="M64:X64" si="60">M41*$G$18</f>
        <v>0</v>
      </c>
      <c r="N64">
        <f t="shared" si="60"/>
        <v>0</v>
      </c>
      <c r="O64">
        <f t="shared" si="60"/>
        <v>0</v>
      </c>
      <c r="P64">
        <f t="shared" si="60"/>
        <v>0</v>
      </c>
      <c r="Q64">
        <f t="shared" si="60"/>
        <v>0</v>
      </c>
      <c r="R64">
        <f t="shared" si="60"/>
        <v>0</v>
      </c>
      <c r="S64">
        <f t="shared" si="60"/>
        <v>0</v>
      </c>
      <c r="T64">
        <f t="shared" si="60"/>
        <v>0</v>
      </c>
      <c r="U64">
        <f t="shared" si="60"/>
        <v>0</v>
      </c>
      <c r="V64">
        <f t="shared" si="60"/>
        <v>7898.9370744827584</v>
      </c>
      <c r="W64">
        <f t="shared" si="60"/>
        <v>31595.748297931033</v>
      </c>
      <c r="X64">
        <f t="shared" si="60"/>
        <v>36861.706347586209</v>
      </c>
      <c r="Z64" s="19" t="s">
        <v>31</v>
      </c>
      <c r="AA64" s="20">
        <v>4</v>
      </c>
      <c r="AB64" s="20">
        <v>4</v>
      </c>
      <c r="AC64" s="20">
        <v>4</v>
      </c>
      <c r="AD64" s="21">
        <v>1</v>
      </c>
      <c r="AE64" s="24">
        <v>20</v>
      </c>
      <c r="AF64" s="11">
        <f t="shared" si="46"/>
        <v>415110</v>
      </c>
    </row>
    <row r="65" spans="11:32" x14ac:dyDescent="0.3">
      <c r="K65" s="1" t="s">
        <v>33</v>
      </c>
      <c r="L65">
        <f>L42*$G$19</f>
        <v>0</v>
      </c>
      <c r="M65">
        <f t="shared" ref="M65:X65" si="61">M42*$G$19</f>
        <v>0</v>
      </c>
      <c r="N65">
        <f t="shared" si="61"/>
        <v>0</v>
      </c>
      <c r="O65">
        <f t="shared" si="61"/>
        <v>0</v>
      </c>
      <c r="P65">
        <f t="shared" si="61"/>
        <v>0</v>
      </c>
      <c r="Q65">
        <f t="shared" si="61"/>
        <v>0</v>
      </c>
      <c r="R65">
        <f t="shared" si="61"/>
        <v>0</v>
      </c>
      <c r="S65">
        <f t="shared" si="61"/>
        <v>0</v>
      </c>
      <c r="T65">
        <f t="shared" si="61"/>
        <v>0</v>
      </c>
      <c r="U65">
        <f t="shared" si="61"/>
        <v>0</v>
      </c>
      <c r="V65">
        <f t="shared" si="61"/>
        <v>27403.344679999998</v>
      </c>
      <c r="W65">
        <f t="shared" si="61"/>
        <v>27403.344679999998</v>
      </c>
      <c r="X65">
        <f t="shared" si="61"/>
        <v>82210.034039999984</v>
      </c>
      <c r="Z65" s="19" t="s">
        <v>32</v>
      </c>
      <c r="AA65" s="20">
        <v>12</v>
      </c>
      <c r="AB65" s="20">
        <v>2</v>
      </c>
      <c r="AC65" s="20">
        <v>2</v>
      </c>
      <c r="AD65" s="21">
        <v>4</v>
      </c>
      <c r="AE65" s="24">
        <v>80</v>
      </c>
      <c r="AF65" s="11">
        <f t="shared" si="46"/>
        <v>743132</v>
      </c>
    </row>
    <row r="66" spans="11:32" x14ac:dyDescent="0.3">
      <c r="K66" s="1" t="s">
        <v>34</v>
      </c>
      <c r="L66">
        <f>L43*$G$20</f>
        <v>0</v>
      </c>
      <c r="M66">
        <f t="shared" ref="M66:X66" si="62">M43*$G$20</f>
        <v>0</v>
      </c>
      <c r="N66">
        <f t="shared" si="62"/>
        <v>0</v>
      </c>
      <c r="O66">
        <f t="shared" si="62"/>
        <v>0</v>
      </c>
      <c r="P66">
        <f t="shared" si="62"/>
        <v>0</v>
      </c>
      <c r="Q66">
        <f t="shared" si="62"/>
        <v>0</v>
      </c>
      <c r="R66">
        <f t="shared" si="62"/>
        <v>0</v>
      </c>
      <c r="S66">
        <f t="shared" si="62"/>
        <v>0</v>
      </c>
      <c r="T66">
        <f t="shared" si="62"/>
        <v>0</v>
      </c>
      <c r="U66">
        <f t="shared" si="62"/>
        <v>0</v>
      </c>
      <c r="V66">
        <f t="shared" si="62"/>
        <v>0</v>
      </c>
      <c r="W66">
        <f t="shared" si="62"/>
        <v>173163.16611904762</v>
      </c>
      <c r="X66">
        <f t="shared" si="62"/>
        <v>254651.71488095238</v>
      </c>
      <c r="Z66" s="19" t="s">
        <v>33</v>
      </c>
      <c r="AA66" s="20">
        <v>12</v>
      </c>
      <c r="AB66" s="20">
        <v>2</v>
      </c>
      <c r="AC66" s="20">
        <v>2</v>
      </c>
      <c r="AD66" s="21">
        <v>4</v>
      </c>
      <c r="AE66" s="24">
        <v>80</v>
      </c>
      <c r="AF66" s="11">
        <f t="shared" si="46"/>
        <v>1546864</v>
      </c>
    </row>
    <row r="67" spans="11:32" x14ac:dyDescent="0.3">
      <c r="K67" s="1" t="s">
        <v>35</v>
      </c>
      <c r="L67">
        <f>L44*$G$21</f>
        <v>0</v>
      </c>
      <c r="M67">
        <f t="shared" ref="M67:X67" si="63">M44*$G$21</f>
        <v>0</v>
      </c>
      <c r="N67">
        <f t="shared" si="63"/>
        <v>0</v>
      </c>
      <c r="O67">
        <f t="shared" si="63"/>
        <v>0</v>
      </c>
      <c r="P67">
        <f t="shared" si="63"/>
        <v>0</v>
      </c>
      <c r="Q67">
        <f t="shared" si="63"/>
        <v>0</v>
      </c>
      <c r="R67">
        <f t="shared" si="63"/>
        <v>0</v>
      </c>
      <c r="S67">
        <f t="shared" si="63"/>
        <v>0</v>
      </c>
      <c r="T67">
        <f t="shared" si="63"/>
        <v>0</v>
      </c>
      <c r="U67">
        <f t="shared" si="63"/>
        <v>0</v>
      </c>
      <c r="V67">
        <f t="shared" si="63"/>
        <v>20720.663269565215</v>
      </c>
      <c r="W67">
        <f t="shared" si="63"/>
        <v>55255.102052173912</v>
      </c>
      <c r="X67">
        <f t="shared" si="63"/>
        <v>82882.653078260861</v>
      </c>
      <c r="Z67" s="19" t="s">
        <v>34</v>
      </c>
      <c r="AA67" s="20">
        <v>12</v>
      </c>
      <c r="AB67" s="20">
        <v>2</v>
      </c>
      <c r="AC67" s="20">
        <v>2</v>
      </c>
      <c r="AD67" s="21">
        <v>4</v>
      </c>
      <c r="AE67" s="24">
        <v>80</v>
      </c>
      <c r="AF67" s="11">
        <f t="shared" si="46"/>
        <v>2874916</v>
      </c>
    </row>
    <row r="68" spans="11:32" x14ac:dyDescent="0.3">
      <c r="Z68" s="15" t="s">
        <v>35</v>
      </c>
      <c r="AA68" s="25">
        <v>12</v>
      </c>
      <c r="AB68" s="25">
        <v>2</v>
      </c>
      <c r="AC68" s="25">
        <v>2</v>
      </c>
      <c r="AD68" s="26">
        <v>4</v>
      </c>
      <c r="AE68" s="27">
        <v>80</v>
      </c>
      <c r="AF68" s="11">
        <f t="shared" si="46"/>
        <v>1949400</v>
      </c>
    </row>
    <row r="69" spans="11:32" x14ac:dyDescent="0.3">
      <c r="K69" s="2" t="s">
        <v>37</v>
      </c>
      <c r="L69">
        <f>SUM(L48:L67)</f>
        <v>92492.594967785306</v>
      </c>
      <c r="M69">
        <f t="shared" ref="M69:X69" si="64">SUM(M48:M67)</f>
        <v>303008.72308591451</v>
      </c>
      <c r="N69">
        <f t="shared" si="64"/>
        <v>73274.787417601881</v>
      </c>
      <c r="O69">
        <f t="shared" si="64"/>
        <v>404990.54708361969</v>
      </c>
      <c r="P69">
        <f t="shared" si="64"/>
        <v>183729.02494131861</v>
      </c>
      <c r="Q69">
        <f t="shared" si="64"/>
        <v>197468.14767354904</v>
      </c>
      <c r="R69">
        <f t="shared" si="64"/>
        <v>71703.656460669648</v>
      </c>
      <c r="S69">
        <f t="shared" si="64"/>
        <v>282060.96943076723</v>
      </c>
      <c r="T69">
        <f t="shared" si="64"/>
        <v>260160.21117400145</v>
      </c>
      <c r="U69">
        <f t="shared" si="64"/>
        <v>450273.41980477259</v>
      </c>
      <c r="V69">
        <f t="shared" si="64"/>
        <v>56022.945024047971</v>
      </c>
      <c r="W69">
        <f t="shared" si="64"/>
        <v>287417.36114915257</v>
      </c>
      <c r="X69">
        <f t="shared" si="64"/>
        <v>456606.10834679939</v>
      </c>
      <c r="AC69" s="54" t="s">
        <v>85</v>
      </c>
      <c r="AD69" s="54"/>
      <c r="AE69" s="54"/>
      <c r="AF69" s="10">
        <f>SUM(AF49:AF68)</f>
        <v>16343469.525</v>
      </c>
    </row>
    <row r="70" spans="11:32" x14ac:dyDescent="0.3">
      <c r="K70" t="s">
        <v>38</v>
      </c>
      <c r="L70">
        <f>8*60*5</f>
        <v>2400</v>
      </c>
      <c r="M70">
        <f t="shared" ref="M70:X70" si="65">8*60*5</f>
        <v>2400</v>
      </c>
      <c r="N70">
        <f t="shared" si="65"/>
        <v>2400</v>
      </c>
      <c r="O70">
        <f t="shared" si="65"/>
        <v>2400</v>
      </c>
      <c r="P70">
        <f t="shared" si="65"/>
        <v>2400</v>
      </c>
      <c r="Q70">
        <f t="shared" si="65"/>
        <v>2400</v>
      </c>
      <c r="R70">
        <f t="shared" si="65"/>
        <v>2400</v>
      </c>
      <c r="S70">
        <f t="shared" si="65"/>
        <v>2400</v>
      </c>
      <c r="T70">
        <f t="shared" si="65"/>
        <v>2400</v>
      </c>
      <c r="U70">
        <f t="shared" si="65"/>
        <v>2400</v>
      </c>
      <c r="V70">
        <f t="shared" si="65"/>
        <v>2400</v>
      </c>
      <c r="W70">
        <f t="shared" si="65"/>
        <v>2400</v>
      </c>
      <c r="X70">
        <f t="shared" si="65"/>
        <v>2400</v>
      </c>
      <c r="AC70" s="54" t="s">
        <v>93</v>
      </c>
      <c r="AD70" s="54"/>
      <c r="AE70" s="54"/>
      <c r="AF70" s="10">
        <f>AF69*49</f>
        <v>800830006.72500002</v>
      </c>
    </row>
    <row r="71" spans="11:32" x14ac:dyDescent="0.3">
      <c r="K71" t="s">
        <v>39</v>
      </c>
      <c r="L71">
        <f>16*5*60</f>
        <v>4800</v>
      </c>
      <c r="M71">
        <f t="shared" ref="M71:X71" si="66">16*5*60</f>
        <v>4800</v>
      </c>
      <c r="N71">
        <f t="shared" si="66"/>
        <v>4800</v>
      </c>
      <c r="O71">
        <f t="shared" si="66"/>
        <v>4800</v>
      </c>
      <c r="P71">
        <f t="shared" si="66"/>
        <v>4800</v>
      </c>
      <c r="Q71">
        <f t="shared" si="66"/>
        <v>4800</v>
      </c>
      <c r="R71">
        <f t="shared" si="66"/>
        <v>4800</v>
      </c>
      <c r="S71">
        <f t="shared" si="66"/>
        <v>4800</v>
      </c>
      <c r="T71">
        <f t="shared" si="66"/>
        <v>4800</v>
      </c>
      <c r="U71">
        <f t="shared" si="66"/>
        <v>4800</v>
      </c>
      <c r="V71">
        <f t="shared" si="66"/>
        <v>4800</v>
      </c>
      <c r="W71">
        <f t="shared" si="66"/>
        <v>4800</v>
      </c>
      <c r="X71">
        <f t="shared" si="66"/>
        <v>4800</v>
      </c>
    </row>
    <row r="73" spans="11:32" x14ac:dyDescent="0.3">
      <c r="K73" t="s">
        <v>40</v>
      </c>
      <c r="L73">
        <f>L69/L70</f>
        <v>38.538581236577208</v>
      </c>
      <c r="M73">
        <f t="shared" ref="M73:X73" si="67">M69/M70</f>
        <v>126.25363461913105</v>
      </c>
      <c r="N73">
        <f t="shared" si="67"/>
        <v>30.531161424000786</v>
      </c>
      <c r="O73">
        <f t="shared" si="67"/>
        <v>168.74606128484155</v>
      </c>
      <c r="P73">
        <f t="shared" si="67"/>
        <v>76.553760392216091</v>
      </c>
      <c r="Q73">
        <f t="shared" si="67"/>
        <v>82.278394863978761</v>
      </c>
      <c r="R73">
        <f t="shared" si="67"/>
        <v>29.876523525279019</v>
      </c>
      <c r="S73">
        <f t="shared" si="67"/>
        <v>117.52540392948634</v>
      </c>
      <c r="T73">
        <f t="shared" si="67"/>
        <v>108.40008798916728</v>
      </c>
      <c r="U73">
        <f t="shared" si="67"/>
        <v>187.61392491865524</v>
      </c>
      <c r="V73">
        <f t="shared" si="67"/>
        <v>23.342893760019987</v>
      </c>
      <c r="W73">
        <f t="shared" si="67"/>
        <v>119.75723381214691</v>
      </c>
      <c r="X73">
        <f t="shared" si="67"/>
        <v>190.25254514449975</v>
      </c>
    </row>
    <row r="74" spans="11:32" x14ac:dyDescent="0.3">
      <c r="K74" t="s">
        <v>41</v>
      </c>
      <c r="L74">
        <f>L69/L71</f>
        <v>19.269290618288604</v>
      </c>
      <c r="M74">
        <f t="shared" ref="M74:X74" si="68">M69/M71</f>
        <v>63.126817309565524</v>
      </c>
      <c r="N74">
        <f t="shared" si="68"/>
        <v>15.265580712000393</v>
      </c>
      <c r="O74">
        <f t="shared" si="68"/>
        <v>84.373030642420773</v>
      </c>
      <c r="P74">
        <f t="shared" si="68"/>
        <v>38.276880196108046</v>
      </c>
      <c r="Q74">
        <f t="shared" si="68"/>
        <v>41.139197431989381</v>
      </c>
      <c r="R74">
        <f t="shared" si="68"/>
        <v>14.93826176263951</v>
      </c>
      <c r="S74">
        <f t="shared" si="68"/>
        <v>58.762701964743172</v>
      </c>
      <c r="T74">
        <f t="shared" si="68"/>
        <v>54.200043994583638</v>
      </c>
      <c r="U74">
        <f t="shared" si="68"/>
        <v>93.806962459327622</v>
      </c>
      <c r="V74">
        <f t="shared" si="68"/>
        <v>11.671446880009993</v>
      </c>
      <c r="W74">
        <f t="shared" si="68"/>
        <v>59.878616906073454</v>
      </c>
      <c r="X74">
        <f t="shared" si="68"/>
        <v>95.126272572249874</v>
      </c>
    </row>
    <row r="76" spans="11:32" x14ac:dyDescent="0.3">
      <c r="K76" s="38" t="s">
        <v>42</v>
      </c>
      <c r="L76" s="39" t="s">
        <v>3</v>
      </c>
      <c r="M76" s="39" t="s">
        <v>4</v>
      </c>
      <c r="N76" s="39" t="s">
        <v>5</v>
      </c>
      <c r="O76" s="39" t="s">
        <v>6</v>
      </c>
      <c r="P76" s="39" t="s">
        <v>7</v>
      </c>
      <c r="Q76" s="39" t="s">
        <v>8</v>
      </c>
      <c r="R76" s="39" t="s">
        <v>9</v>
      </c>
      <c r="S76" s="39" t="s">
        <v>10</v>
      </c>
      <c r="T76" s="39" t="s">
        <v>11</v>
      </c>
      <c r="U76" s="39" t="s">
        <v>12</v>
      </c>
      <c r="V76" s="39" t="s">
        <v>13</v>
      </c>
      <c r="W76" s="39" t="s">
        <v>14</v>
      </c>
      <c r="X76" s="40" t="s">
        <v>15</v>
      </c>
    </row>
    <row r="77" spans="11:32" x14ac:dyDescent="0.3">
      <c r="K77" s="41" t="s">
        <v>40</v>
      </c>
      <c r="L77">
        <f>ROUNDUP(L73,0)</f>
        <v>39</v>
      </c>
      <c r="M77">
        <f t="shared" ref="M77:X77" si="69">ROUNDUP(M73,0)</f>
        <v>127</v>
      </c>
      <c r="N77">
        <f t="shared" si="69"/>
        <v>31</v>
      </c>
      <c r="O77">
        <f t="shared" si="69"/>
        <v>169</v>
      </c>
      <c r="P77">
        <f t="shared" si="69"/>
        <v>77</v>
      </c>
      <c r="Q77">
        <f t="shared" si="69"/>
        <v>83</v>
      </c>
      <c r="R77">
        <f t="shared" si="69"/>
        <v>30</v>
      </c>
      <c r="S77">
        <f t="shared" si="69"/>
        <v>118</v>
      </c>
      <c r="T77">
        <f t="shared" si="69"/>
        <v>109</v>
      </c>
      <c r="U77">
        <f t="shared" si="69"/>
        <v>188</v>
      </c>
      <c r="V77">
        <f t="shared" si="69"/>
        <v>24</v>
      </c>
      <c r="W77">
        <f t="shared" si="69"/>
        <v>120</v>
      </c>
      <c r="X77" s="42">
        <f t="shared" si="69"/>
        <v>191</v>
      </c>
      <c r="Y77" t="s">
        <v>90</v>
      </c>
    </row>
    <row r="78" spans="11:32" x14ac:dyDescent="0.3">
      <c r="K78" s="43" t="s">
        <v>41</v>
      </c>
      <c r="L78" s="4">
        <f>ROUNDUP(L74,0)</f>
        <v>20</v>
      </c>
      <c r="M78" s="4">
        <f t="shared" ref="M78:X78" si="70">ROUNDUP(M74,0)</f>
        <v>64</v>
      </c>
      <c r="N78" s="4">
        <f t="shared" si="70"/>
        <v>16</v>
      </c>
      <c r="O78" s="4">
        <f t="shared" si="70"/>
        <v>85</v>
      </c>
      <c r="P78" s="4">
        <f t="shared" si="70"/>
        <v>39</v>
      </c>
      <c r="Q78" s="4">
        <f t="shared" si="70"/>
        <v>42</v>
      </c>
      <c r="R78" s="4">
        <f t="shared" si="70"/>
        <v>15</v>
      </c>
      <c r="S78" s="4">
        <f t="shared" si="70"/>
        <v>59</v>
      </c>
      <c r="T78" s="4">
        <f t="shared" si="70"/>
        <v>55</v>
      </c>
      <c r="U78" s="4">
        <f t="shared" si="70"/>
        <v>94</v>
      </c>
      <c r="V78" s="4">
        <f t="shared" si="70"/>
        <v>12</v>
      </c>
      <c r="W78" s="4">
        <f t="shared" si="70"/>
        <v>60</v>
      </c>
      <c r="X78" s="44">
        <f t="shared" si="70"/>
        <v>96</v>
      </c>
      <c r="Y78" s="12">
        <f>SUM(L78:X78)</f>
        <v>657</v>
      </c>
    </row>
    <row r="79" spans="11:32" x14ac:dyDescent="0.3">
      <c r="K79" s="3" t="s">
        <v>92</v>
      </c>
      <c r="L79" s="3">
        <f>L78-'Y4'!L78</f>
        <v>0</v>
      </c>
      <c r="M79" s="3">
        <f>M78-'Y4'!M78</f>
        <v>2</v>
      </c>
      <c r="N79" s="3">
        <f>N78-'Y4'!N78</f>
        <v>0</v>
      </c>
      <c r="O79" s="3">
        <f>O78-'Y4'!O78</f>
        <v>0</v>
      </c>
      <c r="P79" s="3">
        <f>P78-'Y4'!P78</f>
        <v>0</v>
      </c>
      <c r="Q79" s="3">
        <f>Q78-'Y4'!Q78</f>
        <v>-1</v>
      </c>
      <c r="R79" s="3">
        <f>R78-'Y4'!R78</f>
        <v>-1</v>
      </c>
      <c r="S79" s="3">
        <f>S78-'Y4'!S78</f>
        <v>0</v>
      </c>
      <c r="T79" s="3">
        <f>T78-'Y4'!T78</f>
        <v>1</v>
      </c>
      <c r="U79" s="3">
        <f>U78-'Y4'!U78</f>
        <v>0</v>
      </c>
      <c r="V79" s="3">
        <f>V78-'Y4'!V78</f>
        <v>-1</v>
      </c>
      <c r="W79" s="3">
        <f>W78-'Y4'!W78</f>
        <v>0</v>
      </c>
      <c r="X79" s="3">
        <f>X78-'Y4'!X78</f>
        <v>1</v>
      </c>
      <c r="Y79">
        <f>Y78-'Y4'!Y78</f>
        <v>1</v>
      </c>
    </row>
    <row r="81" spans="11:25" x14ac:dyDescent="0.3">
      <c r="K81" t="s">
        <v>48</v>
      </c>
      <c r="L81">
        <v>7</v>
      </c>
      <c r="M81">
        <v>7</v>
      </c>
      <c r="N81">
        <v>7</v>
      </c>
      <c r="O81">
        <v>7</v>
      </c>
      <c r="P81">
        <v>6</v>
      </c>
      <c r="Q81">
        <v>6</v>
      </c>
      <c r="R81">
        <v>6</v>
      </c>
      <c r="S81">
        <v>5</v>
      </c>
      <c r="T81">
        <v>5</v>
      </c>
      <c r="U81">
        <v>5</v>
      </c>
      <c r="V81">
        <v>3</v>
      </c>
      <c r="W81">
        <v>3</v>
      </c>
      <c r="X81">
        <v>3</v>
      </c>
    </row>
    <row r="82" spans="11:25" x14ac:dyDescent="0.3">
      <c r="L82">
        <v>8</v>
      </c>
      <c r="M82">
        <v>8</v>
      </c>
      <c r="N82">
        <v>8</v>
      </c>
      <c r="O82">
        <v>8</v>
      </c>
      <c r="P82">
        <v>16</v>
      </c>
      <c r="Q82">
        <v>16</v>
      </c>
      <c r="R82">
        <v>16</v>
      </c>
      <c r="S82">
        <v>24</v>
      </c>
      <c r="T82">
        <v>24</v>
      </c>
      <c r="U82">
        <v>24</v>
      </c>
      <c r="V82">
        <v>6</v>
      </c>
      <c r="W82">
        <v>6</v>
      </c>
      <c r="X82">
        <v>6</v>
      </c>
    </row>
    <row r="83" spans="11:25" x14ac:dyDescent="0.3">
      <c r="K83" t="s">
        <v>49</v>
      </c>
      <c r="L83">
        <v>14</v>
      </c>
      <c r="M83">
        <v>14</v>
      </c>
      <c r="N83">
        <v>14</v>
      </c>
      <c r="O83">
        <v>14</v>
      </c>
      <c r="P83">
        <v>22</v>
      </c>
      <c r="Q83">
        <v>22</v>
      </c>
      <c r="R83">
        <v>22</v>
      </c>
      <c r="S83">
        <v>14</v>
      </c>
      <c r="T83">
        <v>14</v>
      </c>
      <c r="U83">
        <v>14</v>
      </c>
      <c r="V83">
        <v>14</v>
      </c>
      <c r="W83">
        <v>14</v>
      </c>
      <c r="X83">
        <v>14</v>
      </c>
    </row>
    <row r="84" spans="11:25" x14ac:dyDescent="0.3">
      <c r="L84">
        <v>14</v>
      </c>
      <c r="M84">
        <v>14</v>
      </c>
      <c r="N84">
        <v>14</v>
      </c>
      <c r="O84">
        <v>14</v>
      </c>
      <c r="P84">
        <v>15</v>
      </c>
      <c r="Q84">
        <v>15</v>
      </c>
      <c r="R84">
        <v>15</v>
      </c>
      <c r="S84">
        <v>36</v>
      </c>
      <c r="T84">
        <v>36</v>
      </c>
      <c r="U84">
        <v>36</v>
      </c>
      <c r="V84">
        <v>7</v>
      </c>
      <c r="W84">
        <v>7</v>
      </c>
      <c r="X84">
        <v>7</v>
      </c>
    </row>
    <row r="86" spans="11:25" x14ac:dyDescent="0.3">
      <c r="K86" t="s">
        <v>43</v>
      </c>
      <c r="L86" s="5">
        <f>1*20+1/4*40</f>
        <v>30</v>
      </c>
      <c r="M86" s="5">
        <f t="shared" ref="M86:O86" si="71">1*20+1/4*40</f>
        <v>30</v>
      </c>
      <c r="N86" s="5">
        <f t="shared" si="71"/>
        <v>30</v>
      </c>
      <c r="O86" s="5">
        <f t="shared" si="71"/>
        <v>30</v>
      </c>
      <c r="P86" s="5">
        <f>1*20+1/2*60</f>
        <v>50</v>
      </c>
      <c r="Q86" s="5">
        <f t="shared" ref="Q86:R86" si="72">1*20+1/2*60</f>
        <v>50</v>
      </c>
      <c r="R86" s="5">
        <f t="shared" si="72"/>
        <v>50</v>
      </c>
      <c r="S86" s="5">
        <v>120</v>
      </c>
      <c r="T86" s="5">
        <v>120</v>
      </c>
      <c r="U86" s="5">
        <v>120</v>
      </c>
      <c r="V86" s="5">
        <v>20</v>
      </c>
      <c r="W86" s="5">
        <v>20</v>
      </c>
      <c r="X86" s="5">
        <v>20</v>
      </c>
    </row>
    <row r="87" spans="11:25" x14ac:dyDescent="0.3">
      <c r="K87" t="s">
        <v>44</v>
      </c>
      <c r="L87" s="6">
        <v>150000</v>
      </c>
      <c r="M87" s="6">
        <v>200000</v>
      </c>
      <c r="N87" s="6">
        <v>250000</v>
      </c>
      <c r="O87" s="6">
        <v>300000</v>
      </c>
      <c r="P87" s="6">
        <v>400000</v>
      </c>
      <c r="Q87" s="6">
        <v>400000</v>
      </c>
      <c r="R87" s="6">
        <v>400000</v>
      </c>
      <c r="S87" s="6">
        <v>1000000</v>
      </c>
      <c r="T87" s="6">
        <v>500000</v>
      </c>
      <c r="U87" s="6">
        <v>500000</v>
      </c>
      <c r="V87" s="6">
        <v>80000</v>
      </c>
      <c r="W87" s="6">
        <v>100000</v>
      </c>
      <c r="X87" s="6">
        <v>50000</v>
      </c>
      <c r="Y87" s="5"/>
    </row>
    <row r="89" spans="11:25" x14ac:dyDescent="0.3">
      <c r="K89" s="2" t="s">
        <v>50</v>
      </c>
      <c r="L89" s="2" t="s">
        <v>3</v>
      </c>
      <c r="M89" s="2" t="s">
        <v>4</v>
      </c>
      <c r="N89" s="2" t="s">
        <v>5</v>
      </c>
      <c r="O89" s="2" t="s">
        <v>6</v>
      </c>
      <c r="P89" s="2" t="s">
        <v>7</v>
      </c>
      <c r="Q89" s="2" t="s">
        <v>8</v>
      </c>
      <c r="R89" s="2" t="s">
        <v>9</v>
      </c>
      <c r="S89" s="2" t="s">
        <v>10</v>
      </c>
      <c r="T89" s="2" t="s">
        <v>11</v>
      </c>
      <c r="U89" s="2" t="s">
        <v>12</v>
      </c>
      <c r="V89" s="2" t="s">
        <v>13</v>
      </c>
      <c r="W89" s="2" t="s">
        <v>14</v>
      </c>
      <c r="X89" s="2" t="s">
        <v>15</v>
      </c>
    </row>
    <row r="90" spans="11:25" x14ac:dyDescent="0.3">
      <c r="K90" s="1" t="s">
        <v>45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1:25" x14ac:dyDescent="0.3">
      <c r="K91" s="1" t="s">
        <v>46</v>
      </c>
      <c r="L91">
        <v>0.25</v>
      </c>
      <c r="M91">
        <v>0.25</v>
      </c>
      <c r="N91">
        <v>0.25</v>
      </c>
      <c r="O91">
        <v>0.25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0.5</v>
      </c>
      <c r="W91">
        <v>0.5</v>
      </c>
      <c r="X91">
        <v>0.5</v>
      </c>
    </row>
    <row r="92" spans="11:25" x14ac:dyDescent="0.3">
      <c r="K92" s="1" t="s">
        <v>47</v>
      </c>
      <c r="L92">
        <v>0</v>
      </c>
      <c r="M92">
        <v>0</v>
      </c>
      <c r="N92">
        <v>0</v>
      </c>
      <c r="O92">
        <v>0</v>
      </c>
      <c r="P92">
        <v>0.5</v>
      </c>
      <c r="Q92">
        <v>0.5</v>
      </c>
      <c r="R92">
        <v>0.5</v>
      </c>
      <c r="S92">
        <v>2</v>
      </c>
      <c r="T92">
        <v>2</v>
      </c>
      <c r="U92">
        <v>2</v>
      </c>
      <c r="V92">
        <v>0</v>
      </c>
      <c r="W92">
        <v>0</v>
      </c>
      <c r="X92">
        <v>0</v>
      </c>
    </row>
    <row r="94" spans="11:25" x14ac:dyDescent="0.3">
      <c r="K94" t="s">
        <v>71</v>
      </c>
      <c r="L94">
        <f>49*5*16</f>
        <v>3920</v>
      </c>
      <c r="M94">
        <f t="shared" ref="M94:X94" si="73">49*5*16</f>
        <v>3920</v>
      </c>
      <c r="N94">
        <f t="shared" si="73"/>
        <v>3920</v>
      </c>
      <c r="O94">
        <f t="shared" si="73"/>
        <v>3920</v>
      </c>
      <c r="P94">
        <f t="shared" si="73"/>
        <v>3920</v>
      </c>
      <c r="Q94">
        <f t="shared" si="73"/>
        <v>3920</v>
      </c>
      <c r="R94">
        <f t="shared" si="73"/>
        <v>3920</v>
      </c>
      <c r="S94">
        <f t="shared" si="73"/>
        <v>3920</v>
      </c>
      <c r="T94">
        <f t="shared" si="73"/>
        <v>3920</v>
      </c>
      <c r="U94">
        <f t="shared" si="73"/>
        <v>3920</v>
      </c>
      <c r="V94">
        <f t="shared" si="73"/>
        <v>3920</v>
      </c>
      <c r="W94">
        <f t="shared" si="73"/>
        <v>3920</v>
      </c>
      <c r="X94">
        <f t="shared" si="73"/>
        <v>3920</v>
      </c>
    </row>
    <row r="96" spans="11:25" x14ac:dyDescent="0.3">
      <c r="K96" s="2" t="s">
        <v>51</v>
      </c>
      <c r="L96" s="2" t="s">
        <v>3</v>
      </c>
      <c r="M96" s="2" t="s">
        <v>4</v>
      </c>
      <c r="N96" s="2" t="s">
        <v>5</v>
      </c>
      <c r="O96" s="2" t="s">
        <v>6</v>
      </c>
      <c r="P96" s="2" t="s">
        <v>7</v>
      </c>
      <c r="Q96" s="2" t="s">
        <v>8</v>
      </c>
      <c r="R96" s="2" t="s">
        <v>9</v>
      </c>
      <c r="S96" s="2" t="s">
        <v>10</v>
      </c>
      <c r="T96" s="2" t="s">
        <v>11</v>
      </c>
      <c r="U96" s="2" t="s">
        <v>12</v>
      </c>
      <c r="V96" s="2" t="s">
        <v>13</v>
      </c>
      <c r="W96" s="2" t="s">
        <v>14</v>
      </c>
      <c r="X96" s="2" t="s">
        <v>15</v>
      </c>
      <c r="Y96" s="2" t="s">
        <v>52</v>
      </c>
    </row>
    <row r="97" spans="11:25" x14ac:dyDescent="0.3">
      <c r="K97" s="1" t="s">
        <v>45</v>
      </c>
      <c r="L97">
        <f t="shared" ref="L97:X97" si="74">ROUNDUP(L90*L78*2,0)</f>
        <v>40</v>
      </c>
      <c r="M97">
        <f t="shared" si="74"/>
        <v>128</v>
      </c>
      <c r="N97">
        <f t="shared" si="74"/>
        <v>32</v>
      </c>
      <c r="O97">
        <f t="shared" si="74"/>
        <v>170</v>
      </c>
      <c r="P97">
        <f t="shared" si="74"/>
        <v>78</v>
      </c>
      <c r="Q97">
        <f t="shared" si="74"/>
        <v>84</v>
      </c>
      <c r="R97">
        <f t="shared" si="74"/>
        <v>30</v>
      </c>
      <c r="S97">
        <f t="shared" si="74"/>
        <v>0</v>
      </c>
      <c r="T97">
        <f t="shared" si="74"/>
        <v>0</v>
      </c>
      <c r="U97">
        <f t="shared" si="74"/>
        <v>0</v>
      </c>
      <c r="V97">
        <f t="shared" si="74"/>
        <v>0</v>
      </c>
      <c r="W97">
        <f t="shared" si="74"/>
        <v>0</v>
      </c>
      <c r="X97">
        <f t="shared" si="74"/>
        <v>0</v>
      </c>
      <c r="Y97">
        <f>SUM(L97:X97)</f>
        <v>562</v>
      </c>
    </row>
    <row r="98" spans="11:25" x14ac:dyDescent="0.3">
      <c r="K98" s="1" t="s">
        <v>46</v>
      </c>
      <c r="L98">
        <f t="shared" ref="L98:X98" si="75">ROUNDUP(L91*L78*2,0)</f>
        <v>10</v>
      </c>
      <c r="M98">
        <f t="shared" si="75"/>
        <v>32</v>
      </c>
      <c r="N98">
        <f t="shared" si="75"/>
        <v>8</v>
      </c>
      <c r="O98">
        <f t="shared" si="75"/>
        <v>43</v>
      </c>
      <c r="P98">
        <f t="shared" si="75"/>
        <v>0</v>
      </c>
      <c r="Q98">
        <f t="shared" si="75"/>
        <v>0</v>
      </c>
      <c r="R98">
        <f t="shared" si="75"/>
        <v>0</v>
      </c>
      <c r="S98">
        <f t="shared" si="75"/>
        <v>0</v>
      </c>
      <c r="T98">
        <f t="shared" si="75"/>
        <v>0</v>
      </c>
      <c r="U98">
        <f t="shared" si="75"/>
        <v>0</v>
      </c>
      <c r="V98">
        <f t="shared" si="75"/>
        <v>12</v>
      </c>
      <c r="W98">
        <f t="shared" si="75"/>
        <v>60</v>
      </c>
      <c r="X98">
        <f t="shared" si="75"/>
        <v>96</v>
      </c>
      <c r="Y98">
        <f t="shared" ref="Y98:Y99" si="76">SUM(L98:X98)</f>
        <v>261</v>
      </c>
    </row>
    <row r="99" spans="11:25" x14ac:dyDescent="0.3">
      <c r="K99" s="1" t="s">
        <v>47</v>
      </c>
      <c r="L99">
        <f t="shared" ref="L99:X99" si="77">ROUNDUP(L92*L78*2,0)</f>
        <v>0</v>
      </c>
      <c r="M99">
        <f t="shared" si="77"/>
        <v>0</v>
      </c>
      <c r="N99">
        <f t="shared" si="77"/>
        <v>0</v>
      </c>
      <c r="O99">
        <f t="shared" si="77"/>
        <v>0</v>
      </c>
      <c r="P99">
        <f t="shared" si="77"/>
        <v>39</v>
      </c>
      <c r="Q99">
        <f t="shared" si="77"/>
        <v>42</v>
      </c>
      <c r="R99">
        <f t="shared" si="77"/>
        <v>15</v>
      </c>
      <c r="S99">
        <f t="shared" si="77"/>
        <v>236</v>
      </c>
      <c r="T99">
        <f t="shared" si="77"/>
        <v>220</v>
      </c>
      <c r="U99">
        <f t="shared" si="77"/>
        <v>376</v>
      </c>
      <c r="V99">
        <f t="shared" si="77"/>
        <v>0</v>
      </c>
      <c r="W99">
        <f t="shared" si="77"/>
        <v>0</v>
      </c>
      <c r="X99">
        <f t="shared" si="77"/>
        <v>0</v>
      </c>
      <c r="Y99">
        <f t="shared" si="76"/>
        <v>928</v>
      </c>
    </row>
    <row r="100" spans="11:25" x14ac:dyDescent="0.3">
      <c r="K100" s="30" t="s">
        <v>53</v>
      </c>
      <c r="L100" s="30">
        <f>SUM(L97:L99)</f>
        <v>50</v>
      </c>
      <c r="M100" s="30">
        <f t="shared" ref="M100:X100" si="78">SUM(M97:M99)</f>
        <v>160</v>
      </c>
      <c r="N100" s="30">
        <f t="shared" si="78"/>
        <v>40</v>
      </c>
      <c r="O100" s="30">
        <f t="shared" si="78"/>
        <v>213</v>
      </c>
      <c r="P100" s="30">
        <f t="shared" si="78"/>
        <v>117</v>
      </c>
      <c r="Q100" s="30">
        <f t="shared" si="78"/>
        <v>126</v>
      </c>
      <c r="R100" s="30">
        <f t="shared" si="78"/>
        <v>45</v>
      </c>
      <c r="S100" s="30">
        <f t="shared" si="78"/>
        <v>236</v>
      </c>
      <c r="T100" s="30">
        <f t="shared" si="78"/>
        <v>220</v>
      </c>
      <c r="U100" s="30">
        <f t="shared" si="78"/>
        <v>376</v>
      </c>
      <c r="V100" s="30">
        <f t="shared" si="78"/>
        <v>12</v>
      </c>
      <c r="W100" s="30">
        <f t="shared" si="78"/>
        <v>60</v>
      </c>
      <c r="X100" s="30">
        <f t="shared" si="78"/>
        <v>96</v>
      </c>
      <c r="Y100" s="30">
        <f>SUM(Y97:Y99)</f>
        <v>1751</v>
      </c>
    </row>
    <row r="101" spans="11:25" x14ac:dyDescent="0.3">
      <c r="K101" s="1" t="s">
        <v>107</v>
      </c>
      <c r="L101">
        <f>L100-'Y4'!L100</f>
        <v>0</v>
      </c>
      <c r="M101">
        <f>M100-'Y4'!M100</f>
        <v>5</v>
      </c>
      <c r="N101">
        <f>N100-'Y4'!N100</f>
        <v>0</v>
      </c>
      <c r="O101">
        <f>O100-'Y4'!O100</f>
        <v>0</v>
      </c>
      <c r="P101">
        <f>P100-'Y4'!P100</f>
        <v>0</v>
      </c>
      <c r="Q101">
        <f>Q100-'Y4'!Q100</f>
        <v>-3</v>
      </c>
      <c r="R101">
        <f>R100-'Y4'!R100</f>
        <v>-3</v>
      </c>
      <c r="S101">
        <f>S100-'Y4'!S100</f>
        <v>0</v>
      </c>
      <c r="T101">
        <f>T100-'Y4'!T100</f>
        <v>4</v>
      </c>
      <c r="U101">
        <f>U100-'Y4'!U100</f>
        <v>0</v>
      </c>
      <c r="V101">
        <f>V100-'Y4'!V100</f>
        <v>-1</v>
      </c>
      <c r="W101">
        <f>W100-'Y4'!W100</f>
        <v>0</v>
      </c>
      <c r="X101">
        <f>X100-'Y4'!X100</f>
        <v>1</v>
      </c>
    </row>
    <row r="103" spans="11:25" x14ac:dyDescent="0.3">
      <c r="K103" t="s">
        <v>98</v>
      </c>
      <c r="L103" s="5">
        <f t="shared" ref="L103:R103" si="79">L78*L87/10</f>
        <v>300000</v>
      </c>
      <c r="M103" s="5">
        <f t="shared" si="79"/>
        <v>1280000</v>
      </c>
      <c r="N103" s="5">
        <f t="shared" si="79"/>
        <v>400000</v>
      </c>
      <c r="O103" s="5">
        <f t="shared" si="79"/>
        <v>2550000</v>
      </c>
      <c r="P103" s="5">
        <f t="shared" si="79"/>
        <v>1560000</v>
      </c>
      <c r="Q103" s="5">
        <f t="shared" si="79"/>
        <v>1680000</v>
      </c>
      <c r="R103" s="5">
        <f t="shared" si="79"/>
        <v>600000</v>
      </c>
      <c r="S103" s="5">
        <f>S78*S87/15</f>
        <v>3933333.3333333335</v>
      </c>
      <c r="T103" s="5">
        <f>T78*T87/15</f>
        <v>1833333.3333333333</v>
      </c>
      <c r="U103" s="5">
        <f>U78*U87/15</f>
        <v>3133333.3333333335</v>
      </c>
      <c r="V103" s="5">
        <f>V78*V87/8</f>
        <v>120000</v>
      </c>
      <c r="W103" s="5">
        <f>W78*W87/8</f>
        <v>750000</v>
      </c>
      <c r="X103" s="5">
        <f>X78*X87/8</f>
        <v>600000</v>
      </c>
      <c r="Y103" s="5"/>
    </row>
    <row r="104" spans="11:25" x14ac:dyDescent="0.3">
      <c r="K104" t="s">
        <v>99</v>
      </c>
      <c r="L104" s="5">
        <f t="shared" ref="L104:X104" si="80">L86*16*5*49*L78</f>
        <v>2352000</v>
      </c>
      <c r="M104" s="5">
        <f t="shared" si="80"/>
        <v>7526400</v>
      </c>
      <c r="N104" s="5">
        <f t="shared" si="80"/>
        <v>1881600</v>
      </c>
      <c r="O104" s="5">
        <f t="shared" si="80"/>
        <v>9996000</v>
      </c>
      <c r="P104" s="5">
        <f t="shared" si="80"/>
        <v>7644000</v>
      </c>
      <c r="Q104" s="5">
        <f t="shared" si="80"/>
        <v>8232000</v>
      </c>
      <c r="R104" s="5">
        <f t="shared" si="80"/>
        <v>2940000</v>
      </c>
      <c r="S104" s="5">
        <f t="shared" si="80"/>
        <v>27753600</v>
      </c>
      <c r="T104" s="5">
        <f t="shared" si="80"/>
        <v>25872000</v>
      </c>
      <c r="U104" s="5">
        <f t="shared" si="80"/>
        <v>44217600</v>
      </c>
      <c r="V104" s="5">
        <f t="shared" si="80"/>
        <v>940800</v>
      </c>
      <c r="W104" s="5">
        <f t="shared" si="80"/>
        <v>4704000</v>
      </c>
      <c r="X104" s="5">
        <f t="shared" si="80"/>
        <v>7526400</v>
      </c>
      <c r="Y104" s="5"/>
    </row>
    <row r="105" spans="11:25" x14ac:dyDescent="0.3"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8"/>
    </row>
    <row r="107" spans="11:25" x14ac:dyDescent="0.3">
      <c r="K107" s="29" t="s">
        <v>100</v>
      </c>
      <c r="L107" s="5">
        <f>SUM(L103:X103)</f>
        <v>18740000</v>
      </c>
    </row>
    <row r="108" spans="11:25" x14ac:dyDescent="0.3">
      <c r="K108" s="29" t="s">
        <v>87</v>
      </c>
      <c r="L108" s="5">
        <f>SUM(L104:X104)</f>
        <v>151586400</v>
      </c>
    </row>
    <row r="109" spans="11:25" x14ac:dyDescent="0.3">
      <c r="K109" s="47" t="s">
        <v>86</v>
      </c>
      <c r="L109" s="28">
        <f>882*344*250</f>
        <v>75852000</v>
      </c>
    </row>
    <row r="110" spans="11:25" x14ac:dyDescent="0.3">
      <c r="K110" s="29" t="s">
        <v>88</v>
      </c>
      <c r="L110" s="5">
        <f>SUM(L107:L109)</f>
        <v>246178400</v>
      </c>
    </row>
  </sheetData>
  <mergeCells count="5">
    <mergeCell ref="AA47:AD47"/>
    <mergeCell ref="AC69:AE69"/>
    <mergeCell ref="AC70:AE70"/>
    <mergeCell ref="AK42:AL42"/>
    <mergeCell ref="AK43:AL43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7013-2487-4736-9C1F-25BE876D75C1}">
  <dimension ref="A1:AH45"/>
  <sheetViews>
    <sheetView tabSelected="1" topLeftCell="G1" zoomScale="70" zoomScaleNormal="70" workbookViewId="0">
      <selection activeCell="W23" sqref="W23"/>
    </sheetView>
  </sheetViews>
  <sheetFormatPr defaultRowHeight="16.2" x14ac:dyDescent="0.3"/>
  <cols>
    <col min="18" max="18" width="16.21875" bestFit="1" customWidth="1"/>
    <col min="19" max="19" width="15.44140625" bestFit="1" customWidth="1"/>
  </cols>
  <sheetData>
    <row r="1" spans="1:34" x14ac:dyDescent="0.3">
      <c r="A1" s="57"/>
      <c r="B1" s="57" t="s">
        <v>108</v>
      </c>
      <c r="C1" s="57" t="s">
        <v>109</v>
      </c>
      <c r="D1" s="57" t="s">
        <v>110</v>
      </c>
      <c r="E1" s="57" t="s">
        <v>111</v>
      </c>
      <c r="F1" s="57" t="s">
        <v>112</v>
      </c>
      <c r="G1" s="57" t="s">
        <v>113</v>
      </c>
      <c r="H1" s="57" t="s">
        <v>114</v>
      </c>
      <c r="I1" s="57"/>
      <c r="J1" s="58" t="s">
        <v>115</v>
      </c>
      <c r="K1" s="58" t="s">
        <v>116</v>
      </c>
      <c r="L1" s="58" t="s">
        <v>117</v>
      </c>
      <c r="M1" s="58" t="s">
        <v>118</v>
      </c>
      <c r="N1" s="58" t="s">
        <v>119</v>
      </c>
      <c r="O1" s="57" t="s">
        <v>120</v>
      </c>
      <c r="P1" s="57" t="s">
        <v>121</v>
      </c>
      <c r="Q1" s="57" t="s">
        <v>122</v>
      </c>
      <c r="R1" s="57" t="s">
        <v>123</v>
      </c>
      <c r="S1" s="57" t="s">
        <v>124</v>
      </c>
      <c r="U1" s="45" t="s">
        <v>128</v>
      </c>
      <c r="V1" s="45" t="s">
        <v>3</v>
      </c>
      <c r="W1" s="45" t="s">
        <v>4</v>
      </c>
      <c r="X1" s="45" t="s">
        <v>5</v>
      </c>
      <c r="Y1" s="45" t="s">
        <v>6</v>
      </c>
      <c r="Z1" s="45" t="s">
        <v>7</v>
      </c>
      <c r="AA1" s="45" t="s">
        <v>8</v>
      </c>
      <c r="AB1" s="45" t="s">
        <v>9</v>
      </c>
      <c r="AC1" s="45" t="s">
        <v>10</v>
      </c>
      <c r="AD1" s="45" t="s">
        <v>11</v>
      </c>
      <c r="AE1" s="45" t="s">
        <v>12</v>
      </c>
      <c r="AF1" s="45" t="s">
        <v>13</v>
      </c>
      <c r="AG1" s="45" t="s">
        <v>14</v>
      </c>
      <c r="AH1" s="45" t="s">
        <v>15</v>
      </c>
    </row>
    <row r="2" spans="1:34" x14ac:dyDescent="0.3">
      <c r="A2" s="57" t="s">
        <v>16</v>
      </c>
      <c r="B2" s="57" t="s">
        <v>4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11</v>
      </c>
      <c r="H2" s="57" t="s">
        <v>12</v>
      </c>
      <c r="I2" s="61">
        <v>30602.932692307699</v>
      </c>
      <c r="J2" s="57" t="str">
        <f t="shared" ref="J2:O17" si="0">IF(AND(B2&lt;&gt;"",C2&lt;&gt;"",B2&lt;&gt;C2),B2&amp;"-&gt;"&amp;C2,"")</f>
        <v>B-&gt;A</v>
      </c>
      <c r="K2" s="59" t="str">
        <f t="shared" si="0"/>
        <v>A-&gt;B</v>
      </c>
      <c r="L2" s="59" t="str">
        <f t="shared" si="0"/>
        <v>B-&gt;C</v>
      </c>
      <c r="M2" s="59" t="str">
        <f t="shared" si="0"/>
        <v>C-&gt;D</v>
      </c>
      <c r="N2" s="59" t="str">
        <f t="shared" si="0"/>
        <v>D-&gt;I</v>
      </c>
      <c r="O2" s="59" t="str">
        <f t="shared" si="0"/>
        <v>I-&gt;J</v>
      </c>
      <c r="P2" s="60" t="s">
        <v>3</v>
      </c>
      <c r="Q2" s="60" t="s">
        <v>4</v>
      </c>
      <c r="R2" s="59">
        <f>SUMPRODUCT($I$2:$I$21*(($J$2:$J$21=$P2&amp;"-&gt;"&amp;$Q2)+($K$2:$K$21=$P2&amp;"-&gt;"&amp;$Q2)+($L$2:$L$21=$P2&amp;"-&gt;"&amp;$Q2)+($M$2:$M$21=$P2&amp;"-&gt;"&amp;$Q2)+($N$2:$N$21=$P2&amp;"-&gt;"&amp;$Q2)+($O$2:$O$21=$P2&amp;"-&gt;"&amp;$Q2)))</f>
        <v>49948.173076923114</v>
      </c>
      <c r="S2" s="59">
        <f>SUMPRODUCT($D$26:$D$45*(($J$2:$J$21=$P2&amp;"-&gt;"&amp;$Q2)+($K$2:$K$21=$P2&amp;"-&gt;"&amp;$Q2)+($L$2:$L$21=$P2&amp;"-&gt;"&amp;$Q2)+($M$2:$M$21=$P2&amp;"-&gt;"&amp;$Q2)+($N$2:$N$21=$P2&amp;"-&gt;"&amp;$Q2)+($O$2:$O$21=$P2&amp;"-&gt;"&amp;$Q2)))</f>
        <v>62.435216346153901</v>
      </c>
      <c r="U2" s="45" t="s">
        <v>58</v>
      </c>
      <c r="V2" s="50">
        <v>0</v>
      </c>
      <c r="W2" s="50">
        <f>R2</f>
        <v>49948.173076923114</v>
      </c>
      <c r="X2" s="50">
        <f>R3</f>
        <v>15927.5</v>
      </c>
      <c r="Y2" s="50">
        <v>0</v>
      </c>
      <c r="Z2" s="50">
        <v>0</v>
      </c>
      <c r="AA2" s="50">
        <v>0</v>
      </c>
      <c r="AB2" s="50">
        <v>0</v>
      </c>
      <c r="AC2" s="50">
        <v>0</v>
      </c>
      <c r="AD2" s="50">
        <v>0</v>
      </c>
      <c r="AE2" s="50">
        <v>0</v>
      </c>
      <c r="AF2" s="50">
        <v>0</v>
      </c>
      <c r="AG2" s="50">
        <v>0</v>
      </c>
      <c r="AH2" s="50">
        <v>0</v>
      </c>
    </row>
    <row r="3" spans="1:34" x14ac:dyDescent="0.3">
      <c r="A3" s="57" t="s">
        <v>17</v>
      </c>
      <c r="B3" s="57" t="s">
        <v>3</v>
      </c>
      <c r="C3" s="57" t="s">
        <v>5</v>
      </c>
      <c r="D3" s="57" t="s">
        <v>6</v>
      </c>
      <c r="E3" s="57" t="s">
        <v>10</v>
      </c>
      <c r="F3" s="57" t="s">
        <v>12</v>
      </c>
      <c r="G3" s="57"/>
      <c r="H3" s="57"/>
      <c r="I3" s="61">
        <v>15927.5</v>
      </c>
      <c r="J3" s="57" t="str">
        <f t="shared" si="0"/>
        <v>A-&gt;C</v>
      </c>
      <c r="K3" s="59" t="str">
        <f t="shared" si="0"/>
        <v>C-&gt;D</v>
      </c>
      <c r="L3" s="59" t="str">
        <f t="shared" si="0"/>
        <v>D-&gt;H</v>
      </c>
      <c r="M3" s="59" t="str">
        <f t="shared" si="0"/>
        <v>H-&gt;J</v>
      </c>
      <c r="N3" s="59" t="str">
        <f t="shared" si="0"/>
        <v/>
      </c>
      <c r="O3" s="59" t="str">
        <f t="shared" si="0"/>
        <v/>
      </c>
      <c r="P3" s="60" t="s">
        <v>3</v>
      </c>
      <c r="Q3" s="60" t="s">
        <v>5</v>
      </c>
      <c r="R3" s="59">
        <f t="shared" ref="R3:R30" si="1">SUMPRODUCT($I$2:$I$21*(($J$2:$J$21=$P3&amp;"-&gt;"&amp;$Q3)+($K$2:$K$21=$P3&amp;"-&gt;"&amp;$Q3)+($L$2:$L$21=$P3&amp;"-&gt;"&amp;$Q3)+($M$2:$M$21=$P3&amp;"-&gt;"&amp;$Q3)+($N$2:$N$21=$P3&amp;"-&gt;"&amp;$Q3)+($O$2:$O$21=$P3&amp;"-&gt;"&amp;$Q3)))</f>
        <v>15927.5</v>
      </c>
      <c r="S3" s="59">
        <f t="shared" ref="S3:S30" si="2">SUMPRODUCT($D$26:$D$45*(($J$2:$J$21=$P3&amp;"-&gt;"&amp;$Q3)+($K$2:$K$21=$P3&amp;"-&gt;"&amp;$Q3)+($L$2:$L$21=$P3&amp;"-&gt;"&amp;$Q3)+($M$2:$M$21=$P3&amp;"-&gt;"&amp;$Q3)+($N$2:$N$21=$P3&amp;"-&gt;"&amp;$Q3)+($O$2:$O$21=$P3&amp;"-&gt;"&amp;$Q3)))</f>
        <v>19.909375000000001</v>
      </c>
      <c r="U3" s="45" t="s">
        <v>59</v>
      </c>
      <c r="V3" s="50">
        <f>R4</f>
        <v>30602.932692307699</v>
      </c>
      <c r="W3" s="50">
        <v>0</v>
      </c>
      <c r="X3" s="50">
        <f>R5</f>
        <v>46927.403846153815</v>
      </c>
      <c r="Y3" s="50">
        <f>R6</f>
        <v>21802.307692307721</v>
      </c>
      <c r="Z3" s="50">
        <v>0</v>
      </c>
      <c r="AA3" s="50">
        <v>0</v>
      </c>
      <c r="AB3" s="50">
        <v>0</v>
      </c>
      <c r="AC3" s="50">
        <v>0</v>
      </c>
      <c r="AD3" s="50">
        <v>0</v>
      </c>
      <c r="AE3" s="50">
        <v>0</v>
      </c>
      <c r="AF3" s="50">
        <v>0</v>
      </c>
      <c r="AG3" s="50">
        <v>0</v>
      </c>
      <c r="AH3" s="50">
        <v>0</v>
      </c>
    </row>
    <row r="4" spans="1:34" x14ac:dyDescent="0.3">
      <c r="A4" s="57" t="s">
        <v>18</v>
      </c>
      <c r="B4" s="57" t="s">
        <v>4</v>
      </c>
      <c r="C4" s="57" t="s">
        <v>6</v>
      </c>
      <c r="D4" s="57" t="s">
        <v>5</v>
      </c>
      <c r="E4" s="57" t="s">
        <v>11</v>
      </c>
      <c r="F4" s="57" t="s">
        <v>12</v>
      </c>
      <c r="G4" s="57"/>
      <c r="H4" s="57"/>
      <c r="I4" s="61">
        <v>8293.0769230769201</v>
      </c>
      <c r="J4" s="57" t="str">
        <f t="shared" si="0"/>
        <v>B-&gt;D</v>
      </c>
      <c r="K4" s="59" t="str">
        <f t="shared" si="0"/>
        <v>D-&gt;C</v>
      </c>
      <c r="L4" s="59" t="str">
        <f t="shared" si="0"/>
        <v>C-&gt;I</v>
      </c>
      <c r="M4" s="59" t="str">
        <f t="shared" si="0"/>
        <v>I-&gt;J</v>
      </c>
      <c r="N4" s="59" t="str">
        <f t="shared" si="0"/>
        <v/>
      </c>
      <c r="O4" s="59" t="str">
        <f t="shared" si="0"/>
        <v/>
      </c>
      <c r="P4" s="60" t="s">
        <v>4</v>
      </c>
      <c r="Q4" s="60" t="s">
        <v>3</v>
      </c>
      <c r="R4" s="59">
        <f t="shared" si="1"/>
        <v>30602.932692307699</v>
      </c>
      <c r="S4" s="59">
        <f t="shared" si="2"/>
        <v>38.253665865384626</v>
      </c>
      <c r="U4" s="45" t="s">
        <v>60</v>
      </c>
      <c r="V4" s="50">
        <v>0</v>
      </c>
      <c r="W4" s="50">
        <v>0</v>
      </c>
      <c r="X4" s="50">
        <v>0</v>
      </c>
      <c r="Y4" s="50">
        <f>R7</f>
        <v>83514.903846153815</v>
      </c>
      <c r="Z4" s="50">
        <v>0</v>
      </c>
      <c r="AA4" s="50">
        <v>0</v>
      </c>
      <c r="AB4" s="50">
        <v>0</v>
      </c>
      <c r="AC4" s="50">
        <v>0</v>
      </c>
      <c r="AD4" s="50">
        <f>R8</f>
        <v>8293.0769230769201</v>
      </c>
      <c r="AE4" s="50">
        <v>0</v>
      </c>
      <c r="AF4" s="50">
        <v>0</v>
      </c>
      <c r="AG4" s="50">
        <v>0</v>
      </c>
      <c r="AH4" s="50">
        <v>0</v>
      </c>
    </row>
    <row r="5" spans="1:34" x14ac:dyDescent="0.3">
      <c r="A5" s="57" t="s">
        <v>19</v>
      </c>
      <c r="B5" s="57" t="s">
        <v>3</v>
      </c>
      <c r="C5" s="57" t="s">
        <v>4</v>
      </c>
      <c r="D5" s="57" t="s">
        <v>6</v>
      </c>
      <c r="E5" s="57" t="s">
        <v>9</v>
      </c>
      <c r="F5" s="57" t="s">
        <v>10</v>
      </c>
      <c r="G5" s="57"/>
      <c r="H5" s="57"/>
      <c r="I5" s="61">
        <v>13509.2307692308</v>
      </c>
      <c r="J5" s="57" t="str">
        <f t="shared" si="0"/>
        <v>A-&gt;B</v>
      </c>
      <c r="K5" s="59" t="str">
        <f t="shared" si="0"/>
        <v>B-&gt;D</v>
      </c>
      <c r="L5" s="59" t="str">
        <f t="shared" si="0"/>
        <v>D-&gt;G</v>
      </c>
      <c r="M5" s="59" t="str">
        <f t="shared" si="0"/>
        <v>G-&gt;H</v>
      </c>
      <c r="N5" s="59" t="str">
        <f t="shared" si="0"/>
        <v/>
      </c>
      <c r="O5" s="59" t="str">
        <f t="shared" si="0"/>
        <v/>
      </c>
      <c r="P5" s="60" t="s">
        <v>4</v>
      </c>
      <c r="Q5" s="60" t="s">
        <v>5</v>
      </c>
      <c r="R5" s="59">
        <f t="shared" si="1"/>
        <v>46927.403846153815</v>
      </c>
      <c r="S5" s="59">
        <f t="shared" si="2"/>
        <v>58.659254807692278</v>
      </c>
      <c r="U5" s="45" t="s">
        <v>61</v>
      </c>
      <c r="V5" s="50">
        <v>0</v>
      </c>
      <c r="W5" s="50">
        <v>0</v>
      </c>
      <c r="X5" s="50">
        <f>R9</f>
        <v>8293.0769230769201</v>
      </c>
      <c r="Y5" s="50">
        <v>0</v>
      </c>
      <c r="Z5" s="50">
        <v>0</v>
      </c>
      <c r="AA5" s="50">
        <v>0</v>
      </c>
      <c r="AB5" s="50">
        <f>R10</f>
        <v>13509.2307692308</v>
      </c>
      <c r="AC5" s="50">
        <f>R11</f>
        <v>21763.509615384621</v>
      </c>
      <c r="AD5" s="50">
        <f>R12</f>
        <v>61751.394230769198</v>
      </c>
      <c r="AE5" s="50">
        <v>0</v>
      </c>
      <c r="AF5" s="50">
        <v>0</v>
      </c>
      <c r="AG5" s="50">
        <v>0</v>
      </c>
      <c r="AH5" s="50">
        <v>0</v>
      </c>
    </row>
    <row r="6" spans="1:34" x14ac:dyDescent="0.3">
      <c r="A6" s="57" t="s">
        <v>20</v>
      </c>
      <c r="B6" s="57" t="s">
        <v>4</v>
      </c>
      <c r="C6" s="57" t="s">
        <v>5</v>
      </c>
      <c r="D6" s="57" t="s">
        <v>6</v>
      </c>
      <c r="E6" s="57" t="s">
        <v>11</v>
      </c>
      <c r="F6" s="57"/>
      <c r="G6" s="57"/>
      <c r="H6" s="57"/>
      <c r="I6" s="61">
        <v>10488.461538461501</v>
      </c>
      <c r="J6" s="57" t="str">
        <f t="shared" si="0"/>
        <v>B-&gt;C</v>
      </c>
      <c r="K6" s="59" t="str">
        <f t="shared" si="0"/>
        <v>C-&gt;D</v>
      </c>
      <c r="L6" s="59" t="str">
        <f t="shared" si="0"/>
        <v>D-&gt;I</v>
      </c>
      <c r="M6" s="59" t="str">
        <f t="shared" si="0"/>
        <v/>
      </c>
      <c r="N6" s="59" t="str">
        <f t="shared" si="0"/>
        <v/>
      </c>
      <c r="O6" s="59" t="str">
        <f t="shared" si="0"/>
        <v/>
      </c>
      <c r="P6" s="60" t="s">
        <v>4</v>
      </c>
      <c r="Q6" s="60" t="s">
        <v>6</v>
      </c>
      <c r="R6" s="59">
        <f t="shared" si="1"/>
        <v>21802.307692307721</v>
      </c>
      <c r="S6" s="59">
        <f t="shared" si="2"/>
        <v>27.252884615384652</v>
      </c>
      <c r="U6" s="45" t="s">
        <v>62</v>
      </c>
      <c r="V6" s="50">
        <v>0</v>
      </c>
      <c r="W6" s="50">
        <v>0</v>
      </c>
      <c r="X6" s="50">
        <v>0</v>
      </c>
      <c r="Y6" s="50">
        <v>0</v>
      </c>
      <c r="Z6" s="50">
        <v>0</v>
      </c>
      <c r="AA6" s="50">
        <f>R13</f>
        <v>61212.451923076922</v>
      </c>
      <c r="AB6" s="50">
        <f>R14</f>
        <v>54104.615384615332</v>
      </c>
      <c r="AC6" s="50">
        <f>R15</f>
        <v>6041.5384615384601</v>
      </c>
      <c r="AD6" s="50">
        <v>0</v>
      </c>
      <c r="AE6" s="50">
        <v>0</v>
      </c>
      <c r="AF6" s="50">
        <v>0</v>
      </c>
      <c r="AG6" s="50">
        <v>0</v>
      </c>
      <c r="AH6" s="50">
        <v>0</v>
      </c>
    </row>
    <row r="7" spans="1:34" x14ac:dyDescent="0.3">
      <c r="A7" s="57" t="s">
        <v>21</v>
      </c>
      <c r="B7" s="57" t="s">
        <v>3</v>
      </c>
      <c r="C7" s="57" t="s">
        <v>4</v>
      </c>
      <c r="D7" s="57" t="s">
        <v>5</v>
      </c>
      <c r="E7" s="57" t="s">
        <v>6</v>
      </c>
      <c r="F7" s="57" t="s">
        <v>10</v>
      </c>
      <c r="G7" s="57" t="s">
        <v>11</v>
      </c>
      <c r="H7" s="57" t="s">
        <v>12</v>
      </c>
      <c r="I7" s="61">
        <v>5836.0096153846198</v>
      </c>
      <c r="J7" s="57" t="str">
        <f t="shared" si="0"/>
        <v>A-&gt;B</v>
      </c>
      <c r="K7" s="59" t="str">
        <f t="shared" si="0"/>
        <v>B-&gt;C</v>
      </c>
      <c r="L7" s="59" t="str">
        <f t="shared" si="0"/>
        <v>C-&gt;D</v>
      </c>
      <c r="M7" s="59" t="str">
        <f t="shared" si="0"/>
        <v>D-&gt;H</v>
      </c>
      <c r="N7" s="59" t="str">
        <f t="shared" si="0"/>
        <v>H-&gt;I</v>
      </c>
      <c r="O7" s="59" t="str">
        <f t="shared" si="0"/>
        <v>I-&gt;J</v>
      </c>
      <c r="P7" s="60" t="s">
        <v>5</v>
      </c>
      <c r="Q7" s="60" t="s">
        <v>6</v>
      </c>
      <c r="R7" s="59">
        <f t="shared" si="1"/>
        <v>83514.903846153815</v>
      </c>
      <c r="S7" s="59">
        <f t="shared" si="2"/>
        <v>104.39362980769228</v>
      </c>
      <c r="U7" s="45" t="s">
        <v>63</v>
      </c>
      <c r="V7" s="50">
        <v>0</v>
      </c>
      <c r="W7" s="50">
        <v>0</v>
      </c>
      <c r="X7" s="50">
        <f>R16</f>
        <v>20660</v>
      </c>
      <c r="Y7" s="50">
        <v>0</v>
      </c>
      <c r="Z7" s="50">
        <v>0</v>
      </c>
      <c r="AA7" s="50">
        <v>0</v>
      </c>
      <c r="AB7" s="50">
        <f>R17</f>
        <v>54492.500000000022</v>
      </c>
      <c r="AC7" s="50">
        <f>R18</f>
        <v>21084.230769230729</v>
      </c>
      <c r="AD7" s="50">
        <f>R19</f>
        <v>20968.701923076911</v>
      </c>
      <c r="AE7" s="50">
        <v>0</v>
      </c>
      <c r="AF7" s="50">
        <v>0</v>
      </c>
      <c r="AG7" s="50">
        <v>0</v>
      </c>
      <c r="AH7" s="50">
        <v>0</v>
      </c>
    </row>
    <row r="8" spans="1:34" x14ac:dyDescent="0.3">
      <c r="A8" s="57" t="s">
        <v>22</v>
      </c>
      <c r="B8" s="57" t="s">
        <v>7</v>
      </c>
      <c r="C8" s="57" t="s">
        <v>8</v>
      </c>
      <c r="D8" s="57" t="s">
        <v>5</v>
      </c>
      <c r="E8" s="57" t="s">
        <v>6</v>
      </c>
      <c r="F8" s="57" t="s">
        <v>11</v>
      </c>
      <c r="G8" s="57" t="s">
        <v>12</v>
      </c>
      <c r="H8" s="57"/>
      <c r="I8" s="61">
        <v>20660</v>
      </c>
      <c r="J8" s="57" t="str">
        <f t="shared" si="0"/>
        <v>E-&gt;F</v>
      </c>
      <c r="K8" s="59" t="str">
        <f t="shared" si="0"/>
        <v>F-&gt;C</v>
      </c>
      <c r="L8" s="59" t="str">
        <f t="shared" si="0"/>
        <v>C-&gt;D</v>
      </c>
      <c r="M8" s="59" t="str">
        <f t="shared" si="0"/>
        <v>D-&gt;I</v>
      </c>
      <c r="N8" s="59" t="str">
        <f t="shared" si="0"/>
        <v>I-&gt;J</v>
      </c>
      <c r="O8" s="59" t="str">
        <f t="shared" si="0"/>
        <v/>
      </c>
      <c r="P8" s="60" t="s">
        <v>5</v>
      </c>
      <c r="Q8" s="60" t="s">
        <v>11</v>
      </c>
      <c r="R8" s="59">
        <f t="shared" si="1"/>
        <v>8293.0769230769201</v>
      </c>
      <c r="S8" s="59">
        <f t="shared" si="2"/>
        <v>10.36634615384615</v>
      </c>
      <c r="U8" s="45" t="s">
        <v>64</v>
      </c>
      <c r="V8" s="50">
        <v>0</v>
      </c>
      <c r="W8" s="50">
        <v>0</v>
      </c>
      <c r="X8" s="50">
        <v>0</v>
      </c>
      <c r="Y8" s="50">
        <v>0</v>
      </c>
      <c r="Z8" s="50">
        <f>R20</f>
        <v>25073.942307692298</v>
      </c>
      <c r="AA8" s="50">
        <f>R21</f>
        <v>24527.596153846142</v>
      </c>
      <c r="AB8" s="50">
        <v>0</v>
      </c>
      <c r="AC8" s="50">
        <f>R22</f>
        <v>47430.865384615412</v>
      </c>
      <c r="AD8" s="50">
        <f>R23</f>
        <v>25073.942307692298</v>
      </c>
      <c r="AE8" s="50">
        <v>0</v>
      </c>
      <c r="AF8" s="50">
        <v>0</v>
      </c>
      <c r="AG8" s="50">
        <v>0</v>
      </c>
      <c r="AH8" s="50">
        <v>0</v>
      </c>
    </row>
    <row r="9" spans="1:34" x14ac:dyDescent="0.3">
      <c r="A9" s="57" t="s">
        <v>23</v>
      </c>
      <c r="B9" s="57" t="s">
        <v>7</v>
      </c>
      <c r="C9" s="57" t="s">
        <v>10</v>
      </c>
      <c r="D9" s="57" t="s">
        <v>12</v>
      </c>
      <c r="E9" s="57" t="s">
        <v>11</v>
      </c>
      <c r="F9" s="57"/>
      <c r="G9" s="57"/>
      <c r="H9" s="57"/>
      <c r="I9" s="61">
        <v>6041.5384615384601</v>
      </c>
      <c r="J9" s="57" t="str">
        <f t="shared" si="0"/>
        <v>E-&gt;H</v>
      </c>
      <c r="K9" s="59" t="str">
        <f t="shared" si="0"/>
        <v>H-&gt;J</v>
      </c>
      <c r="L9" s="59" t="str">
        <f t="shared" si="0"/>
        <v>J-&gt;I</v>
      </c>
      <c r="M9" s="59" t="str">
        <f t="shared" si="0"/>
        <v/>
      </c>
      <c r="N9" s="59" t="str">
        <f t="shared" si="0"/>
        <v/>
      </c>
      <c r="O9" s="59" t="str">
        <f t="shared" si="0"/>
        <v/>
      </c>
      <c r="P9" s="60" t="s">
        <v>6</v>
      </c>
      <c r="Q9" s="60" t="s">
        <v>5</v>
      </c>
      <c r="R9" s="59">
        <f t="shared" si="1"/>
        <v>8293.0769230769201</v>
      </c>
      <c r="S9" s="59">
        <f t="shared" si="2"/>
        <v>10.36634615384615</v>
      </c>
      <c r="U9" s="45" t="s">
        <v>65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f>R24</f>
        <v>31068.413461538428</v>
      </c>
      <c r="AE9" s="50">
        <f>R25</f>
        <v>24989.807692307691</v>
      </c>
      <c r="AF9" s="50">
        <v>0</v>
      </c>
      <c r="AG9" s="50">
        <v>0</v>
      </c>
      <c r="AH9" s="50">
        <v>0</v>
      </c>
    </row>
    <row r="10" spans="1:34" x14ac:dyDescent="0.3">
      <c r="A10" s="57" t="s">
        <v>24</v>
      </c>
      <c r="B10" s="57" t="s">
        <v>8</v>
      </c>
      <c r="C10" s="57" t="s">
        <v>9</v>
      </c>
      <c r="D10" s="57" t="s">
        <v>7</v>
      </c>
      <c r="E10" s="57" t="s">
        <v>9</v>
      </c>
      <c r="F10" s="57" t="s">
        <v>11</v>
      </c>
      <c r="G10" s="57" t="s">
        <v>12</v>
      </c>
      <c r="H10" s="57"/>
      <c r="I10" s="61">
        <v>13401.9230769231</v>
      </c>
      <c r="J10" s="57" t="str">
        <f t="shared" si="0"/>
        <v>F-&gt;G</v>
      </c>
      <c r="K10" s="59" t="str">
        <f t="shared" si="0"/>
        <v>G-&gt;E</v>
      </c>
      <c r="L10" s="59" t="str">
        <f t="shared" si="0"/>
        <v>E-&gt;G</v>
      </c>
      <c r="M10" s="59" t="str">
        <f t="shared" si="0"/>
        <v>G-&gt;I</v>
      </c>
      <c r="N10" s="59" t="str">
        <f t="shared" si="0"/>
        <v>I-&gt;J</v>
      </c>
      <c r="O10" s="59" t="str">
        <f t="shared" si="0"/>
        <v/>
      </c>
      <c r="P10" s="60" t="s">
        <v>6</v>
      </c>
      <c r="Q10" s="60" t="s">
        <v>9</v>
      </c>
      <c r="R10" s="59">
        <f t="shared" si="1"/>
        <v>13509.2307692308</v>
      </c>
      <c r="S10" s="59">
        <f t="shared" si="2"/>
        <v>16.8865384615385</v>
      </c>
      <c r="U10" s="45" t="s">
        <v>66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f>R26</f>
        <v>117826.10576923075</v>
      </c>
      <c r="AF10" s="50">
        <v>0</v>
      </c>
      <c r="AG10" s="50">
        <v>0</v>
      </c>
      <c r="AH10" s="50">
        <v>0</v>
      </c>
    </row>
    <row r="11" spans="1:34" x14ac:dyDescent="0.3">
      <c r="A11" s="57" t="s">
        <v>25</v>
      </c>
      <c r="B11" s="57" t="s">
        <v>7</v>
      </c>
      <c r="C11" s="57" t="s">
        <v>8</v>
      </c>
      <c r="D11" s="57" t="s">
        <v>11</v>
      </c>
      <c r="E11" s="57" t="s">
        <v>12</v>
      </c>
      <c r="F11" s="57"/>
      <c r="G11" s="57"/>
      <c r="H11" s="57"/>
      <c r="I11" s="61">
        <v>6630.8173076923104</v>
      </c>
      <c r="J11" s="57" t="str">
        <f t="shared" si="0"/>
        <v>E-&gt;F</v>
      </c>
      <c r="K11" s="59" t="str">
        <f t="shared" si="0"/>
        <v>F-&gt;I</v>
      </c>
      <c r="L11" s="59" t="str">
        <f t="shared" si="0"/>
        <v>I-&gt;J</v>
      </c>
      <c r="M11" s="59" t="str">
        <f t="shared" si="0"/>
        <v/>
      </c>
      <c r="N11" s="59" t="str">
        <f t="shared" si="0"/>
        <v/>
      </c>
      <c r="O11" s="59" t="str">
        <f t="shared" si="0"/>
        <v/>
      </c>
      <c r="P11" s="60" t="s">
        <v>6</v>
      </c>
      <c r="Q11" s="60" t="s">
        <v>10</v>
      </c>
      <c r="R11" s="59">
        <f t="shared" si="1"/>
        <v>21763.509615384621</v>
      </c>
      <c r="S11" s="59">
        <f t="shared" si="2"/>
        <v>27.204387019230776</v>
      </c>
      <c r="U11" s="45" t="s">
        <v>67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265</v>
      </c>
      <c r="AE11" s="50">
        <v>0</v>
      </c>
      <c r="AF11" s="50">
        <v>0</v>
      </c>
      <c r="AG11" s="50">
        <v>0</v>
      </c>
      <c r="AH11" s="50">
        <v>0</v>
      </c>
    </row>
    <row r="12" spans="1:34" x14ac:dyDescent="0.3">
      <c r="A12" s="57" t="s">
        <v>26</v>
      </c>
      <c r="B12" s="57" t="s">
        <v>7</v>
      </c>
      <c r="C12" s="57" t="s">
        <v>9</v>
      </c>
      <c r="D12" s="57" t="s">
        <v>7</v>
      </c>
      <c r="E12" s="57" t="s">
        <v>9</v>
      </c>
      <c r="F12" s="57" t="s">
        <v>11</v>
      </c>
      <c r="G12" s="57"/>
      <c r="H12" s="57"/>
      <c r="I12" s="61">
        <v>11672.0192307692</v>
      </c>
      <c r="J12" s="57" t="str">
        <f t="shared" si="0"/>
        <v>E-&gt;G</v>
      </c>
      <c r="K12" s="59" t="str">
        <f t="shared" si="0"/>
        <v>G-&gt;E</v>
      </c>
      <c r="L12" s="59" t="str">
        <f t="shared" si="0"/>
        <v>E-&gt;G</v>
      </c>
      <c r="M12" s="59" t="str">
        <f t="shared" si="0"/>
        <v>G-&gt;I</v>
      </c>
      <c r="N12" s="59" t="str">
        <f t="shared" si="0"/>
        <v/>
      </c>
      <c r="O12" s="59" t="str">
        <f t="shared" si="0"/>
        <v/>
      </c>
      <c r="P12" s="60" t="s">
        <v>6</v>
      </c>
      <c r="Q12" s="60" t="s">
        <v>11</v>
      </c>
      <c r="R12" s="59">
        <f t="shared" si="1"/>
        <v>61751.394230769198</v>
      </c>
      <c r="S12" s="59">
        <f t="shared" si="2"/>
        <v>77.189242788461499</v>
      </c>
      <c r="U12" s="45" t="s">
        <v>68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f>R28</f>
        <v>24420.288461538512</v>
      </c>
      <c r="AH12" s="50">
        <f>R29</f>
        <v>38971.9230769231</v>
      </c>
    </row>
    <row r="13" spans="1:34" x14ac:dyDescent="0.3">
      <c r="A13" s="57" t="s">
        <v>27</v>
      </c>
      <c r="B13" s="57" t="s">
        <v>7</v>
      </c>
      <c r="C13" s="57" t="s">
        <v>9</v>
      </c>
      <c r="D13" s="57" t="s">
        <v>8</v>
      </c>
      <c r="E13" s="57" t="s">
        <v>11</v>
      </c>
      <c r="F13" s="57" t="s">
        <v>12</v>
      </c>
      <c r="G13" s="57"/>
      <c r="H13" s="57"/>
      <c r="I13" s="61">
        <v>14337.884615384601</v>
      </c>
      <c r="J13" s="57" t="str">
        <f t="shared" si="0"/>
        <v>E-&gt;G</v>
      </c>
      <c r="K13" s="59" t="str">
        <f t="shared" si="0"/>
        <v>G-&gt;F</v>
      </c>
      <c r="L13" s="59" t="str">
        <f t="shared" si="0"/>
        <v>F-&gt;I</v>
      </c>
      <c r="M13" s="59" t="str">
        <f t="shared" si="0"/>
        <v>I-&gt;J</v>
      </c>
      <c r="N13" s="59" t="str">
        <f t="shared" si="0"/>
        <v/>
      </c>
      <c r="O13" s="59" t="str">
        <f t="shared" si="0"/>
        <v/>
      </c>
      <c r="P13" s="60" t="s">
        <v>7</v>
      </c>
      <c r="Q13" s="60" t="s">
        <v>8</v>
      </c>
      <c r="R13" s="59">
        <f t="shared" si="1"/>
        <v>61212.451923076922</v>
      </c>
      <c r="S13" s="59">
        <f t="shared" si="2"/>
        <v>76.515564903846155</v>
      </c>
      <c r="U13" s="45" t="s">
        <v>69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f>R30</f>
        <v>38971.9230769231</v>
      </c>
      <c r="AG13" s="50">
        <v>0</v>
      </c>
      <c r="AH13" s="50">
        <f>R31</f>
        <v>65708.942307692312</v>
      </c>
    </row>
    <row r="14" spans="1:34" x14ac:dyDescent="0.3">
      <c r="A14" s="57" t="s">
        <v>28</v>
      </c>
      <c r="B14" s="57" t="s">
        <v>7</v>
      </c>
      <c r="C14" s="57" t="s">
        <v>8</v>
      </c>
      <c r="D14" s="57" t="s">
        <v>9</v>
      </c>
      <c r="E14" s="57" t="s">
        <v>8</v>
      </c>
      <c r="F14" s="57" t="s">
        <v>9</v>
      </c>
      <c r="G14" s="57" t="s">
        <v>10</v>
      </c>
      <c r="H14" s="57" t="s">
        <v>11</v>
      </c>
      <c r="I14" s="61">
        <v>7168.9423076923104</v>
      </c>
      <c r="J14" s="57" t="str">
        <f t="shared" si="0"/>
        <v>E-&gt;F</v>
      </c>
      <c r="K14" s="59" t="str">
        <f t="shared" si="0"/>
        <v>F-&gt;G</v>
      </c>
      <c r="L14" s="59" t="str">
        <f t="shared" si="0"/>
        <v>G-&gt;F</v>
      </c>
      <c r="M14" s="59" t="str">
        <f t="shared" si="0"/>
        <v>F-&gt;G</v>
      </c>
      <c r="N14" s="59" t="str">
        <f t="shared" si="0"/>
        <v>G-&gt;H</v>
      </c>
      <c r="O14" s="59" t="str">
        <f t="shared" si="0"/>
        <v>H-&gt;I</v>
      </c>
      <c r="P14" s="60" t="s">
        <v>7</v>
      </c>
      <c r="Q14" s="60" t="s">
        <v>9</v>
      </c>
      <c r="R14" s="59">
        <f t="shared" si="1"/>
        <v>54104.615384615332</v>
      </c>
      <c r="S14" s="59">
        <f t="shared" si="2"/>
        <v>67.630769230769147</v>
      </c>
      <c r="U14" s="45" t="s">
        <v>70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f>R32</f>
        <v>29270</v>
      </c>
      <c r="AH14" s="50">
        <v>0</v>
      </c>
    </row>
    <row r="15" spans="1:34" x14ac:dyDescent="0.3">
      <c r="A15" s="57" t="s">
        <v>29</v>
      </c>
      <c r="B15" s="57" t="s">
        <v>7</v>
      </c>
      <c r="C15" s="57" t="s">
        <v>8</v>
      </c>
      <c r="D15" s="57" t="s">
        <v>9</v>
      </c>
      <c r="E15" s="57" t="s">
        <v>10</v>
      </c>
      <c r="F15" s="57"/>
      <c r="G15" s="57"/>
      <c r="H15" s="57"/>
      <c r="I15" s="61">
        <v>26752.692307692301</v>
      </c>
      <c r="J15" s="57" t="str">
        <f t="shared" si="0"/>
        <v>E-&gt;F</v>
      </c>
      <c r="K15" s="59" t="str">
        <f t="shared" si="0"/>
        <v>F-&gt;G</v>
      </c>
      <c r="L15" s="59" t="str">
        <f t="shared" si="0"/>
        <v>G-&gt;H</v>
      </c>
      <c r="M15" s="59" t="str">
        <f t="shared" si="0"/>
        <v/>
      </c>
      <c r="N15" s="59" t="str">
        <f t="shared" si="0"/>
        <v/>
      </c>
      <c r="O15" s="59" t="str">
        <f t="shared" si="0"/>
        <v/>
      </c>
      <c r="P15" s="60" t="s">
        <v>7</v>
      </c>
      <c r="Q15" s="60" t="s">
        <v>10</v>
      </c>
      <c r="R15" s="59">
        <f t="shared" si="1"/>
        <v>6041.5384615384601</v>
      </c>
      <c r="S15" s="59">
        <f t="shared" si="2"/>
        <v>7.5519230769230745</v>
      </c>
    </row>
    <row r="16" spans="1:34" x14ac:dyDescent="0.3">
      <c r="A16" s="57" t="s">
        <v>30</v>
      </c>
      <c r="B16" s="57" t="s">
        <v>7</v>
      </c>
      <c r="C16" s="57" t="s">
        <v>9</v>
      </c>
      <c r="D16" s="57" t="s">
        <v>8</v>
      </c>
      <c r="E16" s="57" t="s">
        <v>10</v>
      </c>
      <c r="F16" s="57" t="s">
        <v>12</v>
      </c>
      <c r="G16" s="57"/>
      <c r="H16" s="57"/>
      <c r="I16" s="61">
        <v>3020.76923076923</v>
      </c>
      <c r="J16" s="57" t="str">
        <f t="shared" si="0"/>
        <v>E-&gt;G</v>
      </c>
      <c r="K16" s="59" t="str">
        <f t="shared" si="0"/>
        <v>G-&gt;F</v>
      </c>
      <c r="L16" s="59" t="str">
        <f t="shared" si="0"/>
        <v>F-&gt;H</v>
      </c>
      <c r="M16" s="59" t="str">
        <f t="shared" si="0"/>
        <v>H-&gt;J</v>
      </c>
      <c r="N16" s="59" t="str">
        <f t="shared" si="0"/>
        <v/>
      </c>
      <c r="O16" s="59" t="str">
        <f t="shared" si="0"/>
        <v/>
      </c>
      <c r="P16" s="60" t="s">
        <v>8</v>
      </c>
      <c r="Q16" s="60" t="s">
        <v>5</v>
      </c>
      <c r="R16" s="59">
        <f t="shared" si="1"/>
        <v>20660</v>
      </c>
      <c r="S16" s="59">
        <f t="shared" si="2"/>
        <v>25.824999999999999</v>
      </c>
    </row>
    <row r="17" spans="1:19" x14ac:dyDescent="0.3">
      <c r="A17" s="57" t="s">
        <v>31</v>
      </c>
      <c r="B17" s="57" t="s">
        <v>8</v>
      </c>
      <c r="C17" s="57" t="s">
        <v>10</v>
      </c>
      <c r="D17" s="57" t="s">
        <v>11</v>
      </c>
      <c r="E17" s="57" t="s">
        <v>12</v>
      </c>
      <c r="F17" s="57"/>
      <c r="G17" s="57"/>
      <c r="H17" s="57"/>
      <c r="I17" s="61">
        <v>18063.461538461499</v>
      </c>
      <c r="J17" s="57" t="str">
        <f t="shared" si="0"/>
        <v>F-&gt;H</v>
      </c>
      <c r="K17" s="59" t="str">
        <f t="shared" si="0"/>
        <v>H-&gt;I</v>
      </c>
      <c r="L17" s="59" t="str">
        <f t="shared" si="0"/>
        <v>I-&gt;J</v>
      </c>
      <c r="M17" s="59" t="str">
        <f t="shared" si="0"/>
        <v/>
      </c>
      <c r="N17" s="59" t="str">
        <f t="shared" si="0"/>
        <v/>
      </c>
      <c r="O17" s="59" t="str">
        <f t="shared" si="0"/>
        <v/>
      </c>
      <c r="P17" s="60" t="s">
        <v>8</v>
      </c>
      <c r="Q17" s="60" t="s">
        <v>9</v>
      </c>
      <c r="R17" s="59">
        <f t="shared" si="1"/>
        <v>54492.500000000022</v>
      </c>
      <c r="S17" s="59">
        <f t="shared" si="2"/>
        <v>68.115625000000023</v>
      </c>
    </row>
    <row r="18" spans="1:19" x14ac:dyDescent="0.3">
      <c r="A18" s="57" t="s">
        <v>32</v>
      </c>
      <c r="B18" s="57" t="s">
        <v>13</v>
      </c>
      <c r="C18" s="57" t="s">
        <v>14</v>
      </c>
      <c r="D18" s="57" t="s">
        <v>15</v>
      </c>
      <c r="E18" s="57"/>
      <c r="F18" s="57"/>
      <c r="G18" s="57"/>
      <c r="H18" s="57"/>
      <c r="I18" s="61">
        <v>7168.9423076923104</v>
      </c>
      <c r="J18" s="57" t="str">
        <f t="shared" ref="J18:O36" si="3">IF(AND(B18&lt;&gt;"",C18&lt;&gt;"",B18&lt;&gt;C18),B18&amp;"-&gt;"&amp;C18,"")</f>
        <v>K-&gt;L</v>
      </c>
      <c r="K18" s="59" t="str">
        <f t="shared" si="3"/>
        <v>L-&gt;M</v>
      </c>
      <c r="L18" s="59" t="str">
        <f t="shared" si="3"/>
        <v/>
      </c>
      <c r="M18" s="59" t="str">
        <f t="shared" si="3"/>
        <v/>
      </c>
      <c r="N18" s="59" t="str">
        <f t="shared" si="3"/>
        <v/>
      </c>
      <c r="O18" s="59" t="str">
        <f t="shared" si="3"/>
        <v/>
      </c>
      <c r="P18" s="60" t="s">
        <v>8</v>
      </c>
      <c r="Q18" s="60" t="s">
        <v>10</v>
      </c>
      <c r="R18" s="59">
        <f t="shared" si="1"/>
        <v>21084.230769230729</v>
      </c>
      <c r="S18" s="59">
        <f t="shared" si="2"/>
        <v>26.355288461538411</v>
      </c>
    </row>
    <row r="19" spans="1:19" x14ac:dyDescent="0.3">
      <c r="A19" s="57" t="s">
        <v>33</v>
      </c>
      <c r="B19" s="57" t="s">
        <v>13</v>
      </c>
      <c r="C19" s="57" t="s">
        <v>14</v>
      </c>
      <c r="D19" s="57" t="s">
        <v>13</v>
      </c>
      <c r="E19" s="57" t="s">
        <v>15</v>
      </c>
      <c r="F19" s="57"/>
      <c r="G19" s="57"/>
      <c r="H19" s="57"/>
      <c r="I19" s="61">
        <v>17251.3461538462</v>
      </c>
      <c r="J19" s="57" t="str">
        <f t="shared" si="3"/>
        <v>K-&gt;L</v>
      </c>
      <c r="K19" s="59" t="str">
        <f t="shared" si="3"/>
        <v>L-&gt;K</v>
      </c>
      <c r="L19" s="59" t="str">
        <f t="shared" si="3"/>
        <v>K-&gt;M</v>
      </c>
      <c r="M19" s="59" t="str">
        <f t="shared" si="3"/>
        <v/>
      </c>
      <c r="N19" s="59" t="str">
        <f t="shared" si="3"/>
        <v/>
      </c>
      <c r="O19" s="59" t="str">
        <f t="shared" si="3"/>
        <v/>
      </c>
      <c r="P19" s="60" t="s">
        <v>8</v>
      </c>
      <c r="Q19" s="60" t="s">
        <v>11</v>
      </c>
      <c r="R19" s="59">
        <f t="shared" si="1"/>
        <v>20968.701923076911</v>
      </c>
      <c r="S19" s="59">
        <f t="shared" si="2"/>
        <v>26.210877403846141</v>
      </c>
    </row>
    <row r="20" spans="1:19" x14ac:dyDescent="0.3">
      <c r="A20" s="57" t="s">
        <v>34</v>
      </c>
      <c r="B20" s="57" t="s">
        <v>14</v>
      </c>
      <c r="C20" s="57" t="s">
        <v>15</v>
      </c>
      <c r="D20" s="57" t="s">
        <v>14</v>
      </c>
      <c r="E20" s="57" t="s">
        <v>15</v>
      </c>
      <c r="F20" s="57"/>
      <c r="G20" s="57"/>
      <c r="H20" s="57"/>
      <c r="I20" s="61">
        <v>29270</v>
      </c>
      <c r="J20" s="57" t="str">
        <f t="shared" si="3"/>
        <v>L-&gt;M</v>
      </c>
      <c r="K20" s="59" t="str">
        <f t="shared" si="3"/>
        <v>M-&gt;L</v>
      </c>
      <c r="L20" s="59" t="str">
        <f t="shared" si="3"/>
        <v>L-&gt;M</v>
      </c>
      <c r="M20" s="59" t="str">
        <f t="shared" si="3"/>
        <v/>
      </c>
      <c r="N20" s="59" t="str">
        <f t="shared" si="3"/>
        <v/>
      </c>
      <c r="O20" s="59" t="str">
        <f t="shared" si="3"/>
        <v/>
      </c>
      <c r="P20" s="60" t="s">
        <v>9</v>
      </c>
      <c r="Q20" s="60" t="s">
        <v>7</v>
      </c>
      <c r="R20" s="59">
        <f t="shared" si="1"/>
        <v>25073.942307692298</v>
      </c>
      <c r="S20" s="59">
        <f t="shared" si="2"/>
        <v>31.342427884615375</v>
      </c>
    </row>
    <row r="21" spans="1:19" x14ac:dyDescent="0.3">
      <c r="A21" s="57" t="s">
        <v>35</v>
      </c>
      <c r="B21" s="57" t="s">
        <v>14</v>
      </c>
      <c r="C21" s="57" t="s">
        <v>13</v>
      </c>
      <c r="D21" s="57" t="s">
        <v>15</v>
      </c>
      <c r="E21" s="57"/>
      <c r="F21" s="57"/>
      <c r="G21" s="57"/>
      <c r="H21" s="57"/>
      <c r="I21" s="61">
        <v>21720.5769230769</v>
      </c>
      <c r="J21" s="57" t="str">
        <f t="shared" si="3"/>
        <v>L-&gt;K</v>
      </c>
      <c r="K21" s="59" t="str">
        <f t="shared" si="3"/>
        <v>K-&gt;M</v>
      </c>
      <c r="L21" s="59" t="str">
        <f t="shared" si="3"/>
        <v/>
      </c>
      <c r="M21" s="59" t="str">
        <f t="shared" si="3"/>
        <v/>
      </c>
      <c r="N21" s="59" t="str">
        <f t="shared" si="3"/>
        <v/>
      </c>
      <c r="O21" s="59" t="str">
        <f t="shared" si="3"/>
        <v/>
      </c>
      <c r="P21" s="60" t="s">
        <v>9</v>
      </c>
      <c r="Q21" s="60" t="s">
        <v>8</v>
      </c>
      <c r="R21" s="59">
        <f t="shared" si="1"/>
        <v>24527.596153846142</v>
      </c>
      <c r="S21" s="59">
        <f t="shared" si="2"/>
        <v>30.659495192307677</v>
      </c>
    </row>
    <row r="22" spans="1:19" x14ac:dyDescent="0.3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60" t="s">
        <v>9</v>
      </c>
      <c r="Q22" s="60" t="s">
        <v>10</v>
      </c>
      <c r="R22" s="59">
        <f t="shared" si="1"/>
        <v>47430.865384615412</v>
      </c>
      <c r="S22" s="59">
        <f t="shared" si="2"/>
        <v>59.288581730769266</v>
      </c>
    </row>
    <row r="23" spans="1:19" x14ac:dyDescent="0.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60" t="s">
        <v>9</v>
      </c>
      <c r="Q23" s="60" t="s">
        <v>11</v>
      </c>
      <c r="R23" s="59">
        <f t="shared" si="1"/>
        <v>25073.942307692298</v>
      </c>
      <c r="S23" s="59">
        <f t="shared" si="2"/>
        <v>31.342427884615375</v>
      </c>
    </row>
    <row r="24" spans="1:19" x14ac:dyDescent="0.3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60" t="s">
        <v>10</v>
      </c>
      <c r="Q24" s="60" t="s">
        <v>11</v>
      </c>
      <c r="R24" s="59">
        <f t="shared" si="1"/>
        <v>31068.413461538428</v>
      </c>
      <c r="S24" s="59">
        <f t="shared" si="2"/>
        <v>38.83551682692304</v>
      </c>
    </row>
    <row r="25" spans="1:19" x14ac:dyDescent="0.3">
      <c r="A25" s="61" t="s">
        <v>125</v>
      </c>
      <c r="B25" s="61" t="s">
        <v>54</v>
      </c>
      <c r="C25" s="57" t="s">
        <v>126</v>
      </c>
      <c r="D25" s="57" t="s">
        <v>127</v>
      </c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60" t="s">
        <v>10</v>
      </c>
      <c r="Q25" s="60" t="s">
        <v>12</v>
      </c>
      <c r="R25" s="59">
        <f t="shared" si="1"/>
        <v>24989.807692307691</v>
      </c>
      <c r="S25" s="59">
        <f t="shared" si="2"/>
        <v>31.237259615384612</v>
      </c>
    </row>
    <row r="26" spans="1:19" x14ac:dyDescent="0.3">
      <c r="A26" s="61" t="s">
        <v>16</v>
      </c>
      <c r="B26" s="61">
        <v>30602.932692307699</v>
      </c>
      <c r="C26" s="57">
        <f>B26/10</f>
        <v>3060.29326923077</v>
      </c>
      <c r="D26" s="57">
        <f>C26/16/5</f>
        <v>38.253665865384626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60" t="s">
        <v>11</v>
      </c>
      <c r="Q26" s="60" t="s">
        <v>12</v>
      </c>
      <c r="R26" s="59">
        <f t="shared" si="1"/>
        <v>117826.10576923075</v>
      </c>
      <c r="S26" s="59">
        <f t="shared" si="2"/>
        <v>147.28263221153844</v>
      </c>
    </row>
    <row r="27" spans="1:19" x14ac:dyDescent="0.3">
      <c r="A27" s="61" t="s">
        <v>17</v>
      </c>
      <c r="B27" s="61">
        <v>15927.5</v>
      </c>
      <c r="C27" s="57">
        <f t="shared" ref="C27:C45" si="4">B27/10</f>
        <v>1592.75</v>
      </c>
      <c r="D27" s="57">
        <f t="shared" ref="D27:D45" si="5">C27/16/5</f>
        <v>19.909375000000001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60" t="s">
        <v>67</v>
      </c>
      <c r="Q27" s="60" t="s">
        <v>66</v>
      </c>
      <c r="R27" s="59">
        <f t="shared" si="1"/>
        <v>6041.5384615384601</v>
      </c>
      <c r="S27" s="59">
        <f t="shared" si="2"/>
        <v>7.5519230769230745</v>
      </c>
    </row>
    <row r="28" spans="1:19" x14ac:dyDescent="0.3">
      <c r="A28" s="61" t="s">
        <v>18</v>
      </c>
      <c r="B28" s="61">
        <v>8293.0769230769201</v>
      </c>
      <c r="C28" s="57">
        <f t="shared" si="4"/>
        <v>829.30769230769204</v>
      </c>
      <c r="D28" s="57">
        <f t="shared" si="5"/>
        <v>10.36634615384615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60" t="s">
        <v>13</v>
      </c>
      <c r="Q28" s="60" t="s">
        <v>14</v>
      </c>
      <c r="R28" s="59">
        <f>SUMPRODUCT($I$2:$I$21*(($J$2:$J$21=$P28&amp;"-&gt;"&amp;$Q28)+($K$2:$K$21=$P28&amp;"-&gt;"&amp;$Q28)+($L$2:$L$21=$P28&amp;"-&gt;"&amp;$Q28)+($M$2:$M$21=$P28&amp;"-&gt;"&amp;$Q28)+($N$2:$N$21=$P28&amp;"-&gt;"&amp;$Q28)+($O$2:$O$21=$P28&amp;"-&gt;"&amp;$Q28)))</f>
        <v>24420.288461538512</v>
      </c>
      <c r="S28" s="59">
        <f>SUMPRODUCT($D$26:$D$45*(($J$2:$J$21=$P28&amp;"-&gt;"&amp;$Q28)+($K$2:$K$21=$P28&amp;"-&gt;"&amp;$Q28)+($L$2:$L$21=$P28&amp;"-&gt;"&amp;$Q28)+($M$2:$M$21=$P28&amp;"-&gt;"&amp;$Q28)+($N$2:$N$21=$P28&amp;"-&gt;"&amp;$Q28)+($O$2:$O$21=$P28&amp;"-&gt;"&amp;$Q28)))</f>
        <v>30.525360576923138</v>
      </c>
    </row>
    <row r="29" spans="1:19" x14ac:dyDescent="0.3">
      <c r="A29" s="61" t="s">
        <v>19</v>
      </c>
      <c r="B29" s="61">
        <v>13509.2307692308</v>
      </c>
      <c r="C29" s="57">
        <f t="shared" si="4"/>
        <v>1350.9230769230801</v>
      </c>
      <c r="D29" s="57">
        <f t="shared" si="5"/>
        <v>16.8865384615385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60" t="s">
        <v>13</v>
      </c>
      <c r="Q29" s="60" t="s">
        <v>15</v>
      </c>
      <c r="R29" s="59">
        <f>SUMPRODUCT($I$2:$I$21*(($J$2:$J$21=$P29&amp;"-&gt;"&amp;$Q29)+($K$2:$K$21=$P29&amp;"-&gt;"&amp;$Q29)+($L$2:$L$21=$P29&amp;"-&gt;"&amp;$Q29)+($M$2:$M$21=$P29&amp;"-&gt;"&amp;$Q29)+($N$2:$N$21=$P29&amp;"-&gt;"&amp;$Q29)+($O$2:$O$21=$P29&amp;"-&gt;"&amp;$Q29)))</f>
        <v>38971.9230769231</v>
      </c>
      <c r="S29" s="59">
        <f>SUMPRODUCT($D$26:$D$45*(($J$2:$J$21=$P29&amp;"-&gt;"&amp;$Q29)+($K$2:$K$21=$P29&amp;"-&gt;"&amp;$Q29)+($L$2:$L$21=$P29&amp;"-&gt;"&amp;$Q29)+($M$2:$M$21=$P29&amp;"-&gt;"&amp;$Q29)+($N$2:$N$21=$P29&amp;"-&gt;"&amp;$Q29)+($O$2:$O$21=$P29&amp;"-&gt;"&amp;$Q29)))</f>
        <v>48.714903846153874</v>
      </c>
    </row>
    <row r="30" spans="1:19" x14ac:dyDescent="0.3">
      <c r="A30" s="61" t="s">
        <v>20</v>
      </c>
      <c r="B30" s="61">
        <v>10488.461538461501</v>
      </c>
      <c r="C30" s="57">
        <f t="shared" si="4"/>
        <v>1048.8461538461502</v>
      </c>
      <c r="D30" s="57">
        <f t="shared" si="5"/>
        <v>13.110576923076877</v>
      </c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60" t="s">
        <v>14</v>
      </c>
      <c r="Q30" s="60" t="s">
        <v>13</v>
      </c>
      <c r="R30" s="59">
        <f>SUMPRODUCT($I$2:$I$21*(($J$2:$J$21=$P30&amp;"-&gt;"&amp;$Q30)+($K$2:$K$21=$P30&amp;"-&gt;"&amp;$Q30)+($L$2:$L$21=$P30&amp;"-&gt;"&amp;$Q30)+($M$2:$M$21=$P30&amp;"-&gt;"&amp;$Q30)+($N$2:$N$21=$P30&amp;"-&gt;"&amp;$Q30)+($O$2:$O$21=$P30&amp;"-&gt;"&amp;$Q30)))</f>
        <v>38971.9230769231</v>
      </c>
      <c r="S30" s="59">
        <f>SUMPRODUCT($D$26:$D$45*(($J$2:$J$21=$P30&amp;"-&gt;"&amp;$Q30)+($K$2:$K$21=$P30&amp;"-&gt;"&amp;$Q30)+($L$2:$L$21=$P30&amp;"-&gt;"&amp;$Q30)+($M$2:$M$21=$P30&amp;"-&gt;"&amp;$Q30)+($N$2:$N$21=$P30&amp;"-&gt;"&amp;$Q30)+($O$2:$O$21=$P30&amp;"-&gt;"&amp;$Q30)))</f>
        <v>48.714903846153874</v>
      </c>
    </row>
    <row r="31" spans="1:19" x14ac:dyDescent="0.3">
      <c r="A31" s="61" t="s">
        <v>21</v>
      </c>
      <c r="B31" s="61">
        <v>5836.0096153846198</v>
      </c>
      <c r="C31" s="57">
        <f t="shared" si="4"/>
        <v>583.600961538462</v>
      </c>
      <c r="D31" s="57">
        <f t="shared" si="5"/>
        <v>7.295012019230775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60" t="s">
        <v>14</v>
      </c>
      <c r="Q31" s="60" t="s">
        <v>15</v>
      </c>
      <c r="R31" s="59">
        <f>SUMPRODUCT($I$2:$I$21*(($J$2:$J$21=$P31&amp;"-&gt;"&amp;$Q31)+($K$2:$K$21=$P31&amp;"-&gt;"&amp;$Q31)+($L$2:$L$21=$P31&amp;"-&gt;"&amp;$Q31)+($M$2:$M$21=$P31&amp;"-&gt;"&amp;$Q31)+($N$2:$N$21=$P31&amp;"-&gt;"&amp;$Q31)+($O$2:$O$21=$P31&amp;"-&gt;"&amp;$Q31)))</f>
        <v>65708.942307692312</v>
      </c>
      <c r="S31" s="59">
        <f>SUMPRODUCT($D$26:$D$45*(($J$2:$J$21=$P31&amp;"-&gt;"&amp;$Q31)+($K$2:$K$21=$P31&amp;"-&gt;"&amp;$Q31)+($L$2:$L$21=$P31&amp;"-&gt;"&amp;$Q31)+($M$2:$M$21=$P31&amp;"-&gt;"&amp;$Q31)+($N$2:$N$21=$P31&amp;"-&gt;"&amp;$Q31)+($O$2:$O$21=$P31&amp;"-&gt;"&amp;$Q31)))</f>
        <v>82.136177884615392</v>
      </c>
    </row>
    <row r="32" spans="1:19" x14ac:dyDescent="0.3">
      <c r="A32" s="61" t="s">
        <v>22</v>
      </c>
      <c r="B32" s="61">
        <v>20660</v>
      </c>
      <c r="C32" s="57">
        <f t="shared" si="4"/>
        <v>2066</v>
      </c>
      <c r="D32" s="57">
        <f t="shared" si="5"/>
        <v>25.824999999999999</v>
      </c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62" t="s">
        <v>70</v>
      </c>
      <c r="Q32" s="62" t="s">
        <v>69</v>
      </c>
      <c r="R32" s="59">
        <f>SUMPRODUCT($I$2:$I$21*(($J$2:$J$21=$P32&amp;"-&gt;"&amp;$Q32)+($K$2:$K$21=$P32&amp;"-&gt;"&amp;$Q32)+($L$2:$L$21=$P32&amp;"-&gt;"&amp;$Q32)+($M$2:$M$21=$P32&amp;"-&gt;"&amp;$Q32)+($N$2:$N$21=$P32&amp;"-&gt;"&amp;$Q32)+($O$2:$O$21=$P32&amp;"-&gt;"&amp;$Q32)))</f>
        <v>29270</v>
      </c>
      <c r="S32" s="59">
        <f>SUMPRODUCT($D$26:$D$45*(($J$2:$J$21=$P32&amp;"-&gt;"&amp;$Q32)+($K$2:$K$21=$P32&amp;"-&gt;"&amp;$Q32)+($L$2:$L$21=$P32&amp;"-&gt;"&amp;$Q32)+($M$2:$M$21=$P32&amp;"-&gt;"&amp;$Q32)+($N$2:$N$21=$P32&amp;"-&gt;"&amp;$Q32)+($O$2:$O$21=$P32&amp;"-&gt;"&amp;$Q32)))</f>
        <v>36.587499999999999</v>
      </c>
    </row>
    <row r="33" spans="1:19" x14ac:dyDescent="0.3">
      <c r="A33" s="61" t="s">
        <v>23</v>
      </c>
      <c r="B33" s="61">
        <v>6041.5384615384601</v>
      </c>
      <c r="C33" s="57">
        <f t="shared" si="4"/>
        <v>604.15384615384596</v>
      </c>
      <c r="D33" s="57">
        <f t="shared" si="5"/>
        <v>7.5519230769230745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</row>
    <row r="34" spans="1:19" x14ac:dyDescent="0.3">
      <c r="A34" s="61" t="s">
        <v>24</v>
      </c>
      <c r="B34" s="61">
        <v>13401.9230769231</v>
      </c>
      <c r="C34" s="57">
        <f t="shared" si="4"/>
        <v>1340.1923076923099</v>
      </c>
      <c r="D34" s="57">
        <f t="shared" si="5"/>
        <v>16.752403846153875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</row>
    <row r="35" spans="1:19" x14ac:dyDescent="0.3">
      <c r="A35" s="61" t="s">
        <v>25</v>
      </c>
      <c r="B35" s="61">
        <v>6630.8173076923104</v>
      </c>
      <c r="C35" s="57">
        <f t="shared" si="4"/>
        <v>663.08173076923106</v>
      </c>
      <c r="D35" s="57">
        <f t="shared" si="5"/>
        <v>8.2885216346153889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</row>
    <row r="36" spans="1:19" x14ac:dyDescent="0.3">
      <c r="A36" s="61" t="s">
        <v>26</v>
      </c>
      <c r="B36" s="61">
        <v>11672.0192307692</v>
      </c>
      <c r="C36" s="57">
        <f t="shared" si="4"/>
        <v>1167.2019230769199</v>
      </c>
      <c r="D36" s="57">
        <f t="shared" si="5"/>
        <v>14.590024038461499</v>
      </c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</row>
    <row r="37" spans="1:19" x14ac:dyDescent="0.3">
      <c r="A37" s="61" t="s">
        <v>27</v>
      </c>
      <c r="B37" s="61">
        <v>14337.884615384601</v>
      </c>
      <c r="C37" s="57">
        <f t="shared" si="4"/>
        <v>1433.7884615384601</v>
      </c>
      <c r="D37" s="57">
        <f t="shared" si="5"/>
        <v>17.922355769230752</v>
      </c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</row>
    <row r="38" spans="1:19" x14ac:dyDescent="0.3">
      <c r="A38" s="61" t="s">
        <v>28</v>
      </c>
      <c r="B38" s="61">
        <v>7168.9423076923104</v>
      </c>
      <c r="C38" s="57">
        <f t="shared" si="4"/>
        <v>716.89423076923106</v>
      </c>
      <c r="D38" s="57">
        <f t="shared" si="5"/>
        <v>8.9611778846153882</v>
      </c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</row>
    <row r="39" spans="1:19" x14ac:dyDescent="0.3">
      <c r="A39" s="61" t="s">
        <v>29</v>
      </c>
      <c r="B39" s="61">
        <v>26752.692307692301</v>
      </c>
      <c r="C39" s="57">
        <f t="shared" si="4"/>
        <v>2675.26923076923</v>
      </c>
      <c r="D39" s="57">
        <f t="shared" si="5"/>
        <v>33.440865384615378</v>
      </c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</row>
    <row r="40" spans="1:19" x14ac:dyDescent="0.3">
      <c r="A40" s="61" t="s">
        <v>30</v>
      </c>
      <c r="B40" s="61">
        <v>3020.76923076923</v>
      </c>
      <c r="C40" s="57">
        <f t="shared" si="4"/>
        <v>302.07692307692298</v>
      </c>
      <c r="D40" s="57">
        <f t="shared" si="5"/>
        <v>3.7759615384615373</v>
      </c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</row>
    <row r="41" spans="1:19" x14ac:dyDescent="0.3">
      <c r="A41" s="61" t="s">
        <v>31</v>
      </c>
      <c r="B41" s="61">
        <v>18063.461538461499</v>
      </c>
      <c r="C41" s="57">
        <f t="shared" si="4"/>
        <v>1806.3461538461499</v>
      </c>
      <c r="D41" s="57">
        <f t="shared" si="5"/>
        <v>22.579326923076874</v>
      </c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</row>
    <row r="42" spans="1:19" x14ac:dyDescent="0.3">
      <c r="A42" s="61" t="s">
        <v>32</v>
      </c>
      <c r="B42" s="61">
        <v>7168.9423076923104</v>
      </c>
      <c r="C42" s="57">
        <f t="shared" si="4"/>
        <v>716.89423076923106</v>
      </c>
      <c r="D42" s="57">
        <f t="shared" si="5"/>
        <v>8.9611778846153882</v>
      </c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</row>
    <row r="43" spans="1:19" x14ac:dyDescent="0.3">
      <c r="A43" s="61" t="s">
        <v>33</v>
      </c>
      <c r="B43" s="61">
        <v>17251.3461538462</v>
      </c>
      <c r="C43" s="57">
        <f t="shared" si="4"/>
        <v>1725.13461538462</v>
      </c>
      <c r="D43" s="57">
        <f t="shared" si="5"/>
        <v>21.56418269230775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</row>
    <row r="44" spans="1:19" x14ac:dyDescent="0.3">
      <c r="A44" s="61" t="s">
        <v>34</v>
      </c>
      <c r="B44" s="61">
        <v>29270</v>
      </c>
      <c r="C44" s="57">
        <f t="shared" si="4"/>
        <v>2927</v>
      </c>
      <c r="D44" s="57">
        <f t="shared" si="5"/>
        <v>36.587499999999999</v>
      </c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</row>
    <row r="45" spans="1:19" x14ac:dyDescent="0.3">
      <c r="A45" s="61" t="s">
        <v>35</v>
      </c>
      <c r="B45" s="61">
        <v>21720.5769230769</v>
      </c>
      <c r="C45" s="57">
        <f t="shared" si="4"/>
        <v>2172.0576923076901</v>
      </c>
      <c r="D45" s="57">
        <f t="shared" si="5"/>
        <v>27.150721153846128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F348-3A56-40D6-A728-2BF8826ABFA7}">
  <dimension ref="A1:N48"/>
  <sheetViews>
    <sheetView topLeftCell="A34" zoomScale="82" zoomScaleNormal="40" workbookViewId="0">
      <selection activeCell="B52" sqref="B52"/>
    </sheetView>
  </sheetViews>
  <sheetFormatPr defaultRowHeight="16.2" x14ac:dyDescent="0.3"/>
  <cols>
    <col min="2" max="2" width="35.33203125" bestFit="1" customWidth="1"/>
    <col min="3" max="3" width="17.6640625" bestFit="1" customWidth="1"/>
    <col min="4" max="4" width="17.44140625" bestFit="1" customWidth="1"/>
    <col min="5" max="5" width="14.21875" bestFit="1" customWidth="1"/>
    <col min="6" max="6" width="12.88671875" bestFit="1" customWidth="1"/>
  </cols>
  <sheetData>
    <row r="1" spans="1:6" x14ac:dyDescent="0.3">
      <c r="A1" t="s">
        <v>105</v>
      </c>
      <c r="B1" t="s">
        <v>54</v>
      </c>
      <c r="C1" t="s">
        <v>100</v>
      </c>
      <c r="D1" t="s">
        <v>87</v>
      </c>
      <c r="E1" s="48" t="s">
        <v>86</v>
      </c>
      <c r="F1" t="s">
        <v>88</v>
      </c>
    </row>
    <row r="2" spans="1:6" x14ac:dyDescent="0.3">
      <c r="A2">
        <v>2</v>
      </c>
      <c r="B2" s="49">
        <f>SUM('Y2'!D2:D21)</f>
        <v>333058.77500000002</v>
      </c>
      <c r="C2" s="28">
        <f>'Y2'!L107</f>
        <v>18309166.666666668</v>
      </c>
      <c r="D2" s="28">
        <f>'Y2'!L108</f>
        <v>147470400</v>
      </c>
      <c r="E2" s="28">
        <f>'Y2'!L109</f>
        <v>75852000</v>
      </c>
      <c r="F2" s="28">
        <f>'Y2'!L110</f>
        <v>241631566.66666666</v>
      </c>
    </row>
    <row r="3" spans="1:6" x14ac:dyDescent="0.3">
      <c r="A3">
        <v>3</v>
      </c>
      <c r="B3" s="49">
        <f>SUM('Y3'!D2:D21)</f>
        <v>336238.15</v>
      </c>
      <c r="C3" s="28">
        <f>'Y3'!L107</f>
        <v>18501666.666666664</v>
      </c>
      <c r="D3" s="28">
        <f>'Y3'!L108</f>
        <v>149077600</v>
      </c>
      <c r="E3" s="28">
        <f>'Y3'!L109</f>
        <v>75852000</v>
      </c>
      <c r="F3" s="28">
        <f>'Y3'!L110</f>
        <v>243431266.66666666</v>
      </c>
    </row>
    <row r="4" spans="1:6" x14ac:dyDescent="0.3">
      <c r="A4">
        <v>4</v>
      </c>
      <c r="B4" s="49">
        <f>SUM('Y4'!D2:D21)</f>
        <v>339417.52499999997</v>
      </c>
      <c r="C4" s="28">
        <f>'Y4'!L107</f>
        <v>18750416.666666668</v>
      </c>
      <c r="D4" s="28">
        <f>'Y4'!L108</f>
        <v>151272800</v>
      </c>
      <c r="E4" s="28">
        <f>'Y4'!L109</f>
        <v>75852000</v>
      </c>
      <c r="F4" s="28">
        <f>'Y4'!L110</f>
        <v>245875216.66666666</v>
      </c>
    </row>
    <row r="5" spans="1:6" x14ac:dyDescent="0.3">
      <c r="A5">
        <v>5</v>
      </c>
      <c r="B5" s="49">
        <f>SUM('Y5'!D2:D21)</f>
        <v>339685.77499999997</v>
      </c>
      <c r="C5" s="28">
        <f>'Y5'!L107</f>
        <v>18740000</v>
      </c>
      <c r="D5" s="28">
        <f>'Y5'!L108</f>
        <v>151586400</v>
      </c>
      <c r="E5" s="28">
        <f>'Y5'!L109</f>
        <v>75852000</v>
      </c>
      <c r="F5" s="28">
        <f>'Y5'!L110</f>
        <v>246178400</v>
      </c>
    </row>
    <row r="36" spans="1:14" x14ac:dyDescent="0.3">
      <c r="A36" t="s">
        <v>41</v>
      </c>
    </row>
    <row r="37" spans="1:14" x14ac:dyDescent="0.3">
      <c r="A37" t="s">
        <v>105</v>
      </c>
      <c r="B37" t="s">
        <v>3</v>
      </c>
      <c r="C37" t="s">
        <v>4</v>
      </c>
      <c r="D37" t="s">
        <v>5</v>
      </c>
      <c r="E37" t="s">
        <v>6</v>
      </c>
      <c r="F37" t="s">
        <v>7</v>
      </c>
      <c r="G37" t="s">
        <v>8</v>
      </c>
      <c r="H37" t="s">
        <v>9</v>
      </c>
      <c r="I37" t="s">
        <v>10</v>
      </c>
      <c r="J37" t="s">
        <v>11</v>
      </c>
      <c r="K37" t="s">
        <v>12</v>
      </c>
      <c r="L37" t="s">
        <v>13</v>
      </c>
      <c r="M37" t="s">
        <v>14</v>
      </c>
      <c r="N37" t="s">
        <v>15</v>
      </c>
    </row>
    <row r="38" spans="1:14" x14ac:dyDescent="0.3">
      <c r="A38">
        <v>2</v>
      </c>
      <c r="B38">
        <v>19</v>
      </c>
      <c r="C38">
        <v>58</v>
      </c>
      <c r="D38">
        <v>16</v>
      </c>
      <c r="E38">
        <v>84</v>
      </c>
      <c r="F38">
        <v>39</v>
      </c>
      <c r="G38">
        <v>44</v>
      </c>
      <c r="H38">
        <v>16</v>
      </c>
      <c r="I38">
        <v>56</v>
      </c>
      <c r="J38">
        <v>53</v>
      </c>
      <c r="K38">
        <v>92</v>
      </c>
      <c r="L38">
        <v>13</v>
      </c>
      <c r="M38">
        <v>57</v>
      </c>
      <c r="N38">
        <v>92</v>
      </c>
    </row>
    <row r="39" spans="1:14" x14ac:dyDescent="0.3">
      <c r="A39">
        <v>3</v>
      </c>
      <c r="B39">
        <v>20</v>
      </c>
      <c r="C39">
        <v>60</v>
      </c>
      <c r="D39">
        <v>16</v>
      </c>
      <c r="E39">
        <v>84</v>
      </c>
      <c r="F39">
        <v>39</v>
      </c>
      <c r="G39">
        <v>44</v>
      </c>
      <c r="H39">
        <v>16</v>
      </c>
      <c r="I39">
        <v>57</v>
      </c>
      <c r="J39">
        <v>53</v>
      </c>
      <c r="K39">
        <v>93</v>
      </c>
      <c r="L39">
        <v>13</v>
      </c>
      <c r="M39">
        <v>59</v>
      </c>
      <c r="N39">
        <v>94</v>
      </c>
    </row>
    <row r="40" spans="1:14" x14ac:dyDescent="0.3">
      <c r="A40">
        <v>4</v>
      </c>
      <c r="B40">
        <v>20</v>
      </c>
      <c r="C40">
        <v>62</v>
      </c>
      <c r="D40">
        <v>16</v>
      </c>
      <c r="E40">
        <v>85</v>
      </c>
      <c r="F40">
        <v>39</v>
      </c>
      <c r="G40">
        <v>43</v>
      </c>
      <c r="H40">
        <v>16</v>
      </c>
      <c r="I40">
        <v>59</v>
      </c>
      <c r="J40">
        <v>54</v>
      </c>
      <c r="K40">
        <v>94</v>
      </c>
      <c r="L40">
        <v>13</v>
      </c>
      <c r="M40">
        <v>60</v>
      </c>
      <c r="N40">
        <v>95</v>
      </c>
    </row>
    <row r="41" spans="1:14" x14ac:dyDescent="0.3">
      <c r="A41">
        <v>5</v>
      </c>
      <c r="B41">
        <v>20</v>
      </c>
      <c r="C41">
        <v>64</v>
      </c>
      <c r="D41">
        <v>16</v>
      </c>
      <c r="E41">
        <v>85</v>
      </c>
      <c r="F41">
        <v>39</v>
      </c>
      <c r="G41">
        <v>42</v>
      </c>
      <c r="H41">
        <v>15</v>
      </c>
      <c r="I41">
        <v>59</v>
      </c>
      <c r="J41">
        <v>55</v>
      </c>
      <c r="K41">
        <v>94</v>
      </c>
      <c r="L41">
        <v>12</v>
      </c>
      <c r="M41">
        <v>60</v>
      </c>
      <c r="N41">
        <v>96</v>
      </c>
    </row>
    <row r="43" spans="1:14" x14ac:dyDescent="0.3">
      <c r="A43" t="s">
        <v>92</v>
      </c>
    </row>
    <row r="44" spans="1:14" x14ac:dyDescent="0.3">
      <c r="A44" t="s">
        <v>105</v>
      </c>
      <c r="B44" t="s">
        <v>3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</row>
    <row r="45" spans="1:14" x14ac:dyDescent="0.3">
      <c r="A45">
        <v>2</v>
      </c>
      <c r="B45">
        <v>2</v>
      </c>
      <c r="C45">
        <v>6</v>
      </c>
      <c r="D45">
        <v>2</v>
      </c>
      <c r="E45">
        <v>11</v>
      </c>
      <c r="F45">
        <v>6</v>
      </c>
      <c r="G45">
        <v>5</v>
      </c>
      <c r="H45">
        <v>2</v>
      </c>
      <c r="I45">
        <v>6</v>
      </c>
      <c r="J45">
        <v>7</v>
      </c>
      <c r="K45">
        <v>12</v>
      </c>
      <c r="L45">
        <v>2</v>
      </c>
      <c r="M45">
        <v>7</v>
      </c>
      <c r="N45">
        <v>12</v>
      </c>
    </row>
    <row r="46" spans="1:14" x14ac:dyDescent="0.3">
      <c r="A46">
        <v>3</v>
      </c>
      <c r="B46">
        <v>1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0</v>
      </c>
      <c r="M46">
        <v>2</v>
      </c>
      <c r="N46">
        <v>2</v>
      </c>
    </row>
    <row r="47" spans="1:14" x14ac:dyDescent="0.3">
      <c r="A47">
        <v>4</v>
      </c>
      <c r="B47">
        <v>0</v>
      </c>
      <c r="C47">
        <v>2</v>
      </c>
      <c r="D47">
        <v>0</v>
      </c>
      <c r="E47">
        <v>1</v>
      </c>
      <c r="F47">
        <v>0</v>
      </c>
      <c r="G47">
        <v>-1</v>
      </c>
      <c r="H47">
        <v>0</v>
      </c>
      <c r="I47">
        <v>2</v>
      </c>
      <c r="J47">
        <v>1</v>
      </c>
      <c r="K47">
        <v>1</v>
      </c>
      <c r="L47">
        <v>0</v>
      </c>
      <c r="M47">
        <v>1</v>
      </c>
      <c r="N47">
        <v>1</v>
      </c>
    </row>
    <row r="48" spans="1:14" x14ac:dyDescent="0.3">
      <c r="A48">
        <v>5</v>
      </c>
      <c r="B48">
        <v>0</v>
      </c>
      <c r="C48">
        <v>2</v>
      </c>
      <c r="D48">
        <v>0</v>
      </c>
      <c r="E48">
        <v>0</v>
      </c>
      <c r="F48">
        <v>0</v>
      </c>
      <c r="G48">
        <v>-1</v>
      </c>
      <c r="H48">
        <v>-1</v>
      </c>
      <c r="I48">
        <v>0</v>
      </c>
      <c r="J48">
        <v>1</v>
      </c>
      <c r="K48">
        <v>0</v>
      </c>
      <c r="L48">
        <v>-1</v>
      </c>
      <c r="M48">
        <v>0</v>
      </c>
      <c r="N48">
        <v>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Y1(Task3)</vt:lpstr>
      <vt:lpstr>Y2</vt:lpstr>
      <vt:lpstr>Y3</vt:lpstr>
      <vt:lpstr>Y4</vt:lpstr>
      <vt:lpstr>Y5</vt:lpstr>
      <vt:lpstr>Flow traffic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He, Tsai-Yun</cp:lastModifiedBy>
  <dcterms:created xsi:type="dcterms:W3CDTF">2025-11-03T20:10:51Z</dcterms:created>
  <dcterms:modified xsi:type="dcterms:W3CDTF">2025-11-14T04:01:29Z</dcterms:modified>
</cp:coreProperties>
</file>
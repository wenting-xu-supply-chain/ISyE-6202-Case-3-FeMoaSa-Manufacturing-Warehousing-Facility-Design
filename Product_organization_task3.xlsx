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ason\Desktop\GaTech\6202 Warehousing Systems\"/>
    </mc:Choice>
  </mc:AlternateContent>
  <xr:revisionPtr revIDLastSave="0" documentId="13_ncr:1_{0463799F-4ECC-475A-8C48-BFE16FB087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  <sheet name="工作表2" sheetId="2" r:id="rId2"/>
    <sheet name="UT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7" i="1" l="1"/>
  <c r="R47" i="2"/>
  <c r="R43" i="2"/>
  <c r="R41" i="2"/>
  <c r="Q37" i="2"/>
  <c r="Q32" i="2"/>
  <c r="Q27" i="2"/>
  <c r="Q22" i="2"/>
  <c r="AA44" i="2"/>
  <c r="AA43" i="2"/>
  <c r="Y39" i="2"/>
  <c r="Y34" i="2"/>
  <c r="Y29" i="2"/>
  <c r="Y24" i="2"/>
  <c r="Y19" i="2"/>
  <c r="Y43" i="2"/>
  <c r="O2" i="1"/>
  <c r="O7" i="1"/>
  <c r="O12" i="1"/>
  <c r="O17" i="1"/>
  <c r="O22" i="1"/>
  <c r="U22" i="1" l="1"/>
  <c r="U17" i="1"/>
  <c r="U12" i="1"/>
  <c r="U7" i="1"/>
  <c r="U2" i="1"/>
  <c r="U26" i="1" l="1"/>
  <c r="B4" i="1"/>
  <c r="B3" i="1"/>
  <c r="AV82" i="3"/>
  <c r="AV78" i="3"/>
  <c r="AV77" i="3"/>
  <c r="AV73" i="3"/>
  <c r="AV72" i="3"/>
  <c r="AV81" i="3"/>
  <c r="AV80" i="3"/>
  <c r="AV79" i="3"/>
  <c r="AV74" i="3"/>
  <c r="AV71" i="3"/>
  <c r="AV70" i="3"/>
  <c r="AV69" i="3"/>
  <c r="AV75" i="3"/>
  <c r="AV76" i="3"/>
  <c r="AV66" i="3"/>
  <c r="AV65" i="3"/>
  <c r="AV64" i="3"/>
  <c r="AV61" i="3"/>
  <c r="AV60" i="3"/>
  <c r="AV58" i="3"/>
  <c r="AV63" i="3"/>
  <c r="AV62" i="3"/>
  <c r="AV57" i="3"/>
  <c r="AV56" i="3"/>
  <c r="AV55" i="3"/>
  <c r="AV54" i="3"/>
  <c r="AV53" i="3"/>
  <c r="AV59" i="3"/>
  <c r="AV48" i="3"/>
  <c r="AV46" i="3"/>
  <c r="AV45" i="3"/>
  <c r="AV44" i="3"/>
  <c r="AV40" i="3"/>
  <c r="AV50" i="3"/>
  <c r="AV47" i="3"/>
  <c r="AV42" i="3"/>
  <c r="AV41" i="3"/>
  <c r="AV38" i="3"/>
  <c r="AV39" i="3"/>
  <c r="AV43" i="3"/>
  <c r="AV49" i="3"/>
  <c r="AV37" i="3"/>
  <c r="AV34" i="3"/>
  <c r="AV33" i="3"/>
  <c r="AV32" i="3"/>
  <c r="AV30" i="3"/>
  <c r="AV29" i="3"/>
  <c r="AV26" i="3"/>
  <c r="AV25" i="3"/>
  <c r="AV24" i="3"/>
  <c r="AV22" i="3"/>
  <c r="AV31" i="3"/>
  <c r="AV27" i="3"/>
  <c r="AV23" i="3"/>
  <c r="AV28" i="3"/>
  <c r="AV21" i="3"/>
  <c r="AV18" i="3"/>
  <c r="AV17" i="3"/>
  <c r="AV14" i="3"/>
  <c r="AV13" i="3"/>
  <c r="AV16" i="3"/>
  <c r="AV15" i="3"/>
  <c r="AV11" i="3"/>
  <c r="AV10" i="3"/>
  <c r="AV9" i="3"/>
  <c r="AV8" i="3"/>
  <c r="AV7" i="3"/>
  <c r="AV6" i="3"/>
  <c r="AV5" i="3"/>
  <c r="AV12" i="3"/>
  <c r="AU70" i="3"/>
  <c r="AU71" i="3"/>
  <c r="AU72" i="3"/>
  <c r="AU73" i="3"/>
  <c r="AU74" i="3"/>
  <c r="AU77" i="3"/>
  <c r="AU78" i="3"/>
  <c r="AU79" i="3"/>
  <c r="AU80" i="3"/>
  <c r="AU81" i="3"/>
  <c r="AU82" i="3"/>
  <c r="AU69" i="3"/>
  <c r="AU54" i="3"/>
  <c r="AU55" i="3"/>
  <c r="AU56" i="3"/>
  <c r="AU57" i="3"/>
  <c r="AU58" i="3"/>
  <c r="AU59" i="3"/>
  <c r="AU60" i="3"/>
  <c r="AU61" i="3"/>
  <c r="AU62" i="3"/>
  <c r="AU63" i="3"/>
  <c r="AU64" i="3"/>
  <c r="AU65" i="3"/>
  <c r="AU66" i="3"/>
  <c r="AU53" i="3"/>
  <c r="AU38" i="3"/>
  <c r="AU39" i="3"/>
  <c r="AU40" i="3"/>
  <c r="AU41" i="3"/>
  <c r="AU42" i="3"/>
  <c r="AU43" i="3"/>
  <c r="AU44" i="3"/>
  <c r="AU45" i="3"/>
  <c r="AU46" i="3"/>
  <c r="AU47" i="3"/>
  <c r="AU48" i="3"/>
  <c r="AU49" i="3"/>
  <c r="AU50" i="3"/>
  <c r="AU37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U21" i="3"/>
  <c r="AU6" i="3"/>
  <c r="AU7" i="3"/>
  <c r="AU8" i="3"/>
  <c r="AU9" i="3"/>
  <c r="AU10" i="3"/>
  <c r="AU11" i="3"/>
  <c r="AU12" i="3"/>
  <c r="AU13" i="3"/>
  <c r="AU14" i="3"/>
  <c r="AU15" i="3"/>
  <c r="AU16" i="3"/>
  <c r="AU17" i="3"/>
  <c r="AU18" i="3"/>
  <c r="AU5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U75" i="3" s="1"/>
  <c r="AP75" i="3"/>
  <c r="AQ75" i="3"/>
  <c r="AR75" i="3"/>
  <c r="AS75" i="3"/>
  <c r="AT75" i="3"/>
  <c r="AA76" i="3"/>
  <c r="AB76" i="3"/>
  <c r="AC76" i="3"/>
  <c r="AD76" i="3"/>
  <c r="AE76" i="3"/>
  <c r="AF76" i="3"/>
  <c r="AG76" i="3"/>
  <c r="AH76" i="3"/>
  <c r="AI76" i="3"/>
  <c r="AJ76" i="3"/>
  <c r="AK76" i="3"/>
  <c r="AL76" i="3"/>
  <c r="AM76" i="3"/>
  <c r="AN76" i="3"/>
  <c r="AO76" i="3"/>
  <c r="AU76" i="3" s="1"/>
  <c r="AP76" i="3"/>
  <c r="AQ76" i="3"/>
  <c r="AR76" i="3"/>
  <c r="AS76" i="3"/>
  <c r="AT76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AM77" i="3"/>
  <c r="AN77" i="3"/>
  <c r="AO77" i="3"/>
  <c r="AP77" i="3"/>
  <c r="AQ77" i="3"/>
  <c r="AR77" i="3"/>
  <c r="AS77" i="3"/>
  <c r="AT77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AM78" i="3"/>
  <c r="AN78" i="3"/>
  <c r="AO78" i="3"/>
  <c r="AP78" i="3"/>
  <c r="AQ78" i="3"/>
  <c r="AR78" i="3"/>
  <c r="AS78" i="3"/>
  <c r="AT78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AM79" i="3"/>
  <c r="AN79" i="3"/>
  <c r="AO79" i="3"/>
  <c r="AP79" i="3"/>
  <c r="AQ79" i="3"/>
  <c r="AR79" i="3"/>
  <c r="AS79" i="3"/>
  <c r="AT79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AM80" i="3"/>
  <c r="AN80" i="3"/>
  <c r="AO80" i="3"/>
  <c r="AP80" i="3"/>
  <c r="AQ80" i="3"/>
  <c r="AR80" i="3"/>
  <c r="AS80" i="3"/>
  <c r="AT80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AM81" i="3"/>
  <c r="AN81" i="3"/>
  <c r="AO81" i="3"/>
  <c r="AP81" i="3"/>
  <c r="AQ81" i="3"/>
  <c r="AR81" i="3"/>
  <c r="AS81" i="3"/>
  <c r="AT81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AM82" i="3"/>
  <c r="AN82" i="3"/>
  <c r="AO82" i="3"/>
  <c r="AP82" i="3"/>
  <c r="AQ82" i="3"/>
  <c r="AR82" i="3"/>
  <c r="AS82" i="3"/>
  <c r="AT82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A69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A53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A37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A21" i="3"/>
  <c r="AA16" i="3"/>
  <c r="AE1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B16" i="3"/>
  <c r="AC16" i="3"/>
  <c r="AD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S5" i="3"/>
  <c r="AT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A5" i="3"/>
  <c r="E5" i="3"/>
  <c r="N41" i="2"/>
  <c r="M41" i="2"/>
  <c r="L41" i="2"/>
  <c r="K41" i="2"/>
  <c r="J41" i="2"/>
  <c r="C41" i="2"/>
  <c r="P41" i="2" s="1"/>
  <c r="Q41" i="2" s="1"/>
  <c r="D41" i="2"/>
  <c r="E41" i="2"/>
  <c r="F41" i="2"/>
  <c r="G41" i="2"/>
  <c r="H41" i="2"/>
  <c r="I41" i="2"/>
  <c r="B41" i="2"/>
  <c r="N36" i="2"/>
  <c r="M36" i="2"/>
  <c r="K36" i="2"/>
  <c r="L36" i="2"/>
  <c r="J36" i="2"/>
  <c r="C36" i="2"/>
  <c r="D36" i="2"/>
  <c r="E36" i="2"/>
  <c r="F36" i="2"/>
  <c r="G36" i="2"/>
  <c r="H36" i="2"/>
  <c r="I36" i="2"/>
  <c r="B36" i="2"/>
  <c r="P36" i="2" s="1"/>
  <c r="Q36" i="2" s="1"/>
  <c r="O31" i="2"/>
  <c r="N31" i="2"/>
  <c r="L31" i="2"/>
  <c r="M31" i="2"/>
  <c r="K31" i="2"/>
  <c r="C31" i="2"/>
  <c r="D31" i="2"/>
  <c r="E31" i="2"/>
  <c r="F31" i="2"/>
  <c r="G31" i="2"/>
  <c r="H31" i="2"/>
  <c r="I31" i="2"/>
  <c r="J31" i="2"/>
  <c r="B31" i="2"/>
  <c r="N26" i="2"/>
  <c r="M26" i="2"/>
  <c r="K26" i="2"/>
  <c r="L26" i="2"/>
  <c r="J26" i="2"/>
  <c r="C26" i="2"/>
  <c r="D26" i="2"/>
  <c r="E26" i="2"/>
  <c r="F26" i="2"/>
  <c r="G26" i="2"/>
  <c r="H26" i="2"/>
  <c r="I26" i="2"/>
  <c r="B26" i="2"/>
  <c r="P26" i="2" s="1"/>
  <c r="Q26" i="2" s="1"/>
  <c r="O21" i="2"/>
  <c r="N21" i="2"/>
  <c r="M21" i="2"/>
  <c r="L21" i="2"/>
  <c r="K21" i="2"/>
  <c r="D21" i="2"/>
  <c r="E21" i="2"/>
  <c r="F21" i="2"/>
  <c r="G21" i="2"/>
  <c r="H21" i="2"/>
  <c r="I21" i="2"/>
  <c r="J21" i="2"/>
  <c r="C21" i="2"/>
  <c r="B21" i="2"/>
  <c r="P21" i="2" s="1"/>
  <c r="Q21" i="2" s="1"/>
  <c r="P20" i="2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69" i="3"/>
  <c r="X68" i="3"/>
  <c r="Y66" i="3"/>
  <c r="Y57" i="3"/>
  <c r="Y56" i="3"/>
  <c r="Y55" i="3"/>
  <c r="Y54" i="3"/>
  <c r="Y53" i="3"/>
  <c r="Y58" i="3"/>
  <c r="Y59" i="3"/>
  <c r="Y60" i="3"/>
  <c r="Y61" i="3"/>
  <c r="Y62" i="3"/>
  <c r="Y63" i="3"/>
  <c r="Y64" i="3"/>
  <c r="Y65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37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21" i="3"/>
  <c r="Y7" i="3"/>
  <c r="Y8" i="3"/>
  <c r="Y9" i="3"/>
  <c r="Y10" i="3"/>
  <c r="Y11" i="3"/>
  <c r="Y12" i="3"/>
  <c r="Y13" i="3"/>
  <c r="Y14" i="3"/>
  <c r="Y15" i="3"/>
  <c r="Y16" i="3"/>
  <c r="Y17" i="3"/>
  <c r="Y18" i="3"/>
  <c r="Y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5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F68" i="3"/>
  <c r="E68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F52" i="3"/>
  <c r="E52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F20" i="3"/>
  <c r="E20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G4" i="3"/>
  <c r="F4" i="3"/>
  <c r="E4" i="3"/>
  <c r="D19" i="3"/>
  <c r="D51" i="3"/>
  <c r="D67" i="3"/>
  <c r="D3" i="3"/>
  <c r="Q20" i="2"/>
  <c r="P30" i="2"/>
  <c r="Q30" i="2" s="1"/>
  <c r="P35" i="2"/>
  <c r="Q35" i="2" s="1"/>
  <c r="P40" i="2"/>
  <c r="Q40" i="2" s="1"/>
  <c r="P25" i="2"/>
  <c r="Q25" i="2" s="1"/>
  <c r="X39" i="2"/>
  <c r="X34" i="2"/>
  <c r="X29" i="2"/>
  <c r="X24" i="2"/>
  <c r="X19" i="2"/>
  <c r="V43" i="2"/>
  <c r="W43" i="2"/>
  <c r="U43" i="2"/>
  <c r="R10" i="2"/>
  <c r="AB4" i="2"/>
  <c r="AA4" i="2"/>
  <c r="P1" i="2"/>
  <c r="T2" i="2" s="1"/>
  <c r="P3" i="2"/>
  <c r="Z4" i="2" s="1"/>
  <c r="P5" i="2"/>
  <c r="Z6" i="2" s="1"/>
  <c r="P7" i="2"/>
  <c r="V8" i="2" s="1"/>
  <c r="P9" i="2"/>
  <c r="W10" i="2" s="1"/>
  <c r="Q26" i="1"/>
  <c r="Q21" i="1"/>
  <c r="Q16" i="1"/>
  <c r="Q11" i="1"/>
  <c r="Q6" i="1"/>
  <c r="J14" i="1"/>
  <c r="J13" i="1"/>
  <c r="I14" i="1"/>
  <c r="I13" i="1"/>
  <c r="G14" i="1"/>
  <c r="G13" i="1"/>
  <c r="C14" i="1"/>
  <c r="C13" i="1"/>
  <c r="O14" i="1"/>
  <c r="B24" i="1"/>
  <c r="B23" i="1"/>
  <c r="J24" i="1"/>
  <c r="J23" i="1"/>
  <c r="E18" i="1"/>
  <c r="G8" i="1"/>
  <c r="O9" i="1"/>
  <c r="O4" i="1"/>
  <c r="O19" i="1"/>
  <c r="K23" i="1"/>
  <c r="I23" i="1"/>
  <c r="H23" i="1"/>
  <c r="G23" i="1"/>
  <c r="F23" i="1"/>
  <c r="E23" i="1"/>
  <c r="D23" i="1"/>
  <c r="C23" i="1"/>
  <c r="L18" i="1"/>
  <c r="K18" i="1"/>
  <c r="J18" i="1"/>
  <c r="I18" i="1"/>
  <c r="H18" i="1"/>
  <c r="G18" i="1"/>
  <c r="F18" i="1"/>
  <c r="D18" i="1"/>
  <c r="C18" i="1"/>
  <c r="B18" i="1"/>
  <c r="H13" i="1"/>
  <c r="F13" i="1"/>
  <c r="E13" i="1"/>
  <c r="D13" i="1"/>
  <c r="B13" i="1"/>
  <c r="K8" i="1"/>
  <c r="J8" i="1"/>
  <c r="I8" i="1"/>
  <c r="H8" i="1"/>
  <c r="F8" i="1"/>
  <c r="E8" i="1"/>
  <c r="D8" i="1"/>
  <c r="C8" i="1"/>
  <c r="B8" i="1"/>
  <c r="K3" i="1"/>
  <c r="J3" i="1"/>
  <c r="I3" i="1"/>
  <c r="H3" i="1"/>
  <c r="G3" i="1"/>
  <c r="F3" i="1"/>
  <c r="E3" i="1"/>
  <c r="D3" i="1"/>
  <c r="C3" i="1"/>
  <c r="Q27" i="1" l="1"/>
  <c r="O24" i="1"/>
  <c r="O18" i="1"/>
  <c r="P31" i="2"/>
  <c r="Q31" i="2" s="1"/>
  <c r="Q43" i="2" s="1"/>
  <c r="Y5" i="3"/>
  <c r="Q42" i="2"/>
  <c r="U4" i="2"/>
  <c r="T6" i="2"/>
  <c r="U2" i="2"/>
  <c r="U6" i="2"/>
  <c r="V6" i="2"/>
  <c r="X2" i="2"/>
  <c r="X6" i="2"/>
  <c r="Y6" i="2"/>
  <c r="W8" i="2"/>
  <c r="S10" i="2"/>
  <c r="T10" i="2"/>
  <c r="R6" i="2"/>
  <c r="S6" i="2"/>
  <c r="V2" i="2"/>
  <c r="W2" i="2"/>
  <c r="W6" i="2"/>
  <c r="Y2" i="2"/>
  <c r="Z2" i="2"/>
  <c r="AA2" i="2"/>
  <c r="X8" i="2"/>
  <c r="R4" i="2"/>
  <c r="Y8" i="2"/>
  <c r="S4" i="2"/>
  <c r="Z8" i="2"/>
  <c r="T4" i="2"/>
  <c r="AA8" i="2"/>
  <c r="U10" i="2"/>
  <c r="X10" i="2"/>
  <c r="Y10" i="2"/>
  <c r="R2" i="2"/>
  <c r="X4" i="2"/>
  <c r="T8" i="2"/>
  <c r="Z10" i="2"/>
  <c r="V10" i="2"/>
  <c r="R8" i="2"/>
  <c r="W4" i="2"/>
  <c r="S8" i="2"/>
  <c r="S2" i="2"/>
  <c r="Y4" i="2"/>
  <c r="U8" i="2"/>
  <c r="AA10" i="2"/>
  <c r="V4" i="2"/>
  <c r="O8" i="1"/>
  <c r="O13" i="1"/>
  <c r="O3" i="1"/>
  <c r="X43" i="2"/>
  <c r="O23" i="1"/>
  <c r="O25" i="1" l="1"/>
  <c r="O26" i="1" s="1"/>
  <c r="P26" i="1" s="1"/>
  <c r="R25" i="1"/>
  <c r="R26" i="1" s="1"/>
  <c r="S26" i="1" s="1"/>
  <c r="O5" i="1"/>
  <c r="O6" i="1" s="1"/>
  <c r="P6" i="1" s="1"/>
  <c r="R5" i="1"/>
  <c r="R6" i="1" s="1"/>
  <c r="S6" i="1" s="1"/>
  <c r="O15" i="1"/>
  <c r="O16" i="1" s="1"/>
  <c r="P16" i="1" s="1"/>
  <c r="R15" i="1"/>
  <c r="R16" i="1" s="1"/>
  <c r="S16" i="1" s="1"/>
  <c r="O10" i="1"/>
  <c r="O11" i="1" s="1"/>
  <c r="P11" i="1" s="1"/>
  <c r="R10" i="1"/>
  <c r="R11" i="1" s="1"/>
  <c r="S11" i="1" s="1"/>
  <c r="O20" i="1"/>
  <c r="O21" i="1" s="1"/>
  <c r="P21" i="1" s="1"/>
  <c r="R20" i="1"/>
  <c r="R21" i="1" s="1"/>
  <c r="S21" i="1" s="1"/>
  <c r="Q47" i="2"/>
  <c r="P27" i="1" l="1"/>
</calcChain>
</file>

<file path=xl/sharedStrings.xml><?xml version="1.0" encoding="utf-8"?>
<sst xmlns="http://schemas.openxmlformats.org/spreadsheetml/2006/main" count="619" uniqueCount="131">
  <si>
    <t>A3</t>
    <phoneticPr fontId="1" type="noConversion"/>
  </si>
  <si>
    <t>A2</t>
    <phoneticPr fontId="1" type="noConversion"/>
  </si>
  <si>
    <t>A1</t>
    <phoneticPr fontId="1" type="noConversion"/>
  </si>
  <si>
    <t>B2</t>
    <phoneticPr fontId="1" type="noConversion"/>
  </si>
  <si>
    <t>B1</t>
    <phoneticPr fontId="1" type="noConversion"/>
  </si>
  <si>
    <t>P1</t>
    <phoneticPr fontId="1" type="noConversion"/>
  </si>
  <si>
    <t>Product</t>
    <phoneticPr fontId="1" type="noConversion"/>
  </si>
  <si>
    <t>P1*1</t>
    <phoneticPr fontId="1" type="noConversion"/>
  </si>
  <si>
    <t>P2*4</t>
    <phoneticPr fontId="1" type="noConversion"/>
  </si>
  <si>
    <t>P1*4</t>
    <phoneticPr fontId="1" type="noConversion"/>
  </si>
  <si>
    <t>P2*2</t>
    <phoneticPr fontId="1" type="noConversion"/>
  </si>
  <si>
    <t>P4*2</t>
    <phoneticPr fontId="1" type="noConversion"/>
  </si>
  <si>
    <t>P5*2</t>
    <phoneticPr fontId="1" type="noConversion"/>
  </si>
  <si>
    <t>P9*2</t>
    <phoneticPr fontId="1" type="noConversion"/>
  </si>
  <si>
    <t>P10*1</t>
    <phoneticPr fontId="1" type="noConversion"/>
  </si>
  <si>
    <t>P14*2</t>
    <phoneticPr fontId="1" type="noConversion"/>
  </si>
  <si>
    <t>P16*4</t>
    <phoneticPr fontId="1" type="noConversion"/>
  </si>
  <si>
    <t>P19*4</t>
    <phoneticPr fontId="1" type="noConversion"/>
  </si>
  <si>
    <t>P20*3</t>
    <phoneticPr fontId="1" type="noConversion"/>
  </si>
  <si>
    <t>P1*2</t>
    <phoneticPr fontId="1" type="noConversion"/>
  </si>
  <si>
    <t>P4*1</t>
    <phoneticPr fontId="1" type="noConversion"/>
  </si>
  <si>
    <t>P5*1</t>
    <phoneticPr fontId="1" type="noConversion"/>
  </si>
  <si>
    <t>P7*4</t>
    <phoneticPr fontId="1" type="noConversion"/>
  </si>
  <si>
    <t>P14*4</t>
    <phoneticPr fontId="1" type="noConversion"/>
  </si>
  <si>
    <t>P16*1</t>
    <phoneticPr fontId="1" type="noConversion"/>
  </si>
  <si>
    <t>P18*1</t>
    <phoneticPr fontId="1" type="noConversion"/>
  </si>
  <si>
    <t>P19*2</t>
    <phoneticPr fontId="1" type="noConversion"/>
  </si>
  <si>
    <t>P20*2</t>
    <phoneticPr fontId="1" type="noConversion"/>
  </si>
  <si>
    <t>P6*1</t>
    <phoneticPr fontId="1" type="noConversion"/>
  </si>
  <si>
    <t>P11*2</t>
    <phoneticPr fontId="1" type="noConversion"/>
  </si>
  <si>
    <t>P12*4</t>
    <phoneticPr fontId="1" type="noConversion"/>
  </si>
  <si>
    <t>P13*2</t>
    <phoneticPr fontId="1" type="noConversion"/>
  </si>
  <si>
    <t>P17*2</t>
    <phoneticPr fontId="1" type="noConversion"/>
  </si>
  <si>
    <t>P18*4</t>
    <phoneticPr fontId="1" type="noConversion"/>
  </si>
  <si>
    <t>P3*1</t>
    <phoneticPr fontId="1" type="noConversion"/>
  </si>
  <si>
    <t>P6*2</t>
    <phoneticPr fontId="1" type="noConversion"/>
  </si>
  <si>
    <t>P11*4</t>
    <phoneticPr fontId="1" type="noConversion"/>
  </si>
  <si>
    <t>P19*1</t>
    <phoneticPr fontId="1" type="noConversion"/>
  </si>
  <si>
    <t>P3*4</t>
    <phoneticPr fontId="1" type="noConversion"/>
  </si>
  <si>
    <t>P8*4</t>
    <phoneticPr fontId="1" type="noConversion"/>
  </si>
  <si>
    <t>P15*2</t>
    <phoneticPr fontId="1" type="noConversion"/>
  </si>
  <si>
    <t>Total_Minutes_Per_Unit</t>
  </si>
  <si>
    <t>P2</t>
    <phoneticPr fontId="1" type="noConversion"/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</si>
  <si>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</si>
  <si>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</si>
  <si>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</si>
  <si>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</si>
  <si>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</si>
  <si>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</si>
  <si>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</si>
  <si>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</si>
  <si>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</si>
  <si>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</si>
  <si>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</si>
  <si>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</si>
  <si>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</si>
  <si>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</si>
  <si>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</si>
  <si>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</si>
  <si>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</si>
  <si>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</si>
  <si>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Total</t>
    <phoneticPr fontId="1" type="noConversion"/>
  </si>
  <si>
    <t>Machine</t>
    <phoneticPr fontId="1" type="noConversion"/>
  </si>
  <si>
    <t>99.5 Weekly Demand</t>
    <phoneticPr fontId="1" type="noConversion"/>
  </si>
  <si>
    <t>Product Time</t>
    <phoneticPr fontId="1" type="noConversion"/>
  </si>
  <si>
    <t>Total Time</t>
    <phoneticPr fontId="1" type="noConversion"/>
  </si>
  <si>
    <t>(2 shift)</t>
    <phoneticPr fontId="1" type="noConversion"/>
  </si>
  <si>
    <t>(1 shift)</t>
    <phoneticPr fontId="1" type="noConversion"/>
  </si>
  <si>
    <t>Total Machine</t>
    <phoneticPr fontId="1" type="noConversion"/>
  </si>
  <si>
    <t># lines in  2 shift</t>
    <phoneticPr fontId="1" type="noConversion"/>
  </si>
  <si>
    <t># lines in  1 shift</t>
    <phoneticPr fontId="1" type="noConversion"/>
  </si>
  <si>
    <t># lines in 2 shift</t>
    <phoneticPr fontId="1" type="noConversion"/>
  </si>
  <si>
    <t xml:space="preserve">P1*4 </t>
    <phoneticPr fontId="1" type="noConversion"/>
  </si>
  <si>
    <t>99.9% Storage</t>
    <phoneticPr fontId="1" type="noConversion"/>
  </si>
  <si>
    <t>P3</t>
    <phoneticPr fontId="1" type="noConversion"/>
  </si>
  <si>
    <t>P4</t>
    <phoneticPr fontId="1" type="noConversion"/>
  </si>
  <si>
    <t>P8</t>
    <phoneticPr fontId="1" type="noConversion"/>
  </si>
  <si>
    <t>P10</t>
    <phoneticPr fontId="1" type="noConversion"/>
  </si>
  <si>
    <t>P14</t>
    <phoneticPr fontId="1" type="noConversion"/>
  </si>
  <si>
    <t>P15</t>
    <phoneticPr fontId="1" type="noConversion"/>
  </si>
  <si>
    <t>P19</t>
    <phoneticPr fontId="1" type="noConversion"/>
  </si>
  <si>
    <t>P20</t>
    <phoneticPr fontId="1" type="noConversion"/>
  </si>
  <si>
    <t>P6</t>
    <phoneticPr fontId="1" type="noConversion"/>
  </si>
  <si>
    <t>P5</t>
    <phoneticPr fontId="1" type="noConversion"/>
  </si>
  <si>
    <t>P7</t>
    <phoneticPr fontId="1" type="noConversion"/>
  </si>
  <si>
    <t>P11</t>
    <phoneticPr fontId="1" type="noConversion"/>
  </si>
  <si>
    <t>P9</t>
    <phoneticPr fontId="1" type="noConversion"/>
  </si>
  <si>
    <t>P12</t>
    <phoneticPr fontId="1" type="noConversion"/>
  </si>
  <si>
    <t>P13</t>
    <phoneticPr fontId="1" type="noConversion"/>
  </si>
  <si>
    <t>P16</t>
    <phoneticPr fontId="1" type="noConversion"/>
  </si>
  <si>
    <t>P17</t>
    <phoneticPr fontId="1" type="noConversion"/>
  </si>
  <si>
    <t>P18</t>
    <phoneticPr fontId="1" type="noConversion"/>
  </si>
  <si>
    <t>Factory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</si>
  <si>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</si>
  <si>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</si>
  <si>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</si>
  <si>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</si>
  <si>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</si>
  <si>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</si>
  <si>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</si>
  <si>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</si>
  <si>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</si>
  <si>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</si>
  <si>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LM</t>
    <phoneticPr fontId="1" type="noConversion"/>
  </si>
  <si>
    <t>KLM</t>
    <phoneticPr fontId="1" type="noConversion"/>
  </si>
  <si>
    <t>EFG</t>
    <phoneticPr fontId="1" type="noConversion"/>
  </si>
  <si>
    <t>EG</t>
    <phoneticPr fontId="1" type="noConversion"/>
  </si>
  <si>
    <t>C1</t>
    <phoneticPr fontId="1" type="noConversion"/>
  </si>
  <si>
    <t>C2</t>
    <phoneticPr fontId="1" type="noConversion"/>
  </si>
  <si>
    <t>C3</t>
    <phoneticPr fontId="1" type="noConversion"/>
  </si>
  <si>
    <t>Weekly Demand</t>
    <phoneticPr fontId="1" type="noConversion"/>
  </si>
  <si>
    <t>Total Time (min)</t>
    <phoneticPr fontId="1" type="noConversion"/>
  </si>
  <si>
    <t>Active Time</t>
    <phoneticPr fontId="1" type="noConversion"/>
  </si>
  <si>
    <t>Utilization</t>
    <phoneticPr fontId="1" type="noConversion"/>
  </si>
  <si>
    <t>Sum</t>
    <phoneticPr fontId="1" type="noConversion"/>
  </si>
  <si>
    <t>1 year</t>
    <phoneticPr fontId="1" type="noConversion"/>
  </si>
  <si>
    <t>Installation cost</t>
    <phoneticPr fontId="1" type="noConversion"/>
  </si>
  <si>
    <t>Installation cost/year</t>
    <phoneticPr fontId="1" type="noConversion"/>
  </si>
  <si>
    <t># of machines</t>
    <phoneticPr fontId="1" type="noConversion"/>
  </si>
  <si>
    <t>Total land fee</t>
    <phoneticPr fontId="1" type="noConversion"/>
  </si>
  <si>
    <t>Total installation cost</t>
    <phoneticPr fontId="1" type="noConversion"/>
  </si>
  <si>
    <t>Total cost</t>
    <phoneticPr fontId="1" type="noConversion"/>
  </si>
  <si>
    <t>sum</t>
    <phoneticPr fontId="1" type="noConversion"/>
  </si>
  <si>
    <t>1 day</t>
    <phoneticPr fontId="1" type="noConversion"/>
  </si>
  <si>
    <t>P19*4 (need 4 machine)</t>
    <phoneticPr fontId="1" type="noConversion"/>
  </si>
  <si>
    <t>P18*4 (need 4 machine)</t>
    <phoneticPr fontId="1" type="noConversion"/>
  </si>
  <si>
    <t>P2*4 (need 2 machine)</t>
    <phoneticPr fontId="1" type="noConversion"/>
  </si>
  <si>
    <t>P12*4 (need 2 machine)</t>
    <phoneticPr fontId="1" type="noConversion"/>
  </si>
  <si>
    <t>P1*4 (need 4 machine)</t>
    <phoneticPr fontId="1" type="noConversion"/>
  </si>
  <si>
    <t>P17*2 (need 4 machine)</t>
    <phoneticPr fontId="1" type="noConversion"/>
  </si>
  <si>
    <t>need to time # of shift and &amp; of line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</si>
</sst>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0.000"/>
    <numFmt numFmtId="177" formatCode="_-* #,##0_-;\-* #,##0_-;_-* &quot;-&quot;??_-;_-@_-"/>
    <numFmt numFmtId="178" formatCode="&quot;$&quot;#,##0"/>
    <numFmt numFmtId="179" formatCode="&quot;$&quot;#,##0.00"/>
  </numFmts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>
      <alignment vertical="center"/>
    </xf>
  </cellStyleXfs>
  <cellXfs count="19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76" fontId="0" fillId="0" borderId="0" xfId="0" applyNumberFormat="1"/>
    <xf numFmtId="177" fontId="0" fillId="0" borderId="0" xfId="1" applyNumberFormat="1" applyFont="1" applyAlignment="1"/>
    <xf numFmtId="0" fontId="0" fillId="7" borderId="0" xfId="0" applyFill="1"/>
    <xf numFmtId="0" fontId="0" fillId="8" borderId="0" xfId="0" applyFill="1"/>
    <xf numFmtId="0" fontId="2" fillId="8" borderId="0" xfId="0" applyFont="1" applyFill="1"/>
    <xf numFmtId="178" fontId="0" fillId="0" borderId="0" xfId="0" applyNumberFormat="1"/>
    <xf numFmtId="3" fontId="0" fillId="0" borderId="0" xfId="1" applyNumberFormat="1" applyFont="1" applyAlignment="1"/>
    <xf numFmtId="0" fontId="0" fillId="0" borderId="0" xfId="0" applyAlignment="1">
      <alignment horizontal="left"/>
    </xf>
    <xf numFmtId="177" fontId="0" fillId="0" borderId="0" xfId="0" applyNumberFormat="1"/>
    <xf numFmtId="179" fontId="0" fillId="0" borderId="0" xfId="0" applyNumberFormat="1"/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Utilization-Product</a:t>
            </a:r>
            <a:r>
              <a:rPr lang="en-US" altLang="zh-TW" baseline="0"/>
              <a:t> Center A3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UTL!$D$5:$D$18</c:f>
              <c:strCache>
                <c:ptCount val="1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EG</c:v>
                </c:pt>
                <c:pt idx="8">
                  <c:v>EFG</c:v>
                </c:pt>
                <c:pt idx="9">
                  <c:v>H</c:v>
                </c:pt>
                <c:pt idx="10">
                  <c:v>I</c:v>
                </c:pt>
                <c:pt idx="11">
                  <c:v>J</c:v>
                </c:pt>
                <c:pt idx="12">
                  <c:v>LM</c:v>
                </c:pt>
                <c:pt idx="13">
                  <c:v>KLM</c:v>
                </c:pt>
              </c:strCache>
            </c:strRef>
          </c:cat>
          <c:val>
            <c:numRef>
              <c:f>UTL!$AV$5:$AV$18</c:f>
              <c:numCache>
                <c:formatCode>0.000</c:formatCode>
                <c:ptCount val="14"/>
                <c:pt idx="0">
                  <c:v>0.24851851851851853</c:v>
                </c:pt>
                <c:pt idx="1">
                  <c:v>0.54222222222222227</c:v>
                </c:pt>
                <c:pt idx="2">
                  <c:v>0.13555555555555557</c:v>
                </c:pt>
                <c:pt idx="3">
                  <c:v>0.79396825396825399</c:v>
                </c:pt>
                <c:pt idx="4">
                  <c:v>0.40666666666666668</c:v>
                </c:pt>
                <c:pt idx="5">
                  <c:v>0.91500000000000004</c:v>
                </c:pt>
                <c:pt idx="6">
                  <c:v>0.13555555555555557</c:v>
                </c:pt>
                <c:pt idx="7">
                  <c:v>0</c:v>
                </c:pt>
                <c:pt idx="8">
                  <c:v>0.6551851851851852</c:v>
                </c:pt>
                <c:pt idx="9">
                  <c:v>0.75911111111111107</c:v>
                </c:pt>
                <c:pt idx="10">
                  <c:v>0.45750000000000002</c:v>
                </c:pt>
                <c:pt idx="11">
                  <c:v>0.86416666666666664</c:v>
                </c:pt>
                <c:pt idx="12">
                  <c:v>0.94888888888888889</c:v>
                </c:pt>
                <c:pt idx="13">
                  <c:v>0.93533333333333335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9-4CE4-B858-3816EB6C4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7760720"/>
        <c:axId val="1837751600"/>
      </c:barChart>
      <c:catAx>
        <c:axId val="183776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37751600"/>
        <c:crosses val="autoZero"/>
        <c:auto val="1"/>
        <c:lblAlgn val="ctr"/>
        <c:lblOffset val="100"/>
        <c:noMultiLvlLbl val="0"/>
      </c:catAx>
      <c:valAx>
        <c:axId val="183775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37760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Utilization-Product</a:t>
            </a:r>
            <a:r>
              <a:rPr lang="en-US" altLang="zh-TW" baseline="0"/>
              <a:t> Center A2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UTL!$Z$21:$Z$34</c:f>
              <c:strCache>
                <c:ptCount val="1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EG</c:v>
                </c:pt>
                <c:pt idx="8">
                  <c:v>EFG</c:v>
                </c:pt>
                <c:pt idx="9">
                  <c:v>H</c:v>
                </c:pt>
                <c:pt idx="10">
                  <c:v>I</c:v>
                </c:pt>
                <c:pt idx="11">
                  <c:v>J</c:v>
                </c:pt>
                <c:pt idx="12">
                  <c:v>LM</c:v>
                </c:pt>
                <c:pt idx="13">
                  <c:v>KLM</c:v>
                </c:pt>
              </c:strCache>
            </c:strRef>
          </c:cat>
          <c:val>
            <c:numRef>
              <c:f>UTL!$AV$21:$AV$34</c:f>
              <c:numCache>
                <c:formatCode>0.000</c:formatCode>
                <c:ptCount val="14"/>
                <c:pt idx="0">
                  <c:v>0.46921875000000002</c:v>
                </c:pt>
                <c:pt idx="1">
                  <c:v>0.93843750000000004</c:v>
                </c:pt>
                <c:pt idx="2">
                  <c:v>0.49528645833333335</c:v>
                </c:pt>
                <c:pt idx="3">
                  <c:v>0.99708984374999998</c:v>
                </c:pt>
                <c:pt idx="4">
                  <c:v>0.62562499999999999</c:v>
                </c:pt>
                <c:pt idx="5">
                  <c:v>0.56697265625000004</c:v>
                </c:pt>
                <c:pt idx="6">
                  <c:v>7.8203124999999998E-2</c:v>
                </c:pt>
                <c:pt idx="7">
                  <c:v>0</c:v>
                </c:pt>
                <c:pt idx="8">
                  <c:v>0.80158203125000005</c:v>
                </c:pt>
                <c:pt idx="9">
                  <c:v>0.92105902777777782</c:v>
                </c:pt>
                <c:pt idx="10">
                  <c:v>0.81331249999999999</c:v>
                </c:pt>
                <c:pt idx="11">
                  <c:v>0.84068359375000001</c:v>
                </c:pt>
                <c:pt idx="12">
                  <c:v>0.82113281250000003</c:v>
                </c:pt>
                <c:pt idx="13">
                  <c:v>0.92540364583333334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25-494C-93AF-D8291F6AA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4784784"/>
        <c:axId val="1224794384"/>
      </c:barChart>
      <c:catAx>
        <c:axId val="122478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4794384"/>
        <c:crosses val="autoZero"/>
        <c:auto val="1"/>
        <c:lblAlgn val="ctr"/>
        <c:lblOffset val="100"/>
        <c:noMultiLvlLbl val="0"/>
      </c:catAx>
      <c:valAx>
        <c:axId val="12247943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478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Utilization-Product</a:t>
            </a:r>
            <a:r>
              <a:rPr lang="en-US" altLang="zh-TW" baseline="0"/>
              <a:t> Center A1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UTL!$Z$37:$Z$50</c:f>
              <c:strCache>
                <c:ptCount val="1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EG</c:v>
                </c:pt>
                <c:pt idx="8">
                  <c:v>EFG</c:v>
                </c:pt>
                <c:pt idx="9">
                  <c:v>H</c:v>
                </c:pt>
                <c:pt idx="10">
                  <c:v>I</c:v>
                </c:pt>
                <c:pt idx="11">
                  <c:v>J</c:v>
                </c:pt>
                <c:pt idx="12">
                  <c:v>LM</c:v>
                </c:pt>
                <c:pt idx="13">
                  <c:v>KLM</c:v>
                </c:pt>
              </c:strCache>
            </c:strRef>
          </c:cat>
          <c:val>
            <c:numRef>
              <c:f>UTL!$AV$37:$AV$50</c:f>
              <c:numCache>
                <c:formatCode>0.000</c:formatCode>
                <c:ptCount val="14"/>
                <c:pt idx="0">
                  <c:v>0.60518229166666671</c:v>
                </c:pt>
                <c:pt idx="1">
                  <c:v>0.88997395833333337</c:v>
                </c:pt>
                <c:pt idx="2">
                  <c:v>0.28479166666666667</c:v>
                </c:pt>
                <c:pt idx="3">
                  <c:v>0.74757812499999998</c:v>
                </c:pt>
                <c:pt idx="4">
                  <c:v>0.854375</c:v>
                </c:pt>
                <c:pt idx="5">
                  <c:v>0.71197916666666672</c:v>
                </c:pt>
                <c:pt idx="6">
                  <c:v>0</c:v>
                </c:pt>
                <c:pt idx="7">
                  <c:v>0.90184027777777775</c:v>
                </c:pt>
                <c:pt idx="8">
                  <c:v>0.80690972222222224</c:v>
                </c:pt>
                <c:pt idx="9">
                  <c:v>0.99677083333333338</c:v>
                </c:pt>
                <c:pt idx="10">
                  <c:v>0.83403273809523815</c:v>
                </c:pt>
                <c:pt idx="11">
                  <c:v>0.68146577380952378</c:v>
                </c:pt>
                <c:pt idx="12">
                  <c:v>0</c:v>
                </c:pt>
                <c:pt idx="13">
                  <c:v>0.70307942708333337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2-485D-A749-C61E44727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8739488"/>
        <c:axId val="578745728"/>
      </c:barChart>
      <c:catAx>
        <c:axId val="57873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78745728"/>
        <c:crosses val="autoZero"/>
        <c:auto val="1"/>
        <c:lblAlgn val="ctr"/>
        <c:lblOffset val="100"/>
        <c:noMultiLvlLbl val="0"/>
      </c:catAx>
      <c:valAx>
        <c:axId val="5787457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78739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Utilization-Product Center B2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UTL!$Z$53:$Z$66</c:f>
              <c:strCache>
                <c:ptCount val="1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EG</c:v>
                </c:pt>
                <c:pt idx="8">
                  <c:v>EFG</c:v>
                </c:pt>
                <c:pt idx="9">
                  <c:v>H</c:v>
                </c:pt>
                <c:pt idx="10">
                  <c:v>I</c:v>
                </c:pt>
                <c:pt idx="11">
                  <c:v>J</c:v>
                </c:pt>
                <c:pt idx="12">
                  <c:v>LM</c:v>
                </c:pt>
                <c:pt idx="13">
                  <c:v>KLM</c:v>
                </c:pt>
              </c:strCache>
            </c:strRef>
          </c:cat>
          <c:val>
            <c:numRef>
              <c:f>UTL!$AV$53:$AV$66</c:f>
              <c:numCache>
                <c:formatCode>0.000</c:formatCode>
                <c:ptCount val="14"/>
                <c:pt idx="0">
                  <c:v>0.30143229166666669</c:v>
                </c:pt>
                <c:pt idx="1">
                  <c:v>0.74353298611111107</c:v>
                </c:pt>
                <c:pt idx="2">
                  <c:v>0.21100260416666666</c:v>
                </c:pt>
                <c:pt idx="3">
                  <c:v>0.76865234375000002</c:v>
                </c:pt>
                <c:pt idx="4">
                  <c:v>0.48229166666666667</c:v>
                </c:pt>
                <c:pt idx="5">
                  <c:v>0.80381944444444442</c:v>
                </c:pt>
                <c:pt idx="6">
                  <c:v>0</c:v>
                </c:pt>
                <c:pt idx="7">
                  <c:v>0.76362847222222219</c:v>
                </c:pt>
                <c:pt idx="8">
                  <c:v>0.87415364583333333</c:v>
                </c:pt>
                <c:pt idx="9">
                  <c:v>0.76362847222222219</c:v>
                </c:pt>
                <c:pt idx="10">
                  <c:v>0.71482514880952386</c:v>
                </c:pt>
                <c:pt idx="11">
                  <c:v>0.82893880208333337</c:v>
                </c:pt>
                <c:pt idx="12">
                  <c:v>0.84401041666666665</c:v>
                </c:pt>
                <c:pt idx="13">
                  <c:v>0.95252604166666666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EB-4606-A371-22334C342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7338352"/>
        <c:axId val="578442864"/>
      </c:barChart>
      <c:catAx>
        <c:axId val="121733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78442864"/>
        <c:crosses val="autoZero"/>
        <c:auto val="1"/>
        <c:lblAlgn val="ctr"/>
        <c:lblOffset val="100"/>
        <c:noMultiLvlLbl val="0"/>
      </c:catAx>
      <c:valAx>
        <c:axId val="5784428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17338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Utilization</a:t>
            </a:r>
            <a:r>
              <a:rPr lang="en-US" altLang="zh-TW" baseline="0"/>
              <a:t>-Product Center B1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UTL!$Z$69:$Z$82</c:f>
              <c:strCache>
                <c:ptCount val="1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EG</c:v>
                </c:pt>
                <c:pt idx="8">
                  <c:v>EFG</c:v>
                </c:pt>
                <c:pt idx="9">
                  <c:v>H</c:v>
                </c:pt>
                <c:pt idx="10">
                  <c:v>I</c:v>
                </c:pt>
                <c:pt idx="11">
                  <c:v>J</c:v>
                </c:pt>
                <c:pt idx="12">
                  <c:v>LM</c:v>
                </c:pt>
                <c:pt idx="13">
                  <c:v>KLM</c:v>
                </c:pt>
              </c:strCache>
            </c:strRef>
          </c:cat>
          <c:val>
            <c:numRef>
              <c:f>UTL!$AV$69:$AV$82</c:f>
              <c:numCache>
                <c:formatCode>0.000</c:formatCode>
                <c:ptCount val="14"/>
                <c:pt idx="0">
                  <c:v>0.29467013888888888</c:v>
                </c:pt>
                <c:pt idx="1">
                  <c:v>0.85722222222222222</c:v>
                </c:pt>
                <c:pt idx="2">
                  <c:v>0.24109375</c:v>
                </c:pt>
                <c:pt idx="3">
                  <c:v>0.91079861111111116</c:v>
                </c:pt>
                <c:pt idx="4">
                  <c:v>0.69649305555555552</c:v>
                </c:pt>
                <c:pt idx="5">
                  <c:v>0.68309895833333334</c:v>
                </c:pt>
                <c:pt idx="6">
                  <c:v>0.16072916666666667</c:v>
                </c:pt>
                <c:pt idx="7">
                  <c:v>0.80364583333333328</c:v>
                </c:pt>
                <c:pt idx="8">
                  <c:v>0.96437499999999998</c:v>
                </c:pt>
                <c:pt idx="9">
                  <c:v>0.96437499999999998</c:v>
                </c:pt>
                <c:pt idx="10">
                  <c:v>0.57403273809523814</c:v>
                </c:pt>
                <c:pt idx="11">
                  <c:v>0.94651620370370371</c:v>
                </c:pt>
                <c:pt idx="12">
                  <c:v>0.84382812500000004</c:v>
                </c:pt>
                <c:pt idx="13">
                  <c:v>0.92419270833333333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7-4514-820C-5DFBEB7BB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889071"/>
        <c:axId val="498894831"/>
      </c:barChart>
      <c:catAx>
        <c:axId val="49888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98894831"/>
        <c:crosses val="autoZero"/>
        <c:auto val="1"/>
        <c:lblAlgn val="ctr"/>
        <c:lblOffset val="100"/>
        <c:noMultiLvlLbl val="0"/>
      </c:catAx>
      <c:valAx>
        <c:axId val="49889483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98889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445770</xdr:colOff>
      <xdr:row>4</xdr:row>
      <xdr:rowOff>11430</xdr:rowOff>
    </xdr:from>
    <xdr:to>
      <xdr:col>57</xdr:col>
      <xdr:colOff>80010</xdr:colOff>
      <xdr:row>18</xdr:row>
      <xdr:rowOff>87630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4D79ACFB-EE75-851F-853F-ED4106F78D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48</xdr:col>
      <xdr:colOff>491490</xdr:colOff>
      <xdr:row>20</xdr:row>
      <xdr:rowOff>87630</xdr:rowOff>
    </xdr:from>
    <xdr:to>
      <xdr:col>57</xdr:col>
      <xdr:colOff>125730</xdr:colOff>
      <xdr:row>34</xdr:row>
      <xdr:rowOff>163830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AA5DBBB5-FF53-F40E-3738-0B131C18EE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48</xdr:col>
      <xdr:colOff>514350</xdr:colOff>
      <xdr:row>36</xdr:row>
      <xdr:rowOff>163830</xdr:rowOff>
    </xdr:from>
    <xdr:to>
      <xdr:col>57</xdr:col>
      <xdr:colOff>148590</xdr:colOff>
      <xdr:row>51</xdr:row>
      <xdr:rowOff>49530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7E7DE6BC-6C9A-5D3E-B8C1-47B22B134E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49</xdr:col>
      <xdr:colOff>19050</xdr:colOff>
      <xdr:row>53</xdr:row>
      <xdr:rowOff>11430</xdr:rowOff>
    </xdr:from>
    <xdr:to>
      <xdr:col>57</xdr:col>
      <xdr:colOff>201930</xdr:colOff>
      <xdr:row>67</xdr:row>
      <xdr:rowOff>87630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686A16E5-0EA5-2746-7AA3-74F23C49A6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48</xdr:col>
      <xdr:colOff>476250</xdr:colOff>
      <xdr:row>68</xdr:row>
      <xdr:rowOff>125730</xdr:rowOff>
    </xdr:from>
    <xdr:to>
      <xdr:col>57</xdr:col>
      <xdr:colOff>110490</xdr:colOff>
      <xdr:row>83</xdr:row>
      <xdr:rowOff>11430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92BBF3D7-F586-26FD-F447-554CA34357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7"/>
  <sheetViews>
    <sheetView tabSelected="1" topLeftCell="B1" zoomScaleNormal="100" workbookViewId="0">
      <selection activeCell="T28" sqref="T28"/>
    </sheetView>
  </sheetViews>
  <sheetFormatPr defaultRowHeight="15" x14ac:dyDescent="0.3"/>
  <cols>
    <col min="2" max="3" width="13.625" bestFit="1" customWidth="1"/>
    <col min="7" max="7" width="14.75" bestFit="1" customWidth="1"/>
    <col min="9" max="10" width="14.75" bestFit="1" customWidth="1"/>
    <col min="14" max="14" width="21.125" bestFit="1" customWidth="1"/>
    <col min="16" max="16" width="11.625" bestFit="1" customWidth="1"/>
    <col min="21" max="21" width="24" bestFit="1" customWidth="1"/>
  </cols>
  <sheetData>
    <row r="1" spans="1:26" x14ac:dyDescent="0.3">
      <c r="A1" s="1" t="s">
        <v>6</v>
      </c>
      <c r="O1" t="s">
        <v>61</v>
      </c>
      <c r="X1" s="2" t="s">
        <v>41</v>
      </c>
    </row>
    <row r="2" spans="1:26" x14ac:dyDescent="0.3">
      <c r="A2" t="s">
        <v>0</v>
      </c>
      <c r="B2" t="s">
        <v>128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N2" s="4" t="s">
        <v>63</v>
      </c>
      <c r="O2" s="3">
        <f>2500+2500*2.807*0.2</f>
        <v>3903.5</v>
      </c>
      <c r="R2">
        <v>4426</v>
      </c>
      <c r="U2">
        <f>O2*52</f>
        <v>202982</v>
      </c>
      <c r="W2" t="s">
        <v>5</v>
      </c>
      <c r="X2" s="2">
        <v>12.75</v>
      </c>
      <c r="Z2">
        <v>6</v>
      </c>
    </row>
    <row r="3" spans="1:26" x14ac:dyDescent="0.3">
      <c r="A3" t="s">
        <v>66</v>
      </c>
      <c r="B3">
        <f>X2*4/4</f>
        <v>12.75</v>
      </c>
      <c r="C3">
        <f>X3*2</f>
        <v>15.5</v>
      </c>
      <c r="D3">
        <f>X5*2</f>
        <v>15</v>
      </c>
      <c r="E3">
        <f>X6*2</f>
        <v>15</v>
      </c>
      <c r="F3">
        <f>X10*2</f>
        <v>17</v>
      </c>
      <c r="G3">
        <f>X11</f>
        <v>6.5</v>
      </c>
      <c r="H3">
        <f>X15*2</f>
        <v>9.5</v>
      </c>
      <c r="I3">
        <f>X17*4</f>
        <v>40</v>
      </c>
      <c r="J3">
        <f>X20*4</f>
        <v>42</v>
      </c>
      <c r="K3">
        <f>X21*3</f>
        <v>17.25</v>
      </c>
      <c r="N3" s="4" t="s">
        <v>64</v>
      </c>
      <c r="O3">
        <f>SUM(B3:K3)</f>
        <v>190.5</v>
      </c>
      <c r="W3" t="s">
        <v>42</v>
      </c>
      <c r="X3" s="2">
        <v>7.75</v>
      </c>
      <c r="Z3">
        <v>5</v>
      </c>
    </row>
    <row r="4" spans="1:26" x14ac:dyDescent="0.3">
      <c r="A4" t="s">
        <v>62</v>
      </c>
      <c r="B4">
        <f>6*4</f>
        <v>24</v>
      </c>
      <c r="C4">
        <v>5</v>
      </c>
      <c r="D4">
        <v>5</v>
      </c>
      <c r="E4">
        <v>4</v>
      </c>
      <c r="F4">
        <v>3</v>
      </c>
      <c r="G4">
        <v>4</v>
      </c>
      <c r="H4">
        <v>2</v>
      </c>
      <c r="I4">
        <v>4</v>
      </c>
      <c r="J4">
        <v>1</v>
      </c>
      <c r="K4">
        <v>1</v>
      </c>
      <c r="N4" s="4" t="s">
        <v>68</v>
      </c>
      <c r="O4">
        <f>SUM(B4:K4)</f>
        <v>53</v>
      </c>
      <c r="U4" s="3"/>
      <c r="W4" t="s">
        <v>43</v>
      </c>
      <c r="X4" s="2">
        <v>9.5</v>
      </c>
      <c r="Z4">
        <v>5</v>
      </c>
    </row>
    <row r="5" spans="1:26" x14ac:dyDescent="0.3">
      <c r="N5" s="4" t="s">
        <v>65</v>
      </c>
      <c r="O5">
        <f>O2*O3</f>
        <v>743616.75</v>
      </c>
      <c r="R5">
        <f>R2*O3</f>
        <v>843153</v>
      </c>
      <c r="W5" t="s">
        <v>44</v>
      </c>
      <c r="X5" s="2">
        <v>7.5</v>
      </c>
      <c r="Z5">
        <v>5</v>
      </c>
    </row>
    <row r="6" spans="1:26" x14ac:dyDescent="0.3">
      <c r="N6" s="4" t="s">
        <v>69</v>
      </c>
      <c r="O6">
        <f>O5/(124800*2)</f>
        <v>2.9792337740384616</v>
      </c>
      <c r="P6">
        <f>O4*O6</f>
        <v>157.89939002403847</v>
      </c>
      <c r="Q6">
        <f>53*3</f>
        <v>159</v>
      </c>
      <c r="R6">
        <f>R5/(124800*2)</f>
        <v>3.3780168269230768</v>
      </c>
      <c r="S6">
        <f>O4*R6</f>
        <v>179.03489182692306</v>
      </c>
      <c r="T6">
        <v>180</v>
      </c>
      <c r="W6" t="s">
        <v>45</v>
      </c>
      <c r="X6" s="2">
        <v>7.5</v>
      </c>
      <c r="Z6">
        <v>4</v>
      </c>
    </row>
    <row r="7" spans="1:26" x14ac:dyDescent="0.3">
      <c r="A7" t="s">
        <v>1</v>
      </c>
      <c r="B7" t="s">
        <v>19</v>
      </c>
      <c r="C7" t="s">
        <v>20</v>
      </c>
      <c r="D7" t="s">
        <v>21</v>
      </c>
      <c r="E7" t="s">
        <v>22</v>
      </c>
      <c r="F7" t="s">
        <v>13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  <c r="N7" s="5" t="s">
        <v>63</v>
      </c>
      <c r="O7" s="3">
        <f>1923+2.807*1923*0.2</f>
        <v>3002.5722000000001</v>
      </c>
      <c r="R7">
        <v>3404</v>
      </c>
      <c r="U7" s="3">
        <f>O7*52</f>
        <v>156133.75440000001</v>
      </c>
      <c r="W7" t="s">
        <v>46</v>
      </c>
      <c r="X7" s="2">
        <v>10.5</v>
      </c>
      <c r="Z7">
        <v>7</v>
      </c>
    </row>
    <row r="8" spans="1:26" x14ac:dyDescent="0.3">
      <c r="A8" t="s">
        <v>66</v>
      </c>
      <c r="B8">
        <f>X2*2</f>
        <v>25.5</v>
      </c>
      <c r="C8">
        <f>X5*1</f>
        <v>7.5</v>
      </c>
      <c r="D8">
        <f>X6*1</f>
        <v>7.5</v>
      </c>
      <c r="E8">
        <f>X8*4</f>
        <v>40</v>
      </c>
      <c r="F8">
        <f>X10*2</f>
        <v>17</v>
      </c>
      <c r="G8">
        <f>X15*4</f>
        <v>19</v>
      </c>
      <c r="H8">
        <f>X17</f>
        <v>10</v>
      </c>
      <c r="I8">
        <f>X19</f>
        <v>6.25</v>
      </c>
      <c r="J8">
        <f>X20*2</f>
        <v>21</v>
      </c>
      <c r="K8">
        <f>X21*2</f>
        <v>11.5</v>
      </c>
      <c r="N8" s="5" t="s">
        <v>64</v>
      </c>
      <c r="O8">
        <f>SUM(B8:K8)</f>
        <v>165.25</v>
      </c>
      <c r="W8" t="s">
        <v>47</v>
      </c>
      <c r="X8" s="2">
        <v>10</v>
      </c>
      <c r="Z8">
        <v>6</v>
      </c>
    </row>
    <row r="9" spans="1:26" x14ac:dyDescent="0.3">
      <c r="A9" t="s">
        <v>62</v>
      </c>
      <c r="B9">
        <v>6</v>
      </c>
      <c r="C9">
        <v>5</v>
      </c>
      <c r="D9">
        <v>4</v>
      </c>
      <c r="E9">
        <v>6</v>
      </c>
      <c r="F9">
        <v>3</v>
      </c>
      <c r="G9">
        <v>2</v>
      </c>
      <c r="H9">
        <v>4</v>
      </c>
      <c r="I9">
        <v>1</v>
      </c>
      <c r="J9">
        <v>1</v>
      </c>
      <c r="K9">
        <v>1</v>
      </c>
      <c r="N9" s="5" t="s">
        <v>68</v>
      </c>
      <c r="O9">
        <f>SUM(B9:K9)</f>
        <v>33</v>
      </c>
      <c r="W9" t="s">
        <v>48</v>
      </c>
      <c r="X9" s="2">
        <v>4.75</v>
      </c>
      <c r="Z9">
        <v>4</v>
      </c>
    </row>
    <row r="10" spans="1:26" x14ac:dyDescent="0.3">
      <c r="N10" s="5" t="s">
        <v>65</v>
      </c>
      <c r="O10">
        <f>O7*O8</f>
        <v>496175.05605000001</v>
      </c>
      <c r="R10">
        <f>R7*O8</f>
        <v>562511</v>
      </c>
      <c r="W10" t="s">
        <v>49</v>
      </c>
      <c r="X10" s="2">
        <v>8.5</v>
      </c>
      <c r="Z10">
        <v>3</v>
      </c>
    </row>
    <row r="11" spans="1:26" x14ac:dyDescent="0.3">
      <c r="N11" s="5" t="s">
        <v>69</v>
      </c>
      <c r="O11">
        <f>O10/(124800*2)</f>
        <v>1.987880833533654</v>
      </c>
      <c r="P11">
        <f>O9*O11</f>
        <v>65.600067506610586</v>
      </c>
      <c r="Q11">
        <f>33*2</f>
        <v>66</v>
      </c>
      <c r="R11">
        <f>R10/(124800*2)</f>
        <v>2.2536498397435896</v>
      </c>
      <c r="S11">
        <f>O9*R11</f>
        <v>74.370444711538454</v>
      </c>
      <c r="T11">
        <v>75</v>
      </c>
      <c r="W11" t="s">
        <v>50</v>
      </c>
      <c r="X11" s="2">
        <v>6.5</v>
      </c>
      <c r="Z11">
        <v>4</v>
      </c>
    </row>
    <row r="12" spans="1:26" x14ac:dyDescent="0.3">
      <c r="A12" t="s">
        <v>2</v>
      </c>
      <c r="B12" t="s">
        <v>7</v>
      </c>
      <c r="C12" t="s">
        <v>126</v>
      </c>
      <c r="D12" t="s">
        <v>28</v>
      </c>
      <c r="E12" t="s">
        <v>14</v>
      </c>
      <c r="F12" t="s">
        <v>29</v>
      </c>
      <c r="G12" t="s">
        <v>127</v>
      </c>
      <c r="H12" t="s">
        <v>31</v>
      </c>
      <c r="I12" t="s">
        <v>129</v>
      </c>
      <c r="J12" t="s">
        <v>125</v>
      </c>
      <c r="N12" s="6" t="s">
        <v>63</v>
      </c>
      <c r="O12" s="3">
        <f>962+2.807*962*0.15</f>
        <v>1367.0500999999999</v>
      </c>
      <c r="R12">
        <v>1550</v>
      </c>
      <c r="U12" s="3">
        <f>O12*52</f>
        <v>71086.605199999991</v>
      </c>
      <c r="W12" t="s">
        <v>51</v>
      </c>
      <c r="X12" s="2">
        <v>4</v>
      </c>
      <c r="Z12">
        <v>2</v>
      </c>
    </row>
    <row r="13" spans="1:26" x14ac:dyDescent="0.3">
      <c r="A13" t="s">
        <v>67</v>
      </c>
      <c r="B13">
        <f>X2</f>
        <v>12.75</v>
      </c>
      <c r="C13">
        <f>X3*4/2</f>
        <v>15.5</v>
      </c>
      <c r="D13">
        <f>X7</f>
        <v>10.5</v>
      </c>
      <c r="E13">
        <f>X11</f>
        <v>6.5</v>
      </c>
      <c r="F13">
        <f>X12*2</f>
        <v>8</v>
      </c>
      <c r="G13">
        <f>X13*4/2</f>
        <v>12</v>
      </c>
      <c r="H13">
        <f>X14*2</f>
        <v>15</v>
      </c>
      <c r="I13">
        <f>X18*2/4</f>
        <v>3.625</v>
      </c>
      <c r="J13">
        <f>X19*4/4</f>
        <v>6.25</v>
      </c>
      <c r="N13" s="6" t="s">
        <v>64</v>
      </c>
      <c r="O13">
        <f>SUM(B13:J13)</f>
        <v>90.125</v>
      </c>
      <c r="W13" t="s">
        <v>52</v>
      </c>
      <c r="X13" s="2">
        <v>6</v>
      </c>
      <c r="Z13">
        <v>4</v>
      </c>
    </row>
    <row r="14" spans="1:26" x14ac:dyDescent="0.3">
      <c r="A14" t="s">
        <v>62</v>
      </c>
      <c r="B14">
        <v>6</v>
      </c>
      <c r="C14">
        <f>5*2</f>
        <v>10</v>
      </c>
      <c r="D14">
        <v>7</v>
      </c>
      <c r="E14">
        <v>4</v>
      </c>
      <c r="F14">
        <v>2</v>
      </c>
      <c r="G14">
        <f>4*2</f>
        <v>8</v>
      </c>
      <c r="H14">
        <v>3</v>
      </c>
      <c r="I14">
        <f>1*4</f>
        <v>4</v>
      </c>
      <c r="J14">
        <f>1*4</f>
        <v>4</v>
      </c>
      <c r="N14" s="6" t="s">
        <v>68</v>
      </c>
      <c r="O14">
        <f>SUM(B14:J14)</f>
        <v>48</v>
      </c>
      <c r="W14" t="s">
        <v>53</v>
      </c>
      <c r="X14" s="2">
        <v>7.5</v>
      </c>
      <c r="Z14">
        <v>3</v>
      </c>
    </row>
    <row r="15" spans="1:26" x14ac:dyDescent="0.3">
      <c r="N15" s="6" t="s">
        <v>65</v>
      </c>
      <c r="O15">
        <f>O12*O13</f>
        <v>123205.39026249999</v>
      </c>
      <c r="R15">
        <f>R12*O13</f>
        <v>139693.75</v>
      </c>
      <c r="W15" t="s">
        <v>54</v>
      </c>
      <c r="X15" s="2">
        <v>4.75</v>
      </c>
      <c r="Z15">
        <v>2</v>
      </c>
    </row>
    <row r="16" spans="1:26" x14ac:dyDescent="0.3">
      <c r="N16" s="6" t="s">
        <v>70</v>
      </c>
      <c r="O16">
        <f>O15/(124800)</f>
        <v>0.98722267838541655</v>
      </c>
      <c r="P16">
        <f>O16*O14</f>
        <v>47.386688562499998</v>
      </c>
      <c r="Q16">
        <f>48*1</f>
        <v>48</v>
      </c>
      <c r="R16">
        <f>R15/(124800)</f>
        <v>1.1193409455128205</v>
      </c>
      <c r="S16">
        <f>O14*R16</f>
        <v>53.728365384615387</v>
      </c>
      <c r="T16">
        <v>54</v>
      </c>
      <c r="W16" t="s">
        <v>55</v>
      </c>
      <c r="X16" s="2">
        <v>7.5</v>
      </c>
      <c r="Z16">
        <v>4</v>
      </c>
    </row>
    <row r="17" spans="1:26" x14ac:dyDescent="0.3">
      <c r="A17" t="s">
        <v>3</v>
      </c>
      <c r="B17" t="s">
        <v>7</v>
      </c>
      <c r="C17" t="s">
        <v>34</v>
      </c>
      <c r="D17" t="s">
        <v>35</v>
      </c>
      <c r="E17" t="s">
        <v>22</v>
      </c>
      <c r="F17" t="s">
        <v>36</v>
      </c>
      <c r="G17" t="s">
        <v>30</v>
      </c>
      <c r="H17" t="s">
        <v>31</v>
      </c>
      <c r="I17" t="s">
        <v>15</v>
      </c>
      <c r="J17" t="s">
        <v>32</v>
      </c>
      <c r="K17" t="s">
        <v>33</v>
      </c>
      <c r="L17" t="s">
        <v>37</v>
      </c>
      <c r="N17" s="7" t="s">
        <v>63</v>
      </c>
      <c r="O17" s="3">
        <f>1538+2.807*1538*0.18</f>
        <v>2315.08988</v>
      </c>
      <c r="R17">
        <v>2625</v>
      </c>
      <c r="U17" s="3">
        <f>O17*52</f>
        <v>120384.67376000001</v>
      </c>
      <c r="W17" t="s">
        <v>56</v>
      </c>
      <c r="X17" s="2">
        <v>10</v>
      </c>
      <c r="Z17">
        <v>4</v>
      </c>
    </row>
    <row r="18" spans="1:26" x14ac:dyDescent="0.3">
      <c r="A18" t="s">
        <v>66</v>
      </c>
      <c r="B18">
        <f>X2</f>
        <v>12.75</v>
      </c>
      <c r="C18">
        <f>X4</f>
        <v>9.5</v>
      </c>
      <c r="D18">
        <f>X7*2</f>
        <v>21</v>
      </c>
      <c r="E18">
        <f>X8*4</f>
        <v>40</v>
      </c>
      <c r="F18">
        <f>X12*4</f>
        <v>16</v>
      </c>
      <c r="G18">
        <f>X13*4</f>
        <v>24</v>
      </c>
      <c r="H18">
        <f>X14*2</f>
        <v>15</v>
      </c>
      <c r="I18">
        <f>X15*2</f>
        <v>9.5</v>
      </c>
      <c r="J18">
        <f>X18*2</f>
        <v>14.5</v>
      </c>
      <c r="K18">
        <f>X19*4</f>
        <v>25</v>
      </c>
      <c r="L18">
        <f>X20</f>
        <v>10.5</v>
      </c>
      <c r="N18" s="7" t="s">
        <v>64</v>
      </c>
      <c r="O18">
        <f>SUM(B18:L18)</f>
        <v>197.75</v>
      </c>
      <c r="W18" t="s">
        <v>57</v>
      </c>
      <c r="X18" s="2">
        <v>7.25</v>
      </c>
      <c r="Z18">
        <v>1</v>
      </c>
    </row>
    <row r="19" spans="1:26" x14ac:dyDescent="0.3">
      <c r="A19" t="s">
        <v>62</v>
      </c>
      <c r="B19">
        <v>6</v>
      </c>
      <c r="C19">
        <v>5</v>
      </c>
      <c r="D19">
        <v>7</v>
      </c>
      <c r="E19">
        <v>6</v>
      </c>
      <c r="F19">
        <v>2</v>
      </c>
      <c r="G19">
        <v>4</v>
      </c>
      <c r="H19">
        <v>3</v>
      </c>
      <c r="I19">
        <v>2</v>
      </c>
      <c r="J19">
        <v>1</v>
      </c>
      <c r="K19">
        <v>1</v>
      </c>
      <c r="L19">
        <v>1</v>
      </c>
      <c r="N19" s="7" t="s">
        <v>68</v>
      </c>
      <c r="O19">
        <f>SUM(B19:L19)</f>
        <v>38</v>
      </c>
      <c r="W19" t="s">
        <v>58</v>
      </c>
      <c r="X19" s="2">
        <v>6.25</v>
      </c>
      <c r="Z19">
        <v>1</v>
      </c>
    </row>
    <row r="20" spans="1:26" x14ac:dyDescent="0.3">
      <c r="N20" s="7" t="s">
        <v>65</v>
      </c>
      <c r="O20">
        <f>O17*O18</f>
        <v>457809.02376999997</v>
      </c>
      <c r="R20">
        <f>R17*O18</f>
        <v>519093.75</v>
      </c>
      <c r="W20" t="s">
        <v>59</v>
      </c>
      <c r="X20" s="2">
        <v>10.5</v>
      </c>
      <c r="Z20">
        <v>1</v>
      </c>
    </row>
    <row r="21" spans="1:26" x14ac:dyDescent="0.3">
      <c r="N21" s="7" t="s">
        <v>71</v>
      </c>
      <c r="O21">
        <f>O20/(124800*2)</f>
        <v>1.8341707683092947</v>
      </c>
      <c r="P21">
        <f>O21*O19</f>
        <v>69.698489195753197</v>
      </c>
      <c r="Q21">
        <f>38*2</f>
        <v>76</v>
      </c>
      <c r="R21">
        <f>R20/(124800*2)</f>
        <v>2.0797025240384617</v>
      </c>
      <c r="S21">
        <f>O19*R21</f>
        <v>79.028695913461547</v>
      </c>
      <c r="T21">
        <v>80</v>
      </c>
      <c r="W21" t="s">
        <v>60</v>
      </c>
      <c r="X21" s="2">
        <v>5.75</v>
      </c>
      <c r="Z21">
        <v>1</v>
      </c>
    </row>
    <row r="22" spans="1:26" x14ac:dyDescent="0.3">
      <c r="A22" t="s">
        <v>4</v>
      </c>
      <c r="B22" t="s">
        <v>128</v>
      </c>
      <c r="C22" t="s">
        <v>10</v>
      </c>
      <c r="D22" t="s">
        <v>38</v>
      </c>
      <c r="E22" t="s">
        <v>11</v>
      </c>
      <c r="F22" t="s">
        <v>39</v>
      </c>
      <c r="G22" t="s">
        <v>14</v>
      </c>
      <c r="H22" t="s">
        <v>15</v>
      </c>
      <c r="I22" t="s">
        <v>40</v>
      </c>
      <c r="J22" t="s">
        <v>124</v>
      </c>
      <c r="K22" t="s">
        <v>18</v>
      </c>
      <c r="N22" s="8" t="s">
        <v>63</v>
      </c>
      <c r="O22" s="3">
        <f>1154+1154*2.807*0.12</f>
        <v>1542.71336</v>
      </c>
      <c r="R22">
        <v>1749</v>
      </c>
      <c r="U22" s="3">
        <f>O22*52</f>
        <v>80221.094719999994</v>
      </c>
    </row>
    <row r="23" spans="1:26" x14ac:dyDescent="0.3">
      <c r="A23" t="s">
        <v>66</v>
      </c>
      <c r="B23">
        <f>X2*4/4</f>
        <v>12.75</v>
      </c>
      <c r="C23">
        <f>X3*2</f>
        <v>15.5</v>
      </c>
      <c r="D23">
        <f>X4*4</f>
        <v>38</v>
      </c>
      <c r="E23">
        <f>X5*2</f>
        <v>15</v>
      </c>
      <c r="F23">
        <f>X9*4</f>
        <v>19</v>
      </c>
      <c r="G23">
        <f>X11*1</f>
        <v>6.5</v>
      </c>
      <c r="H23">
        <f>X15*2</f>
        <v>9.5</v>
      </c>
      <c r="I23">
        <f>X16*2</f>
        <v>15</v>
      </c>
      <c r="J23">
        <f>X20*4/4</f>
        <v>10.5</v>
      </c>
      <c r="K23">
        <f>X21*3</f>
        <v>17.25</v>
      </c>
      <c r="N23" s="8" t="s">
        <v>64</v>
      </c>
      <c r="O23">
        <f>SUM(B23:K23)</f>
        <v>159</v>
      </c>
    </row>
    <row r="24" spans="1:26" x14ac:dyDescent="0.3">
      <c r="A24" t="s">
        <v>62</v>
      </c>
      <c r="B24">
        <f>6*4</f>
        <v>24</v>
      </c>
      <c r="C24">
        <v>5</v>
      </c>
      <c r="D24">
        <v>5</v>
      </c>
      <c r="E24">
        <v>5</v>
      </c>
      <c r="F24">
        <v>4</v>
      </c>
      <c r="G24">
        <v>4</v>
      </c>
      <c r="H24">
        <v>2</v>
      </c>
      <c r="I24">
        <v>4</v>
      </c>
      <c r="J24">
        <f>1*4</f>
        <v>4</v>
      </c>
      <c r="K24">
        <v>1</v>
      </c>
      <c r="N24" s="8" t="s">
        <v>68</v>
      </c>
      <c r="O24">
        <f>SUM(B24:K24)</f>
        <v>58</v>
      </c>
    </row>
    <row r="25" spans="1:26" x14ac:dyDescent="0.3">
      <c r="N25" s="8" t="s">
        <v>65</v>
      </c>
      <c r="O25">
        <f>O22*O23</f>
        <v>245291.42423999999</v>
      </c>
      <c r="R25">
        <f>R22*O23</f>
        <v>278091</v>
      </c>
    </row>
    <row r="26" spans="1:26" x14ac:dyDescent="0.3">
      <c r="N26" s="8" t="s">
        <v>71</v>
      </c>
      <c r="O26">
        <f>O25/(124800*2)</f>
        <v>0.98273807788461531</v>
      </c>
      <c r="P26">
        <f>O24*O26</f>
        <v>56.998808517307687</v>
      </c>
      <c r="Q26">
        <f>58*1</f>
        <v>58</v>
      </c>
      <c r="R26">
        <f>R25/(124800*2)</f>
        <v>1.1141466346153845</v>
      </c>
      <c r="S26">
        <f>O24*R26</f>
        <v>64.620504807692299</v>
      </c>
      <c r="T26">
        <v>65</v>
      </c>
      <c r="U26" s="3">
        <f>U2+U7+U12+U17+U22</f>
        <v>630808.12807999994</v>
      </c>
    </row>
    <row r="27" spans="1:26" x14ac:dyDescent="0.3">
      <c r="P27">
        <f>P6+P11+P16+P21+P26</f>
        <v>397.58344380620997</v>
      </c>
      <c r="Q27">
        <f>Q6+Q11+Q16+Q26+Q21</f>
        <v>407</v>
      </c>
      <c r="T27">
        <f>T6+T11+T16+T21+T26</f>
        <v>454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99839-E5E5-459E-940B-BF4F179F3FB8}">
  <dimension ref="A1:AB47"/>
  <sheetViews>
    <sheetView topLeftCell="H31" workbookViewId="0">
      <selection activeCell="U19" sqref="U19"/>
    </sheetView>
  </sheetViews>
  <sheetFormatPr defaultRowHeight="15" x14ac:dyDescent="0.3"/>
  <cols>
    <col min="1" max="1" width="20.75" bestFit="1" customWidth="1"/>
    <col min="2" max="9" width="9.25" bestFit="1" customWidth="1"/>
    <col min="10" max="10" width="10.5" bestFit="1" customWidth="1"/>
    <col min="11" max="11" width="10.625" bestFit="1" customWidth="1"/>
    <col min="12" max="14" width="9.25" bestFit="1" customWidth="1"/>
    <col min="15" max="15" width="14.375" bestFit="1" customWidth="1"/>
    <col min="16" max="16" width="21.5" bestFit="1" customWidth="1"/>
    <col min="17" max="17" width="16.375" bestFit="1" customWidth="1"/>
    <col min="18" max="18" width="15.5" bestFit="1" customWidth="1"/>
    <col min="23" max="23" width="9.5" bestFit="1" customWidth="1"/>
    <col min="25" max="25" width="16.125" bestFit="1" customWidth="1"/>
    <col min="27" max="27" width="11.625" bestFit="1" customWidth="1"/>
  </cols>
  <sheetData>
    <row r="1" spans="2:28" x14ac:dyDescent="0.3">
      <c r="B1" t="s">
        <v>4</v>
      </c>
      <c r="C1" t="s">
        <v>72</v>
      </c>
      <c r="D1" t="s">
        <v>10</v>
      </c>
      <c r="E1" t="s">
        <v>38</v>
      </c>
      <c r="F1" t="s">
        <v>11</v>
      </c>
      <c r="G1" t="s">
        <v>39</v>
      </c>
      <c r="H1" t="s">
        <v>14</v>
      </c>
      <c r="I1" t="s">
        <v>15</v>
      </c>
      <c r="J1" t="s">
        <v>40</v>
      </c>
      <c r="K1" t="s">
        <v>17</v>
      </c>
      <c r="L1" t="s">
        <v>18</v>
      </c>
      <c r="O1" t="s">
        <v>73</v>
      </c>
      <c r="P1" s="3">
        <f>2*(1154+1154*0.12*3.09)</f>
        <v>3163.8063999999999</v>
      </c>
      <c r="R1" t="s">
        <v>5</v>
      </c>
      <c r="S1" t="s">
        <v>42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</row>
    <row r="2" spans="2:28" x14ac:dyDescent="0.3">
      <c r="R2" s="3">
        <f>4*P1</f>
        <v>12655.2256</v>
      </c>
      <c r="S2" s="3">
        <f>2*P1</f>
        <v>6327.6127999999999</v>
      </c>
      <c r="T2" s="3">
        <f>4*P1</f>
        <v>12655.2256</v>
      </c>
      <c r="U2" s="3">
        <f>2*P1</f>
        <v>6327.6127999999999</v>
      </c>
      <c r="V2" s="3">
        <f>4*P1</f>
        <v>12655.2256</v>
      </c>
      <c r="W2" s="3">
        <f>P1</f>
        <v>3163.8063999999999</v>
      </c>
      <c r="X2" s="3">
        <f>2*P1</f>
        <v>6327.6127999999999</v>
      </c>
      <c r="Y2" s="3">
        <f>2*P1</f>
        <v>6327.6127999999999</v>
      </c>
      <c r="Z2" s="3">
        <f>4*P1</f>
        <v>12655.2256</v>
      </c>
      <c r="AA2" s="3">
        <f>3*P1</f>
        <v>9491.4192000000003</v>
      </c>
    </row>
    <row r="3" spans="2:28" x14ac:dyDescent="0.3">
      <c r="B3" t="s">
        <v>3</v>
      </c>
      <c r="C3" t="s">
        <v>7</v>
      </c>
      <c r="D3" t="s">
        <v>34</v>
      </c>
      <c r="E3" t="s">
        <v>35</v>
      </c>
      <c r="F3" t="s">
        <v>22</v>
      </c>
      <c r="G3" t="s">
        <v>36</v>
      </c>
      <c r="H3" t="s">
        <v>30</v>
      </c>
      <c r="I3" t="s">
        <v>31</v>
      </c>
      <c r="J3" t="s">
        <v>15</v>
      </c>
      <c r="K3" t="s">
        <v>32</v>
      </c>
      <c r="L3" t="s">
        <v>33</v>
      </c>
      <c r="M3" t="s">
        <v>37</v>
      </c>
      <c r="O3" t="s">
        <v>73</v>
      </c>
      <c r="P3" s="3">
        <f>2*(1538+1538*0.18*3.09)</f>
        <v>4786.8711999999996</v>
      </c>
      <c r="R3" t="s">
        <v>5</v>
      </c>
      <c r="S3" t="s">
        <v>74</v>
      </c>
      <c r="T3" t="s">
        <v>82</v>
      </c>
      <c r="U3" t="s">
        <v>84</v>
      </c>
      <c r="V3" t="s">
        <v>85</v>
      </c>
      <c r="W3" t="s">
        <v>87</v>
      </c>
      <c r="X3" t="s">
        <v>88</v>
      </c>
      <c r="Y3" t="s">
        <v>78</v>
      </c>
      <c r="Z3" t="s">
        <v>90</v>
      </c>
      <c r="AA3" t="s">
        <v>91</v>
      </c>
      <c r="AB3" t="s">
        <v>80</v>
      </c>
    </row>
    <row r="4" spans="2:28" x14ac:dyDescent="0.3">
      <c r="R4" s="3">
        <f>P3</f>
        <v>4786.8711999999996</v>
      </c>
      <c r="S4" s="3">
        <f>P3</f>
        <v>4786.8711999999996</v>
      </c>
      <c r="T4" s="3">
        <f>2*P3</f>
        <v>9573.7423999999992</v>
      </c>
      <c r="U4" s="3">
        <f>4*P3</f>
        <v>19147.484799999998</v>
      </c>
      <c r="V4" s="3">
        <f>4*P3</f>
        <v>19147.484799999998</v>
      </c>
      <c r="W4" s="3">
        <f>4*P3</f>
        <v>19147.484799999998</v>
      </c>
      <c r="X4" s="3">
        <f>2*P3</f>
        <v>9573.7423999999992</v>
      </c>
      <c r="Y4" s="3">
        <f>2*P3</f>
        <v>9573.7423999999992</v>
      </c>
      <c r="Z4" s="3">
        <f>2*P3</f>
        <v>9573.7423999999992</v>
      </c>
      <c r="AA4" s="3">
        <f>4*P3</f>
        <v>19147.484799999998</v>
      </c>
      <c r="AB4" s="3">
        <f>P3</f>
        <v>4786.8711999999996</v>
      </c>
    </row>
    <row r="5" spans="2:28" x14ac:dyDescent="0.3">
      <c r="B5" t="s">
        <v>2</v>
      </c>
      <c r="C5" t="s">
        <v>7</v>
      </c>
      <c r="D5" t="s">
        <v>8</v>
      </c>
      <c r="E5" t="s">
        <v>28</v>
      </c>
      <c r="F5" t="s">
        <v>14</v>
      </c>
      <c r="G5" t="s">
        <v>29</v>
      </c>
      <c r="H5" t="s">
        <v>30</v>
      </c>
      <c r="I5" t="s">
        <v>31</v>
      </c>
      <c r="J5" t="s">
        <v>32</v>
      </c>
      <c r="K5" t="s">
        <v>33</v>
      </c>
      <c r="O5" t="s">
        <v>73</v>
      </c>
      <c r="P5" s="3">
        <f>2*(962+962*0.15*3.09)</f>
        <v>2815.7739999999999</v>
      </c>
      <c r="R5" t="s">
        <v>5</v>
      </c>
      <c r="S5" t="s">
        <v>42</v>
      </c>
      <c r="T5" t="s">
        <v>82</v>
      </c>
      <c r="U5" t="s">
        <v>77</v>
      </c>
      <c r="V5" t="s">
        <v>85</v>
      </c>
      <c r="W5" t="s">
        <v>87</v>
      </c>
      <c r="X5" t="s">
        <v>88</v>
      </c>
      <c r="Y5" t="s">
        <v>90</v>
      </c>
      <c r="Z5" t="s">
        <v>91</v>
      </c>
    </row>
    <row r="6" spans="2:28" x14ac:dyDescent="0.3">
      <c r="R6" s="3">
        <f>P5</f>
        <v>2815.7739999999999</v>
      </c>
      <c r="S6" s="3">
        <f>4*P5</f>
        <v>11263.096</v>
      </c>
      <c r="T6" s="3">
        <f>P5</f>
        <v>2815.7739999999999</v>
      </c>
      <c r="U6" s="3">
        <f>P5</f>
        <v>2815.7739999999999</v>
      </c>
      <c r="V6" s="3">
        <f>2*P5</f>
        <v>5631.5479999999998</v>
      </c>
      <c r="W6" s="3">
        <f>4*P5</f>
        <v>11263.096</v>
      </c>
      <c r="X6" s="3">
        <f>2*P5</f>
        <v>5631.5479999999998</v>
      </c>
      <c r="Y6" s="3">
        <f>2*P5</f>
        <v>5631.5479999999998</v>
      </c>
      <c r="Z6" s="3">
        <f>4*P5</f>
        <v>11263.096</v>
      </c>
    </row>
    <row r="7" spans="2:28" x14ac:dyDescent="0.3">
      <c r="B7" t="s">
        <v>1</v>
      </c>
      <c r="C7" t="s">
        <v>19</v>
      </c>
      <c r="D7" t="s">
        <v>20</v>
      </c>
      <c r="E7" t="s">
        <v>21</v>
      </c>
      <c r="F7" t="s">
        <v>22</v>
      </c>
      <c r="G7" t="s">
        <v>13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O7" t="s">
        <v>73</v>
      </c>
      <c r="P7" s="3">
        <f>2*(1923+1923*0.2*3.09)</f>
        <v>6222.8279999999995</v>
      </c>
      <c r="R7" t="s">
        <v>5</v>
      </c>
      <c r="S7" t="s">
        <v>75</v>
      </c>
      <c r="T7" t="s">
        <v>83</v>
      </c>
      <c r="U7" t="s">
        <v>84</v>
      </c>
      <c r="V7" t="s">
        <v>86</v>
      </c>
      <c r="W7" t="s">
        <v>78</v>
      </c>
      <c r="X7" t="s">
        <v>89</v>
      </c>
      <c r="Y7" t="s">
        <v>91</v>
      </c>
      <c r="Z7" t="s">
        <v>80</v>
      </c>
      <c r="AA7" t="s">
        <v>81</v>
      </c>
    </row>
    <row r="8" spans="2:28" x14ac:dyDescent="0.3">
      <c r="R8" s="3">
        <f>2*P7</f>
        <v>12445.655999999999</v>
      </c>
      <c r="S8" s="3">
        <f>P7</f>
        <v>6222.8279999999995</v>
      </c>
      <c r="T8" s="3">
        <f>P7</f>
        <v>6222.8279999999995</v>
      </c>
      <c r="U8" s="3">
        <f>4*P7</f>
        <v>24891.311999999998</v>
      </c>
      <c r="V8" s="3">
        <f>2*P7</f>
        <v>12445.655999999999</v>
      </c>
      <c r="W8" s="3">
        <f>4*P7</f>
        <v>24891.311999999998</v>
      </c>
      <c r="X8" s="3">
        <f>1*P7</f>
        <v>6222.8279999999995</v>
      </c>
      <c r="Y8" s="3">
        <f>P7</f>
        <v>6222.8279999999995</v>
      </c>
      <c r="Z8" s="3">
        <f>2*P7</f>
        <v>12445.655999999999</v>
      </c>
      <c r="AA8" s="3">
        <f>2*P7</f>
        <v>12445.655999999999</v>
      </c>
    </row>
    <row r="9" spans="2:28" x14ac:dyDescent="0.3">
      <c r="B9" t="s">
        <v>0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17</v>
      </c>
      <c r="L9" t="s">
        <v>18</v>
      </c>
      <c r="O9" t="s">
        <v>73</v>
      </c>
      <c r="P9" s="3">
        <f>2*(2500+2500*0.2*3.09)</f>
        <v>8090</v>
      </c>
      <c r="R9" t="s">
        <v>5</v>
      </c>
      <c r="S9" t="s">
        <v>42</v>
      </c>
      <c r="T9" t="s">
        <v>75</v>
      </c>
      <c r="U9" t="s">
        <v>83</v>
      </c>
      <c r="V9" t="s">
        <v>86</v>
      </c>
      <c r="W9" t="s">
        <v>77</v>
      </c>
      <c r="X9" t="s">
        <v>78</v>
      </c>
      <c r="Y9" t="s">
        <v>89</v>
      </c>
      <c r="Z9" t="s">
        <v>80</v>
      </c>
      <c r="AA9" t="s">
        <v>81</v>
      </c>
    </row>
    <row r="10" spans="2:28" x14ac:dyDescent="0.3">
      <c r="R10">
        <f>4*P9</f>
        <v>32360</v>
      </c>
      <c r="S10">
        <f>2*P9</f>
        <v>16180</v>
      </c>
      <c r="T10">
        <f>2*P9</f>
        <v>16180</v>
      </c>
      <c r="U10">
        <f>2*P9</f>
        <v>16180</v>
      </c>
      <c r="V10">
        <f>2*P9</f>
        <v>16180</v>
      </c>
      <c r="W10">
        <f>P9</f>
        <v>8090</v>
      </c>
      <c r="X10">
        <f>2*P9</f>
        <v>16180</v>
      </c>
      <c r="Y10">
        <f>4*P9</f>
        <v>32360</v>
      </c>
      <c r="Z10">
        <f>4*P9</f>
        <v>32360</v>
      </c>
      <c r="AA10">
        <f>3*P9</f>
        <v>24270</v>
      </c>
    </row>
    <row r="16" spans="2:28" x14ac:dyDescent="0.3">
      <c r="B16" t="s">
        <v>92</v>
      </c>
    </row>
    <row r="17" spans="1:25" x14ac:dyDescent="0.3">
      <c r="B17" t="s">
        <v>4</v>
      </c>
      <c r="R17">
        <v>20</v>
      </c>
      <c r="S17">
        <v>40</v>
      </c>
      <c r="T17">
        <v>60</v>
      </c>
    </row>
    <row r="18" spans="1:25" x14ac:dyDescent="0.3">
      <c r="B18" t="s">
        <v>93</v>
      </c>
      <c r="C18" t="s">
        <v>94</v>
      </c>
      <c r="D18" t="s">
        <v>95</v>
      </c>
      <c r="E18" t="s">
        <v>96</v>
      </c>
      <c r="F18" t="s">
        <v>97</v>
      </c>
      <c r="G18" t="s">
        <v>98</v>
      </c>
      <c r="H18" t="s">
        <v>99</v>
      </c>
      <c r="I18" t="s">
        <v>106</v>
      </c>
      <c r="J18" t="s">
        <v>105</v>
      </c>
      <c r="K18" t="s">
        <v>100</v>
      </c>
      <c r="L18" t="s">
        <v>101</v>
      </c>
      <c r="M18" t="s">
        <v>102</v>
      </c>
      <c r="N18" t="s">
        <v>103</v>
      </c>
      <c r="O18" t="s">
        <v>104</v>
      </c>
      <c r="R18" t="s">
        <v>107</v>
      </c>
      <c r="S18" t="s">
        <v>108</v>
      </c>
      <c r="T18" t="s">
        <v>109</v>
      </c>
      <c r="U18" t="s">
        <v>130</v>
      </c>
    </row>
    <row r="19" spans="1:25" x14ac:dyDescent="0.3">
      <c r="A19" t="s">
        <v>118</v>
      </c>
      <c r="B19">
        <v>6</v>
      </c>
      <c r="C19">
        <v>6</v>
      </c>
      <c r="D19">
        <v>6</v>
      </c>
      <c r="E19">
        <v>7</v>
      </c>
      <c r="F19">
        <v>2</v>
      </c>
      <c r="G19">
        <v>2</v>
      </c>
      <c r="H19">
        <v>1</v>
      </c>
      <c r="I19">
        <v>1</v>
      </c>
      <c r="J19">
        <v>1</v>
      </c>
      <c r="K19">
        <v>5</v>
      </c>
      <c r="L19">
        <v>7</v>
      </c>
      <c r="M19">
        <v>9</v>
      </c>
      <c r="N19">
        <v>4</v>
      </c>
      <c r="O19">
        <v>1</v>
      </c>
      <c r="P19" s="16" t="s">
        <v>122</v>
      </c>
      <c r="R19">
        <v>22</v>
      </c>
      <c r="S19">
        <v>9</v>
      </c>
      <c r="T19">
        <v>28</v>
      </c>
      <c r="U19">
        <v>44</v>
      </c>
      <c r="V19">
        <v>18</v>
      </c>
      <c r="W19">
        <v>56</v>
      </c>
      <c r="X19">
        <f>U19*R17+V19*S17+W19*T17</f>
        <v>4960</v>
      </c>
      <c r="Y19">
        <f>X19*(65/58)</f>
        <v>5558.6206896551721</v>
      </c>
    </row>
    <row r="20" spans="1:25" x14ac:dyDescent="0.3">
      <c r="A20" t="s">
        <v>116</v>
      </c>
      <c r="B20" s="14">
        <v>150000</v>
      </c>
      <c r="C20" s="14">
        <v>200000</v>
      </c>
      <c r="D20" s="14">
        <v>250000</v>
      </c>
      <c r="E20" s="14">
        <v>300000</v>
      </c>
      <c r="F20" s="14">
        <v>400000</v>
      </c>
      <c r="G20" s="14">
        <v>400000</v>
      </c>
      <c r="H20" s="14">
        <v>400000</v>
      </c>
      <c r="I20" s="14">
        <v>450000</v>
      </c>
      <c r="J20" s="14">
        <v>500000</v>
      </c>
      <c r="K20" s="14">
        <v>1000000</v>
      </c>
      <c r="L20" s="14">
        <v>500000</v>
      </c>
      <c r="M20" s="14">
        <v>500000</v>
      </c>
      <c r="N20" s="14">
        <v>120000</v>
      </c>
      <c r="O20" s="14">
        <v>150000</v>
      </c>
      <c r="P20" s="14">
        <f>B20*B19+C20*C19+D20*D19+E20*E19+F20*F19+G20*G19+H20*H19+I20*I19+J20*J19+K20*K19+L20*L19+M20*M19+N20*N19</f>
        <v>22130000</v>
      </c>
      <c r="Q20" s="14">
        <f>P20*1</f>
        <v>22130000</v>
      </c>
    </row>
    <row r="21" spans="1:25" x14ac:dyDescent="0.3">
      <c r="A21" t="s">
        <v>117</v>
      </c>
      <c r="B21" s="14">
        <f>B20*B19/10</f>
        <v>90000</v>
      </c>
      <c r="C21" s="14">
        <f>C20*C19/10</f>
        <v>120000</v>
      </c>
      <c r="D21" s="14">
        <f t="shared" ref="D21:J21" si="0">D20*D19/10</f>
        <v>150000</v>
      </c>
      <c r="E21" s="14">
        <f t="shared" si="0"/>
        <v>210000</v>
      </c>
      <c r="F21" s="14">
        <f t="shared" si="0"/>
        <v>80000</v>
      </c>
      <c r="G21" s="14">
        <f t="shared" si="0"/>
        <v>80000</v>
      </c>
      <c r="H21" s="14">
        <f t="shared" si="0"/>
        <v>40000</v>
      </c>
      <c r="I21" s="14">
        <f t="shared" si="0"/>
        <v>45000</v>
      </c>
      <c r="J21" s="14">
        <f t="shared" si="0"/>
        <v>50000</v>
      </c>
      <c r="K21" s="14">
        <f>K20*K19/15</f>
        <v>333333.33333333331</v>
      </c>
      <c r="L21" s="14">
        <f>L20*L19/15</f>
        <v>233333.33333333334</v>
      </c>
      <c r="M21" s="14">
        <f>M20*M19/15</f>
        <v>300000</v>
      </c>
      <c r="N21" s="14">
        <f>N20*N19/8</f>
        <v>60000</v>
      </c>
      <c r="O21" s="14">
        <f>O20*O19/8</f>
        <v>18750</v>
      </c>
      <c r="P21" s="14">
        <f>SUM(B21:N21)</f>
        <v>1791666.6666666665</v>
      </c>
      <c r="Q21" s="14">
        <f>P21*1</f>
        <v>1791666.6666666665</v>
      </c>
    </row>
    <row r="22" spans="1:25" x14ac:dyDescent="0.3">
      <c r="B22" t="s">
        <v>3</v>
      </c>
      <c r="Q22" s="18">
        <f>Q21*(65/58)</f>
        <v>2007902.2988505743</v>
      </c>
    </row>
    <row r="23" spans="1:25" x14ac:dyDescent="0.3">
      <c r="B23" t="s">
        <v>93</v>
      </c>
      <c r="C23" t="s">
        <v>94</v>
      </c>
      <c r="D23" t="s">
        <v>95</v>
      </c>
      <c r="E23" t="s">
        <v>96</v>
      </c>
      <c r="F23" t="s">
        <v>97</v>
      </c>
      <c r="G23" t="s">
        <v>98</v>
      </c>
      <c r="H23" t="s">
        <v>106</v>
      </c>
      <c r="I23" t="s">
        <v>105</v>
      </c>
      <c r="J23" t="s">
        <v>100</v>
      </c>
      <c r="K23" t="s">
        <v>101</v>
      </c>
      <c r="L23" t="s">
        <v>102</v>
      </c>
      <c r="M23" t="s">
        <v>103</v>
      </c>
      <c r="N23" t="s">
        <v>104</v>
      </c>
      <c r="R23" t="s">
        <v>107</v>
      </c>
      <c r="S23" t="s">
        <v>108</v>
      </c>
      <c r="T23" t="s">
        <v>109</v>
      </c>
    </row>
    <row r="24" spans="1:25" x14ac:dyDescent="0.3">
      <c r="A24" t="s">
        <v>118</v>
      </c>
      <c r="B24">
        <v>2</v>
      </c>
      <c r="C24">
        <v>3</v>
      </c>
      <c r="D24">
        <v>4</v>
      </c>
      <c r="E24">
        <v>4</v>
      </c>
      <c r="F24">
        <v>1</v>
      </c>
      <c r="G24">
        <v>2</v>
      </c>
      <c r="H24">
        <v>2</v>
      </c>
      <c r="I24">
        <v>2</v>
      </c>
      <c r="J24">
        <v>3</v>
      </c>
      <c r="K24">
        <v>7</v>
      </c>
      <c r="L24">
        <v>5</v>
      </c>
      <c r="M24">
        <v>1</v>
      </c>
      <c r="N24">
        <v>2</v>
      </c>
      <c r="R24">
        <v>21</v>
      </c>
      <c r="S24">
        <v>4.5</v>
      </c>
      <c r="T24">
        <v>26.5</v>
      </c>
      <c r="U24">
        <v>84</v>
      </c>
      <c r="V24">
        <v>20</v>
      </c>
      <c r="W24">
        <v>108</v>
      </c>
      <c r="X24">
        <f>U24*R17+V24*S17+W24*T17</f>
        <v>8960</v>
      </c>
      <c r="Y24">
        <f>X24*(80/76)</f>
        <v>9431.5789473684199</v>
      </c>
    </row>
    <row r="25" spans="1:25" x14ac:dyDescent="0.3">
      <c r="A25" t="s">
        <v>116</v>
      </c>
      <c r="B25" s="14">
        <v>150000</v>
      </c>
      <c r="C25" s="14">
        <v>200000</v>
      </c>
      <c r="D25" s="14">
        <v>250000</v>
      </c>
      <c r="E25" s="14">
        <v>300000</v>
      </c>
      <c r="F25" s="14">
        <v>400000</v>
      </c>
      <c r="G25" s="14">
        <v>400000</v>
      </c>
      <c r="H25" s="14">
        <v>450000</v>
      </c>
      <c r="I25" s="14">
        <v>500000</v>
      </c>
      <c r="J25" s="14">
        <v>1000000</v>
      </c>
      <c r="K25" s="14">
        <v>500000</v>
      </c>
      <c r="L25" s="14">
        <v>500000</v>
      </c>
      <c r="M25" s="14">
        <v>120000</v>
      </c>
      <c r="N25" s="14">
        <v>150000</v>
      </c>
      <c r="O25" s="14"/>
      <c r="P25" s="14">
        <f t="shared" ref="P25:P40" si="1">B25*B24+C25*C24+D25*D24+E25*E24+F25*F24+G25*G24+H25*H24+I25*I24+J25*J24+K25*K24+L25*L24+M25*M24+N25*N24</f>
        <v>15620000</v>
      </c>
      <c r="Q25" s="14">
        <f>P25*2</f>
        <v>31240000</v>
      </c>
    </row>
    <row r="26" spans="1:25" x14ac:dyDescent="0.3">
      <c r="A26" t="s">
        <v>117</v>
      </c>
      <c r="B26" s="14">
        <f>B25*B24/10</f>
        <v>30000</v>
      </c>
      <c r="C26" s="14">
        <f t="shared" ref="C26:I26" si="2">C25*C24/10</f>
        <v>60000</v>
      </c>
      <c r="D26" s="14">
        <f t="shared" si="2"/>
        <v>100000</v>
      </c>
      <c r="E26" s="14">
        <f t="shared" si="2"/>
        <v>120000</v>
      </c>
      <c r="F26" s="14">
        <f t="shared" si="2"/>
        <v>40000</v>
      </c>
      <c r="G26" s="14">
        <f t="shared" si="2"/>
        <v>80000</v>
      </c>
      <c r="H26" s="14">
        <f t="shared" si="2"/>
        <v>90000</v>
      </c>
      <c r="I26" s="14">
        <f t="shared" si="2"/>
        <v>100000</v>
      </c>
      <c r="J26" s="14">
        <f>J25*J24/15</f>
        <v>200000</v>
      </c>
      <c r="K26" s="14">
        <f t="shared" ref="K26:L26" si="3">K25*K24/15</f>
        <v>233333.33333333334</v>
      </c>
      <c r="L26" s="14">
        <f t="shared" si="3"/>
        <v>166666.66666666666</v>
      </c>
      <c r="M26" s="14">
        <f>M25*M24/8</f>
        <v>15000</v>
      </c>
      <c r="N26" s="14">
        <f>N25*N24/8</f>
        <v>37500</v>
      </c>
      <c r="O26" s="14"/>
      <c r="P26" s="14">
        <f>SUM(B26:N26)</f>
        <v>1272500</v>
      </c>
      <c r="Q26" s="14">
        <f>P26*2</f>
        <v>2545000</v>
      </c>
    </row>
    <row r="27" spans="1:25" x14ac:dyDescent="0.3">
      <c r="B27" t="s">
        <v>2</v>
      </c>
      <c r="Q27" s="18">
        <f>Q26*(80/76)</f>
        <v>2678947.3684210526</v>
      </c>
    </row>
    <row r="28" spans="1:25" x14ac:dyDescent="0.3">
      <c r="B28" t="s">
        <v>93</v>
      </c>
      <c r="C28" t="s">
        <v>94</v>
      </c>
      <c r="D28" t="s">
        <v>95</v>
      </c>
      <c r="E28" t="s">
        <v>96</v>
      </c>
      <c r="F28" t="s">
        <v>97</v>
      </c>
      <c r="G28" t="s">
        <v>98</v>
      </c>
      <c r="H28" t="s">
        <v>99</v>
      </c>
      <c r="I28" t="s">
        <v>106</v>
      </c>
      <c r="J28" t="s">
        <v>105</v>
      </c>
      <c r="K28" t="s">
        <v>100</v>
      </c>
      <c r="L28" t="s">
        <v>101</v>
      </c>
      <c r="M28" t="s">
        <v>102</v>
      </c>
      <c r="N28" t="s">
        <v>103</v>
      </c>
      <c r="O28" t="s">
        <v>104</v>
      </c>
      <c r="R28" t="s">
        <v>107</v>
      </c>
      <c r="S28" t="s">
        <v>108</v>
      </c>
      <c r="T28" t="s">
        <v>109</v>
      </c>
    </row>
    <row r="29" spans="1:25" x14ac:dyDescent="0.3">
      <c r="A29" t="s">
        <v>118</v>
      </c>
      <c r="B29">
        <v>4</v>
      </c>
      <c r="C29">
        <v>2</v>
      </c>
      <c r="D29">
        <v>4</v>
      </c>
      <c r="E29">
        <v>4</v>
      </c>
      <c r="F29">
        <v>1</v>
      </c>
      <c r="G29">
        <v>3</v>
      </c>
      <c r="H29">
        <v>0</v>
      </c>
      <c r="I29">
        <v>3</v>
      </c>
      <c r="J29">
        <v>1</v>
      </c>
      <c r="K29">
        <v>4</v>
      </c>
      <c r="L29">
        <v>7</v>
      </c>
      <c r="M29">
        <v>7</v>
      </c>
      <c r="N29">
        <v>0</v>
      </c>
      <c r="O29">
        <v>8</v>
      </c>
      <c r="R29">
        <v>32</v>
      </c>
      <c r="S29">
        <v>7.25</v>
      </c>
      <c r="T29">
        <v>43.5</v>
      </c>
      <c r="U29">
        <v>32</v>
      </c>
      <c r="V29">
        <v>8</v>
      </c>
      <c r="W29">
        <v>44</v>
      </c>
      <c r="X29">
        <f>U29*R17+V29*S17+W29*T17</f>
        <v>3600</v>
      </c>
      <c r="Y29">
        <f>X29*(54/48)</f>
        <v>4050</v>
      </c>
    </row>
    <row r="30" spans="1:25" x14ac:dyDescent="0.3">
      <c r="A30" t="s">
        <v>116</v>
      </c>
      <c r="B30" s="14">
        <v>150000</v>
      </c>
      <c r="C30" s="14">
        <v>200000</v>
      </c>
      <c r="D30" s="14">
        <v>250000</v>
      </c>
      <c r="E30" s="14">
        <v>300000</v>
      </c>
      <c r="F30" s="14">
        <v>400000</v>
      </c>
      <c r="G30" s="14">
        <v>400000</v>
      </c>
      <c r="H30" s="14">
        <v>400000</v>
      </c>
      <c r="I30" s="14">
        <v>450000</v>
      </c>
      <c r="J30" s="14">
        <v>500000</v>
      </c>
      <c r="K30" s="14">
        <v>1000000</v>
      </c>
      <c r="L30" s="14">
        <v>500000</v>
      </c>
      <c r="M30" s="14">
        <v>500000</v>
      </c>
      <c r="N30" s="14">
        <v>120000</v>
      </c>
      <c r="O30" s="14">
        <v>150000</v>
      </c>
      <c r="P30" s="14">
        <f t="shared" si="1"/>
        <v>17650000</v>
      </c>
      <c r="Q30" s="14">
        <f>P30*1</f>
        <v>17650000</v>
      </c>
    </row>
    <row r="31" spans="1:25" x14ac:dyDescent="0.3">
      <c r="A31" t="s">
        <v>117</v>
      </c>
      <c r="B31" s="14">
        <f>B30*B29/10</f>
        <v>60000</v>
      </c>
      <c r="C31" s="14">
        <f t="shared" ref="C31:J31" si="4">C30*C29/10</f>
        <v>40000</v>
      </c>
      <c r="D31" s="14">
        <f t="shared" si="4"/>
        <v>100000</v>
      </c>
      <c r="E31" s="14">
        <f t="shared" si="4"/>
        <v>120000</v>
      </c>
      <c r="F31" s="14">
        <f t="shared" si="4"/>
        <v>40000</v>
      </c>
      <c r="G31" s="14">
        <f t="shared" si="4"/>
        <v>120000</v>
      </c>
      <c r="H31" s="14">
        <f t="shared" si="4"/>
        <v>0</v>
      </c>
      <c r="I31" s="14">
        <f t="shared" si="4"/>
        <v>135000</v>
      </c>
      <c r="J31" s="14">
        <f t="shared" si="4"/>
        <v>50000</v>
      </c>
      <c r="K31" s="14">
        <f>K30*K29/15</f>
        <v>266666.66666666669</v>
      </c>
      <c r="L31" s="14">
        <f t="shared" ref="L31:M31" si="5">L30*L29/15</f>
        <v>233333.33333333334</v>
      </c>
      <c r="M31" s="14">
        <f t="shared" si="5"/>
        <v>233333.33333333334</v>
      </c>
      <c r="N31" s="14">
        <f>N30*N29/8</f>
        <v>0</v>
      </c>
      <c r="O31" s="14">
        <f>O30*O29/8</f>
        <v>150000</v>
      </c>
      <c r="P31" s="14">
        <f>SUM(B31:O31)</f>
        <v>1548333.3333333333</v>
      </c>
      <c r="Q31" s="14">
        <f>P31*1</f>
        <v>1548333.3333333333</v>
      </c>
    </row>
    <row r="32" spans="1:25" x14ac:dyDescent="0.3">
      <c r="B32" t="s">
        <v>1</v>
      </c>
      <c r="Q32" s="14">
        <f>Q31*(54/48)</f>
        <v>1741875</v>
      </c>
    </row>
    <row r="33" spans="1:27" x14ac:dyDescent="0.3">
      <c r="B33" t="s">
        <v>93</v>
      </c>
      <c r="C33" t="s">
        <v>94</v>
      </c>
      <c r="D33" t="s">
        <v>95</v>
      </c>
      <c r="E33" t="s">
        <v>96</v>
      </c>
      <c r="F33" t="s">
        <v>97</v>
      </c>
      <c r="G33" t="s">
        <v>98</v>
      </c>
      <c r="H33" t="s">
        <v>99</v>
      </c>
      <c r="I33" t="s">
        <v>105</v>
      </c>
      <c r="J33" t="s">
        <v>100</v>
      </c>
      <c r="K33" t="s">
        <v>101</v>
      </c>
      <c r="L33" t="s">
        <v>102</v>
      </c>
      <c r="M33" t="s">
        <v>103</v>
      </c>
      <c r="N33" t="s">
        <v>104</v>
      </c>
      <c r="R33" t="s">
        <v>107</v>
      </c>
      <c r="S33" t="s">
        <v>108</v>
      </c>
      <c r="T33" t="s">
        <v>109</v>
      </c>
    </row>
    <row r="34" spans="1:27" x14ac:dyDescent="0.3">
      <c r="A34" t="s">
        <v>118</v>
      </c>
      <c r="B34">
        <v>2</v>
      </c>
      <c r="C34">
        <v>3</v>
      </c>
      <c r="D34">
        <v>3</v>
      </c>
      <c r="E34">
        <v>4</v>
      </c>
      <c r="F34">
        <v>1</v>
      </c>
      <c r="G34">
        <v>2</v>
      </c>
      <c r="H34">
        <v>1</v>
      </c>
      <c r="I34">
        <v>2</v>
      </c>
      <c r="J34">
        <v>3</v>
      </c>
      <c r="K34">
        <v>5</v>
      </c>
      <c r="L34">
        <v>4</v>
      </c>
      <c r="M34">
        <v>1</v>
      </c>
      <c r="N34">
        <v>2</v>
      </c>
      <c r="R34">
        <v>32</v>
      </c>
      <c r="S34">
        <v>12.75</v>
      </c>
      <c r="T34">
        <v>29.5</v>
      </c>
      <c r="U34">
        <v>128</v>
      </c>
      <c r="V34">
        <v>52</v>
      </c>
      <c r="W34">
        <v>120</v>
      </c>
      <c r="X34">
        <f>U34*R17+V34*S17+W34*T17</f>
        <v>11840</v>
      </c>
      <c r="Y34">
        <f>X34*(75/66)</f>
        <v>13454.545454545456</v>
      </c>
    </row>
    <row r="35" spans="1:27" x14ac:dyDescent="0.3">
      <c r="A35" t="s">
        <v>116</v>
      </c>
      <c r="B35" s="14">
        <v>150000</v>
      </c>
      <c r="C35" s="14">
        <v>200000</v>
      </c>
      <c r="D35" s="14">
        <v>250000</v>
      </c>
      <c r="E35" s="14">
        <v>300000</v>
      </c>
      <c r="F35" s="14">
        <v>400000</v>
      </c>
      <c r="G35" s="14">
        <v>400000</v>
      </c>
      <c r="H35" s="14">
        <v>400000</v>
      </c>
      <c r="I35" s="14">
        <v>500000</v>
      </c>
      <c r="J35" s="14">
        <v>1000000</v>
      </c>
      <c r="K35" s="14">
        <v>500000</v>
      </c>
      <c r="L35" s="14">
        <v>500000</v>
      </c>
      <c r="M35" s="14">
        <v>120000</v>
      </c>
      <c r="N35" s="14">
        <v>150000</v>
      </c>
      <c r="O35" s="14"/>
      <c r="P35" s="14">
        <f t="shared" si="1"/>
        <v>13370000</v>
      </c>
      <c r="Q35" s="14">
        <f>P35*2</f>
        <v>26740000</v>
      </c>
    </row>
    <row r="36" spans="1:27" x14ac:dyDescent="0.3">
      <c r="A36" t="s">
        <v>117</v>
      </c>
      <c r="B36" s="14">
        <f>B35*B34/10</f>
        <v>30000</v>
      </c>
      <c r="C36" s="14">
        <f t="shared" ref="C36:I36" si="6">C35*C34/10</f>
        <v>60000</v>
      </c>
      <c r="D36" s="14">
        <f t="shared" si="6"/>
        <v>75000</v>
      </c>
      <c r="E36" s="14">
        <f t="shared" si="6"/>
        <v>120000</v>
      </c>
      <c r="F36" s="14">
        <f t="shared" si="6"/>
        <v>40000</v>
      </c>
      <c r="G36" s="14">
        <f t="shared" si="6"/>
        <v>80000</v>
      </c>
      <c r="H36" s="14">
        <f t="shared" si="6"/>
        <v>40000</v>
      </c>
      <c r="I36" s="14">
        <f t="shared" si="6"/>
        <v>100000</v>
      </c>
      <c r="J36" s="14">
        <f>J35*J34/15</f>
        <v>200000</v>
      </c>
      <c r="K36" s="14">
        <f t="shared" ref="K36:L36" si="7">K35*K34/15</f>
        <v>166666.66666666666</v>
      </c>
      <c r="L36" s="14">
        <f t="shared" si="7"/>
        <v>133333.33333333334</v>
      </c>
      <c r="M36" s="14">
        <f>M35*M34/8</f>
        <v>15000</v>
      </c>
      <c r="N36" s="14">
        <f>N35*N34/8</f>
        <v>37500</v>
      </c>
      <c r="O36" s="14"/>
      <c r="P36" s="14">
        <f>SUM(B36:N36)</f>
        <v>1097500</v>
      </c>
      <c r="Q36" s="14">
        <f>P36*2</f>
        <v>2195000</v>
      </c>
    </row>
    <row r="37" spans="1:27" x14ac:dyDescent="0.3">
      <c r="B37" t="s">
        <v>0</v>
      </c>
      <c r="Q37" s="18">
        <f>Q36*(75/66)</f>
        <v>2494318.1818181821</v>
      </c>
    </row>
    <row r="38" spans="1:27" x14ac:dyDescent="0.3">
      <c r="B38" t="s">
        <v>93</v>
      </c>
      <c r="C38" t="s">
        <v>94</v>
      </c>
      <c r="D38" t="s">
        <v>95</v>
      </c>
      <c r="E38" t="s">
        <v>96</v>
      </c>
      <c r="F38" t="s">
        <v>97</v>
      </c>
      <c r="G38" t="s">
        <v>98</v>
      </c>
      <c r="H38" t="s">
        <v>99</v>
      </c>
      <c r="I38" t="s">
        <v>105</v>
      </c>
      <c r="J38" t="s">
        <v>100</v>
      </c>
      <c r="K38" t="s">
        <v>101</v>
      </c>
      <c r="L38" t="s">
        <v>102</v>
      </c>
      <c r="M38" t="s">
        <v>103</v>
      </c>
      <c r="N38" t="s">
        <v>104</v>
      </c>
      <c r="R38" t="s">
        <v>107</v>
      </c>
      <c r="S38" t="s">
        <v>108</v>
      </c>
      <c r="T38" t="s">
        <v>109</v>
      </c>
    </row>
    <row r="39" spans="1:27" x14ac:dyDescent="0.3">
      <c r="A39" t="s">
        <v>118</v>
      </c>
      <c r="B39">
        <v>6</v>
      </c>
      <c r="C39">
        <v>6</v>
      </c>
      <c r="D39">
        <v>6</v>
      </c>
      <c r="E39">
        <v>7</v>
      </c>
      <c r="F39">
        <v>1</v>
      </c>
      <c r="G39">
        <v>2</v>
      </c>
      <c r="H39">
        <v>1</v>
      </c>
      <c r="I39">
        <v>2</v>
      </c>
      <c r="J39">
        <v>4</v>
      </c>
      <c r="K39">
        <v>8</v>
      </c>
      <c r="L39">
        <v>8</v>
      </c>
      <c r="M39">
        <v>1</v>
      </c>
      <c r="N39">
        <v>1</v>
      </c>
      <c r="R39">
        <v>19</v>
      </c>
      <c r="S39">
        <v>6.75</v>
      </c>
      <c r="T39">
        <v>27</v>
      </c>
      <c r="U39">
        <v>114</v>
      </c>
      <c r="V39">
        <v>42</v>
      </c>
      <c r="W39">
        <v>162</v>
      </c>
      <c r="X39">
        <f>U39*R17+V39*S17+W39*T17</f>
        <v>13680</v>
      </c>
      <c r="Y39">
        <f>X39*(180/159)</f>
        <v>15486.792452830188</v>
      </c>
    </row>
    <row r="40" spans="1:27" x14ac:dyDescent="0.3">
      <c r="A40" t="s">
        <v>116</v>
      </c>
      <c r="B40" s="14">
        <v>150000</v>
      </c>
      <c r="C40" s="14">
        <v>200000</v>
      </c>
      <c r="D40" s="14">
        <v>250000</v>
      </c>
      <c r="E40" s="14">
        <v>300000</v>
      </c>
      <c r="F40" s="14">
        <v>400000</v>
      </c>
      <c r="G40" s="14">
        <v>400000</v>
      </c>
      <c r="H40" s="14">
        <v>400000</v>
      </c>
      <c r="I40" s="14">
        <v>500000</v>
      </c>
      <c r="J40" s="14">
        <v>1000000</v>
      </c>
      <c r="K40" s="14">
        <v>500000</v>
      </c>
      <c r="L40" s="14">
        <v>500000</v>
      </c>
      <c r="M40" s="14">
        <v>120000</v>
      </c>
      <c r="N40" s="14">
        <v>150000</v>
      </c>
      <c r="O40" s="14"/>
      <c r="P40" s="14">
        <f t="shared" si="1"/>
        <v>20570000</v>
      </c>
      <c r="Q40" s="14">
        <f>P40*3</f>
        <v>61710000</v>
      </c>
    </row>
    <row r="41" spans="1:27" x14ac:dyDescent="0.3">
      <c r="A41" t="s">
        <v>117</v>
      </c>
      <c r="B41" s="14">
        <f>B40*B39/10</f>
        <v>90000</v>
      </c>
      <c r="C41" s="14">
        <f t="shared" ref="C41:I41" si="8">C40*C39/10</f>
        <v>120000</v>
      </c>
      <c r="D41" s="14">
        <f t="shared" si="8"/>
        <v>150000</v>
      </c>
      <c r="E41" s="14">
        <f t="shared" si="8"/>
        <v>210000</v>
      </c>
      <c r="F41" s="14">
        <f t="shared" si="8"/>
        <v>40000</v>
      </c>
      <c r="G41" s="14">
        <f t="shared" si="8"/>
        <v>80000</v>
      </c>
      <c r="H41" s="14">
        <f t="shared" si="8"/>
        <v>40000</v>
      </c>
      <c r="I41" s="14">
        <f t="shared" si="8"/>
        <v>100000</v>
      </c>
      <c r="J41" s="14">
        <f>J40*J39/15</f>
        <v>266666.66666666669</v>
      </c>
      <c r="K41" s="14">
        <f>K40*K39/15</f>
        <v>266666.66666666669</v>
      </c>
      <c r="L41" s="14">
        <f>L40*L39/15</f>
        <v>266666.66666666669</v>
      </c>
      <c r="M41" s="14">
        <f>M40*M39/8</f>
        <v>15000</v>
      </c>
      <c r="N41" s="14">
        <f>N40*N39/8</f>
        <v>18750</v>
      </c>
      <c r="O41" s="14"/>
      <c r="P41" s="14">
        <f>SUM(B41:N41)</f>
        <v>1663750.0000000002</v>
      </c>
      <c r="Q41" s="14">
        <f>P41*3</f>
        <v>4991250.0000000009</v>
      </c>
      <c r="R41" s="18">
        <f>Q41*(180/159)</f>
        <v>5650471.6981132086</v>
      </c>
    </row>
    <row r="42" spans="1:27" x14ac:dyDescent="0.3">
      <c r="P42" t="s">
        <v>120</v>
      </c>
      <c r="Q42" s="15">
        <f>Q20+Q25+Q30+Q35+Q40</f>
        <v>159470000</v>
      </c>
      <c r="X42" t="s">
        <v>123</v>
      </c>
      <c r="Y42" t="s">
        <v>115</v>
      </c>
    </row>
    <row r="43" spans="1:27" x14ac:dyDescent="0.3">
      <c r="P43" t="s">
        <v>117</v>
      </c>
      <c r="Q43" s="15">
        <f>Q26+Q31+Q36+Q41+Q21</f>
        <v>13071250</v>
      </c>
      <c r="R43" s="14">
        <f>Q22+Q27+Q32+Q37+R41</f>
        <v>14573514.547203017</v>
      </c>
      <c r="U43">
        <f>SUM(U19+U24+U29+U34+U39)</f>
        <v>402</v>
      </c>
      <c r="V43">
        <f>SUM(V19+V24+V29+V34+V39)</f>
        <v>140</v>
      </c>
      <c r="W43">
        <f>SUM(W19+W24+W29+W34+W39)</f>
        <v>490</v>
      </c>
      <c r="X43">
        <f>8*SUM(X19+X24+X29+X34+X39)</f>
        <v>344320</v>
      </c>
      <c r="Y43" s="10">
        <f>X43*5*49</f>
        <v>84358400</v>
      </c>
      <c r="AA43">
        <f>8*(Y19+Y24+Y29+Y34+Y39)</f>
        <v>383852.3003551939</v>
      </c>
    </row>
    <row r="44" spans="1:27" x14ac:dyDescent="0.3">
      <c r="AA44" s="3">
        <f>AA43*5*49</f>
        <v>94043813.587022513</v>
      </c>
    </row>
    <row r="45" spans="1:27" x14ac:dyDescent="0.3">
      <c r="P45" t="s">
        <v>119</v>
      </c>
      <c r="Q45" s="10">
        <v>176670000</v>
      </c>
    </row>
    <row r="46" spans="1:27" x14ac:dyDescent="0.3">
      <c r="R46" s="17"/>
    </row>
    <row r="47" spans="1:27" x14ac:dyDescent="0.3">
      <c r="P47" t="s">
        <v>121</v>
      </c>
      <c r="Q47" s="10">
        <f>Q43+Y43+Q45</f>
        <v>274099650</v>
      </c>
      <c r="R47" s="18">
        <f>R43+AA44+Q45</f>
        <v>285287328.13422555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17743-E17F-41D5-BF48-AF26E9CDD685}">
  <dimension ref="A1:AV82"/>
  <sheetViews>
    <sheetView topLeftCell="AB1" workbookViewId="0">
      <selection activeCell="AV5" sqref="AV5"/>
    </sheetView>
  </sheetViews>
  <sheetFormatPr defaultRowHeight="15" x14ac:dyDescent="0.3"/>
  <cols>
    <col min="2" max="2" width="16.5" bestFit="1" customWidth="1"/>
    <col min="3" max="3" width="15.375" bestFit="1" customWidth="1"/>
    <col min="4" max="4" width="19.625" bestFit="1" customWidth="1"/>
    <col min="15" max="17" width="0" hidden="1" customWidth="1"/>
    <col min="25" max="25" width="5.875" bestFit="1" customWidth="1"/>
    <col min="26" max="26" width="12.625" bestFit="1" customWidth="1"/>
    <col min="48" max="48" width="12.625" bestFit="1" customWidth="1"/>
  </cols>
  <sheetData>
    <row r="1" spans="1:48" s="1" customFormat="1" x14ac:dyDescent="0.3">
      <c r="A1" s="1" t="s">
        <v>6</v>
      </c>
      <c r="B1" s="1" t="s">
        <v>110</v>
      </c>
      <c r="C1" s="1" t="s">
        <v>64</v>
      </c>
      <c r="D1" s="1" t="s">
        <v>111</v>
      </c>
    </row>
    <row r="2" spans="1:48" x14ac:dyDescent="0.3">
      <c r="E2" t="s">
        <v>5</v>
      </c>
      <c r="F2" t="s">
        <v>42</v>
      </c>
      <c r="G2" t="s">
        <v>74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59</v>
      </c>
      <c r="X2" t="s">
        <v>60</v>
      </c>
    </row>
    <row r="3" spans="1:48" x14ac:dyDescent="0.3">
      <c r="A3" t="s">
        <v>0</v>
      </c>
      <c r="B3">
        <v>3904</v>
      </c>
      <c r="C3">
        <v>190.5</v>
      </c>
      <c r="D3" s="3">
        <f>B3*C3</f>
        <v>743712</v>
      </c>
      <c r="E3">
        <v>12.75</v>
      </c>
      <c r="F3">
        <v>15.5</v>
      </c>
      <c r="G3">
        <v>0</v>
      </c>
      <c r="H3">
        <v>15</v>
      </c>
      <c r="I3">
        <v>15</v>
      </c>
      <c r="J3">
        <v>0</v>
      </c>
      <c r="K3">
        <v>0</v>
      </c>
      <c r="L3">
        <v>0</v>
      </c>
      <c r="M3">
        <v>17</v>
      </c>
      <c r="N3">
        <v>6.5</v>
      </c>
      <c r="O3">
        <v>0</v>
      </c>
      <c r="P3">
        <v>0</v>
      </c>
      <c r="Q3">
        <v>0</v>
      </c>
      <c r="R3">
        <v>9.5</v>
      </c>
      <c r="S3">
        <v>0</v>
      </c>
      <c r="T3">
        <v>40</v>
      </c>
      <c r="U3">
        <v>0</v>
      </c>
      <c r="V3">
        <v>0</v>
      </c>
      <c r="W3">
        <v>42</v>
      </c>
      <c r="X3">
        <v>17.25</v>
      </c>
    </row>
    <row r="4" spans="1:48" x14ac:dyDescent="0.3">
      <c r="D4" s="1" t="s">
        <v>112</v>
      </c>
      <c r="E4">
        <f>E3*3904</f>
        <v>49776</v>
      </c>
      <c r="F4">
        <f>F3*3904</f>
        <v>60512</v>
      </c>
      <c r="G4">
        <f>G3*3904</f>
        <v>0</v>
      </c>
      <c r="H4">
        <f t="shared" ref="H4:X4" si="0">H3*3904</f>
        <v>58560</v>
      </c>
      <c r="I4">
        <f t="shared" si="0"/>
        <v>58560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66368</v>
      </c>
      <c r="N4">
        <f t="shared" si="0"/>
        <v>25376</v>
      </c>
      <c r="O4">
        <f t="shared" si="0"/>
        <v>0</v>
      </c>
      <c r="P4">
        <f t="shared" si="0"/>
        <v>0</v>
      </c>
      <c r="Q4">
        <f t="shared" si="0"/>
        <v>0</v>
      </c>
      <c r="R4">
        <f t="shared" si="0"/>
        <v>37088</v>
      </c>
      <c r="S4">
        <f t="shared" si="0"/>
        <v>0</v>
      </c>
      <c r="T4">
        <f t="shared" si="0"/>
        <v>156160</v>
      </c>
      <c r="U4">
        <f t="shared" si="0"/>
        <v>0</v>
      </c>
      <c r="V4">
        <f t="shared" si="0"/>
        <v>0</v>
      </c>
      <c r="W4">
        <f t="shared" si="0"/>
        <v>163968</v>
      </c>
      <c r="X4">
        <f t="shared" si="0"/>
        <v>67344</v>
      </c>
      <c r="Y4" s="1" t="s">
        <v>114</v>
      </c>
      <c r="Z4" s="12"/>
      <c r="AA4" s="12" t="s">
        <v>5</v>
      </c>
      <c r="AB4" s="12" t="s">
        <v>42</v>
      </c>
      <c r="AC4" s="12" t="s">
        <v>74</v>
      </c>
      <c r="AD4" s="12" t="s">
        <v>44</v>
      </c>
      <c r="AE4" s="12" t="s">
        <v>45</v>
      </c>
      <c r="AF4" s="12" t="s">
        <v>46</v>
      </c>
      <c r="AG4" s="12" t="s">
        <v>47</v>
      </c>
      <c r="AH4" s="12" t="s">
        <v>48</v>
      </c>
      <c r="AI4" s="12" t="s">
        <v>49</v>
      </c>
      <c r="AJ4" s="12" t="s">
        <v>50</v>
      </c>
      <c r="AK4" s="12" t="s">
        <v>51</v>
      </c>
      <c r="AL4" s="12" t="s">
        <v>52</v>
      </c>
      <c r="AM4" s="12" t="s">
        <v>53</v>
      </c>
      <c r="AN4" s="12" t="s">
        <v>54</v>
      </c>
      <c r="AO4" s="12" t="s">
        <v>55</v>
      </c>
      <c r="AP4" s="12" t="s">
        <v>56</v>
      </c>
      <c r="AQ4" s="12" t="s">
        <v>57</v>
      </c>
      <c r="AR4" s="12" t="s">
        <v>58</v>
      </c>
      <c r="AS4" s="12" t="s">
        <v>59</v>
      </c>
      <c r="AT4" s="12" t="s">
        <v>60</v>
      </c>
      <c r="AU4" s="13" t="s">
        <v>114</v>
      </c>
      <c r="AV4" s="13" t="s">
        <v>113</v>
      </c>
    </row>
    <row r="5" spans="1:48" x14ac:dyDescent="0.3">
      <c r="D5" t="s">
        <v>93</v>
      </c>
      <c r="E5">
        <f>1</f>
        <v>1</v>
      </c>
      <c r="F5">
        <v>2.5</v>
      </c>
      <c r="G5">
        <v>0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f>SUM(E5:X5)</f>
        <v>5.5</v>
      </c>
      <c r="Z5" s="11" t="s">
        <v>93</v>
      </c>
      <c r="AA5">
        <f>E5*$B$3</f>
        <v>3904</v>
      </c>
      <c r="AB5">
        <f t="shared" ref="AB5:AR5" si="1">F5*$B$3</f>
        <v>9760</v>
      </c>
      <c r="AC5">
        <f t="shared" si="1"/>
        <v>0</v>
      </c>
      <c r="AD5">
        <f t="shared" si="1"/>
        <v>7808</v>
      </c>
      <c r="AE5">
        <f t="shared" si="1"/>
        <v>0</v>
      </c>
      <c r="AF5">
        <f t="shared" si="1"/>
        <v>0</v>
      </c>
      <c r="AG5">
        <f t="shared" si="1"/>
        <v>0</v>
      </c>
      <c r="AH5">
        <f t="shared" si="1"/>
        <v>0</v>
      </c>
      <c r="AI5">
        <f t="shared" si="1"/>
        <v>0</v>
      </c>
      <c r="AJ5">
        <f t="shared" si="1"/>
        <v>0</v>
      </c>
      <c r="AK5">
        <f t="shared" si="1"/>
        <v>0</v>
      </c>
      <c r="AL5">
        <f t="shared" si="1"/>
        <v>0</v>
      </c>
      <c r="AM5">
        <f t="shared" si="1"/>
        <v>0</v>
      </c>
      <c r="AN5">
        <f t="shared" si="1"/>
        <v>0</v>
      </c>
      <c r="AO5">
        <f t="shared" si="1"/>
        <v>0</v>
      </c>
      <c r="AP5">
        <f t="shared" si="1"/>
        <v>0</v>
      </c>
      <c r="AQ5">
        <f t="shared" si="1"/>
        <v>0</v>
      </c>
      <c r="AR5">
        <f t="shared" si="1"/>
        <v>0</v>
      </c>
      <c r="AS5">
        <f>W5*$B$3</f>
        <v>0</v>
      </c>
      <c r="AT5">
        <f t="shared" ref="AT5" si="2">X5*$B$3</f>
        <v>0</v>
      </c>
      <c r="AU5">
        <f>SUM(AA5:AT5)</f>
        <v>21472</v>
      </c>
      <c r="AV5" s="9">
        <f>AU5/(16*5*60*18)</f>
        <v>0.24851851851851853</v>
      </c>
    </row>
    <row r="6" spans="1:48" x14ac:dyDescent="0.3">
      <c r="D6" t="s">
        <v>94</v>
      </c>
      <c r="E6">
        <v>5</v>
      </c>
      <c r="F6">
        <v>0</v>
      </c>
      <c r="G6">
        <v>0</v>
      </c>
      <c r="H6">
        <v>4</v>
      </c>
      <c r="I6">
        <v>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f>SUM(E6:X6)</f>
        <v>12</v>
      </c>
      <c r="Z6" s="11" t="s">
        <v>94</v>
      </c>
      <c r="AA6">
        <f t="shared" ref="AA6:AA18" si="3">E6*$B$3</f>
        <v>19520</v>
      </c>
      <c r="AB6">
        <f t="shared" ref="AB6:AB18" si="4">F6*$B$3</f>
        <v>0</v>
      </c>
      <c r="AC6">
        <f t="shared" ref="AC6:AC18" si="5">G6*$B$3</f>
        <v>0</v>
      </c>
      <c r="AD6">
        <f t="shared" ref="AD6:AD18" si="6">H6*$B$3</f>
        <v>15616</v>
      </c>
      <c r="AE6">
        <f t="shared" ref="AE6:AE18" si="7">I6*$B$3</f>
        <v>11712</v>
      </c>
      <c r="AF6">
        <f t="shared" ref="AF6:AF18" si="8">J6*$B$3</f>
        <v>0</v>
      </c>
      <c r="AG6">
        <f t="shared" ref="AG6:AG18" si="9">K6*$B$3</f>
        <v>0</v>
      </c>
      <c r="AH6">
        <f t="shared" ref="AH6:AH18" si="10">L6*$B$3</f>
        <v>0</v>
      </c>
      <c r="AI6">
        <f t="shared" ref="AI6:AI18" si="11">M6*$B$3</f>
        <v>0</v>
      </c>
      <c r="AJ6">
        <f t="shared" ref="AJ6:AJ18" si="12">N6*$B$3</f>
        <v>0</v>
      </c>
      <c r="AK6">
        <f t="shared" ref="AK6:AK18" si="13">O6*$B$3</f>
        <v>0</v>
      </c>
      <c r="AL6">
        <f t="shared" ref="AL6:AL18" si="14">P6*$B$3</f>
        <v>0</v>
      </c>
      <c r="AM6">
        <f t="shared" ref="AM6:AM18" si="15">Q6*$B$3</f>
        <v>0</v>
      </c>
      <c r="AN6">
        <f t="shared" ref="AN6:AN18" si="16">R6*$B$3</f>
        <v>0</v>
      </c>
      <c r="AO6">
        <f t="shared" ref="AO6:AO18" si="17">S6*$B$3</f>
        <v>0</v>
      </c>
      <c r="AP6">
        <f t="shared" ref="AP6:AP18" si="18">T6*$B$3</f>
        <v>0</v>
      </c>
      <c r="AQ6">
        <f t="shared" ref="AQ6:AQ18" si="19">U6*$B$3</f>
        <v>0</v>
      </c>
      <c r="AR6">
        <f t="shared" ref="AR6:AR18" si="20">V6*$B$3</f>
        <v>0</v>
      </c>
      <c r="AS6">
        <f t="shared" ref="AS6:AS18" si="21">W6*$B$3</f>
        <v>0</v>
      </c>
      <c r="AT6">
        <f t="shared" ref="AT6:AT18" si="22">X6*$B$3</f>
        <v>0</v>
      </c>
      <c r="AU6">
        <f t="shared" ref="AU6:AU18" si="23">SUM(AA6:AT6)</f>
        <v>46848</v>
      </c>
      <c r="AV6" s="9">
        <f>AU6/(16*5*60*18)</f>
        <v>0.54222222222222227</v>
      </c>
    </row>
    <row r="7" spans="1:48" x14ac:dyDescent="0.3">
      <c r="D7" t="s">
        <v>95</v>
      </c>
      <c r="E7">
        <v>0.5</v>
      </c>
      <c r="F7">
        <v>1</v>
      </c>
      <c r="G7">
        <v>0</v>
      </c>
      <c r="H7">
        <v>0</v>
      </c>
      <c r="I7">
        <v>1.5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f t="shared" ref="Y7:Y18" si="24">SUM(E7:X7)</f>
        <v>3</v>
      </c>
      <c r="Z7" s="11" t="s">
        <v>95</v>
      </c>
      <c r="AA7">
        <f t="shared" si="3"/>
        <v>1952</v>
      </c>
      <c r="AB7">
        <f t="shared" si="4"/>
        <v>3904</v>
      </c>
      <c r="AC7">
        <f t="shared" si="5"/>
        <v>0</v>
      </c>
      <c r="AD7">
        <f t="shared" si="6"/>
        <v>0</v>
      </c>
      <c r="AE7">
        <f t="shared" si="7"/>
        <v>5856</v>
      </c>
      <c r="AF7">
        <f t="shared" si="8"/>
        <v>0</v>
      </c>
      <c r="AG7">
        <f t="shared" si="9"/>
        <v>0</v>
      </c>
      <c r="AH7">
        <f t="shared" si="10"/>
        <v>0</v>
      </c>
      <c r="AI7">
        <f t="shared" si="11"/>
        <v>0</v>
      </c>
      <c r="AJ7">
        <f t="shared" si="12"/>
        <v>0</v>
      </c>
      <c r="AK7">
        <f t="shared" si="13"/>
        <v>0</v>
      </c>
      <c r="AL7">
        <f t="shared" si="14"/>
        <v>0</v>
      </c>
      <c r="AM7">
        <f t="shared" si="15"/>
        <v>0</v>
      </c>
      <c r="AN7">
        <f t="shared" si="16"/>
        <v>0</v>
      </c>
      <c r="AO7">
        <f t="shared" si="17"/>
        <v>0</v>
      </c>
      <c r="AP7">
        <f t="shared" si="18"/>
        <v>0</v>
      </c>
      <c r="AQ7">
        <f t="shared" si="19"/>
        <v>0</v>
      </c>
      <c r="AR7">
        <f t="shared" si="20"/>
        <v>0</v>
      </c>
      <c r="AS7">
        <f t="shared" si="21"/>
        <v>0</v>
      </c>
      <c r="AT7">
        <f t="shared" si="22"/>
        <v>0</v>
      </c>
      <c r="AU7">
        <f t="shared" si="23"/>
        <v>11712</v>
      </c>
      <c r="AV7" s="9">
        <f>AU7/(16*5*60*18)</f>
        <v>0.13555555555555557</v>
      </c>
    </row>
    <row r="8" spans="1:48" x14ac:dyDescent="0.3">
      <c r="D8" t="s">
        <v>96</v>
      </c>
      <c r="E8">
        <v>2.5</v>
      </c>
      <c r="F8">
        <v>5</v>
      </c>
      <c r="G8">
        <v>0</v>
      </c>
      <c r="H8">
        <v>6</v>
      </c>
      <c r="I8">
        <v>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f t="shared" si="24"/>
        <v>20.5</v>
      </c>
      <c r="Z8" s="11" t="s">
        <v>96</v>
      </c>
      <c r="AA8">
        <f t="shared" si="3"/>
        <v>9760</v>
      </c>
      <c r="AB8">
        <f t="shared" si="4"/>
        <v>19520</v>
      </c>
      <c r="AC8">
        <f t="shared" si="5"/>
        <v>0</v>
      </c>
      <c r="AD8">
        <f t="shared" si="6"/>
        <v>23424</v>
      </c>
      <c r="AE8">
        <f t="shared" si="7"/>
        <v>27328</v>
      </c>
      <c r="AF8">
        <f t="shared" si="8"/>
        <v>0</v>
      </c>
      <c r="AG8">
        <f t="shared" si="9"/>
        <v>0</v>
      </c>
      <c r="AH8">
        <f t="shared" si="10"/>
        <v>0</v>
      </c>
      <c r="AI8">
        <f t="shared" si="11"/>
        <v>0</v>
      </c>
      <c r="AJ8">
        <f t="shared" si="12"/>
        <v>0</v>
      </c>
      <c r="AK8">
        <f t="shared" si="13"/>
        <v>0</v>
      </c>
      <c r="AL8">
        <f t="shared" si="14"/>
        <v>0</v>
      </c>
      <c r="AM8">
        <f t="shared" si="15"/>
        <v>0</v>
      </c>
      <c r="AN8">
        <f t="shared" si="16"/>
        <v>0</v>
      </c>
      <c r="AO8">
        <f t="shared" si="17"/>
        <v>0</v>
      </c>
      <c r="AP8">
        <f t="shared" si="18"/>
        <v>0</v>
      </c>
      <c r="AQ8">
        <f t="shared" si="19"/>
        <v>0</v>
      </c>
      <c r="AR8">
        <f t="shared" si="20"/>
        <v>0</v>
      </c>
      <c r="AS8">
        <f t="shared" si="21"/>
        <v>0</v>
      </c>
      <c r="AT8">
        <f t="shared" si="22"/>
        <v>0</v>
      </c>
      <c r="AU8">
        <f t="shared" si="23"/>
        <v>80032</v>
      </c>
      <c r="AV8" s="9">
        <f>AU8/(16*5*60*21)</f>
        <v>0.79396825396825399</v>
      </c>
    </row>
    <row r="9" spans="1:48" x14ac:dyDescent="0.3">
      <c r="D9" t="s">
        <v>97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1.5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f t="shared" si="24"/>
        <v>1.5</v>
      </c>
      <c r="Z9" s="11" t="s">
        <v>97</v>
      </c>
      <c r="AA9">
        <f t="shared" si="3"/>
        <v>0</v>
      </c>
      <c r="AB9">
        <f t="shared" si="4"/>
        <v>0</v>
      </c>
      <c r="AC9">
        <f t="shared" si="5"/>
        <v>0</v>
      </c>
      <c r="AD9">
        <f t="shared" si="6"/>
        <v>0</v>
      </c>
      <c r="AE9">
        <f t="shared" si="7"/>
        <v>0</v>
      </c>
      <c r="AF9">
        <f t="shared" si="8"/>
        <v>0</v>
      </c>
      <c r="AG9">
        <f t="shared" si="9"/>
        <v>0</v>
      </c>
      <c r="AH9">
        <f t="shared" si="10"/>
        <v>0</v>
      </c>
      <c r="AI9">
        <f t="shared" si="11"/>
        <v>0</v>
      </c>
      <c r="AJ9">
        <f t="shared" si="12"/>
        <v>5856</v>
      </c>
      <c r="AK9">
        <f t="shared" si="13"/>
        <v>0</v>
      </c>
      <c r="AL9">
        <f t="shared" si="14"/>
        <v>0</v>
      </c>
      <c r="AM9">
        <f t="shared" si="15"/>
        <v>0</v>
      </c>
      <c r="AN9">
        <f t="shared" si="16"/>
        <v>0</v>
      </c>
      <c r="AO9">
        <f t="shared" si="17"/>
        <v>0</v>
      </c>
      <c r="AP9">
        <f t="shared" si="18"/>
        <v>0</v>
      </c>
      <c r="AQ9">
        <f t="shared" si="19"/>
        <v>0</v>
      </c>
      <c r="AR9">
        <f t="shared" si="20"/>
        <v>0</v>
      </c>
      <c r="AS9">
        <f t="shared" si="21"/>
        <v>0</v>
      </c>
      <c r="AT9">
        <f t="shared" si="22"/>
        <v>0</v>
      </c>
      <c r="AU9">
        <f t="shared" si="23"/>
        <v>5856</v>
      </c>
      <c r="AV9" s="9">
        <f>AU9/(16*5*60*3)</f>
        <v>0.40666666666666668</v>
      </c>
    </row>
    <row r="10" spans="1:48" x14ac:dyDescent="0.3">
      <c r="D10" t="s">
        <v>98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1.75</v>
      </c>
      <c r="O10">
        <v>0</v>
      </c>
      <c r="P10">
        <v>0</v>
      </c>
      <c r="Q10">
        <v>0</v>
      </c>
      <c r="R10">
        <v>0</v>
      </c>
      <c r="S10">
        <v>0</v>
      </c>
      <c r="T10">
        <v>5</v>
      </c>
      <c r="U10">
        <v>0</v>
      </c>
      <c r="V10">
        <v>0</v>
      </c>
      <c r="W10">
        <v>0</v>
      </c>
      <c r="X10">
        <v>0</v>
      </c>
      <c r="Y10">
        <f t="shared" si="24"/>
        <v>6.75</v>
      </c>
      <c r="Z10" s="11" t="s">
        <v>98</v>
      </c>
      <c r="AA10">
        <f t="shared" si="3"/>
        <v>0</v>
      </c>
      <c r="AB10">
        <f t="shared" si="4"/>
        <v>0</v>
      </c>
      <c r="AC10">
        <f t="shared" si="5"/>
        <v>0</v>
      </c>
      <c r="AD10">
        <f t="shared" si="6"/>
        <v>0</v>
      </c>
      <c r="AE10">
        <f t="shared" si="7"/>
        <v>0</v>
      </c>
      <c r="AF10">
        <f t="shared" si="8"/>
        <v>0</v>
      </c>
      <c r="AG10">
        <f t="shared" si="9"/>
        <v>0</v>
      </c>
      <c r="AH10">
        <f t="shared" si="10"/>
        <v>0</v>
      </c>
      <c r="AI10">
        <f t="shared" si="11"/>
        <v>0</v>
      </c>
      <c r="AJ10">
        <f t="shared" si="12"/>
        <v>6832</v>
      </c>
      <c r="AK10">
        <f t="shared" si="13"/>
        <v>0</v>
      </c>
      <c r="AL10">
        <f t="shared" si="14"/>
        <v>0</v>
      </c>
      <c r="AM10">
        <f t="shared" si="15"/>
        <v>0</v>
      </c>
      <c r="AN10">
        <f t="shared" si="16"/>
        <v>0</v>
      </c>
      <c r="AO10">
        <f t="shared" si="17"/>
        <v>0</v>
      </c>
      <c r="AP10">
        <f t="shared" si="18"/>
        <v>19520</v>
      </c>
      <c r="AQ10">
        <f t="shared" si="19"/>
        <v>0</v>
      </c>
      <c r="AR10">
        <f t="shared" si="20"/>
        <v>0</v>
      </c>
      <c r="AS10">
        <f t="shared" si="21"/>
        <v>0</v>
      </c>
      <c r="AT10">
        <f t="shared" si="22"/>
        <v>0</v>
      </c>
      <c r="AU10">
        <f t="shared" si="23"/>
        <v>26352</v>
      </c>
      <c r="AV10" s="9">
        <f>AU10/(16*5*60*6)</f>
        <v>0.91500000000000004</v>
      </c>
    </row>
    <row r="11" spans="1:48" x14ac:dyDescent="0.3">
      <c r="D11" t="s">
        <v>99</v>
      </c>
      <c r="E11">
        <v>0</v>
      </c>
      <c r="F11">
        <v>0</v>
      </c>
      <c r="G11">
        <v>0</v>
      </c>
      <c r="H11">
        <v>0.5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f t="shared" si="24"/>
        <v>0.5</v>
      </c>
      <c r="Z11" s="11" t="s">
        <v>99</v>
      </c>
      <c r="AA11">
        <f t="shared" si="3"/>
        <v>0</v>
      </c>
      <c r="AB11">
        <f t="shared" si="4"/>
        <v>0</v>
      </c>
      <c r="AC11">
        <f t="shared" si="5"/>
        <v>0</v>
      </c>
      <c r="AD11">
        <f t="shared" si="6"/>
        <v>1952</v>
      </c>
      <c r="AE11">
        <f t="shared" si="7"/>
        <v>0</v>
      </c>
      <c r="AF11">
        <f t="shared" si="8"/>
        <v>0</v>
      </c>
      <c r="AG11">
        <f t="shared" si="9"/>
        <v>0</v>
      </c>
      <c r="AH11">
        <f t="shared" si="10"/>
        <v>0</v>
      </c>
      <c r="AI11">
        <f t="shared" si="11"/>
        <v>0</v>
      </c>
      <c r="AJ11">
        <f t="shared" si="12"/>
        <v>0</v>
      </c>
      <c r="AK11">
        <f t="shared" si="13"/>
        <v>0</v>
      </c>
      <c r="AL11">
        <f t="shared" si="14"/>
        <v>0</v>
      </c>
      <c r="AM11">
        <f t="shared" si="15"/>
        <v>0</v>
      </c>
      <c r="AN11">
        <f t="shared" si="16"/>
        <v>0</v>
      </c>
      <c r="AO11">
        <f t="shared" si="17"/>
        <v>0</v>
      </c>
      <c r="AP11">
        <f t="shared" si="18"/>
        <v>0</v>
      </c>
      <c r="AQ11">
        <f t="shared" si="19"/>
        <v>0</v>
      </c>
      <c r="AR11">
        <f t="shared" si="20"/>
        <v>0</v>
      </c>
      <c r="AS11">
        <f t="shared" si="21"/>
        <v>0</v>
      </c>
      <c r="AT11">
        <f t="shared" si="22"/>
        <v>0</v>
      </c>
      <c r="AU11">
        <f t="shared" si="23"/>
        <v>1952</v>
      </c>
      <c r="AV11" s="9">
        <f>AU11/(16*5*60*3)</f>
        <v>0.13555555555555557</v>
      </c>
    </row>
    <row r="12" spans="1:48" x14ac:dyDescent="0.3">
      <c r="D12" t="s">
        <v>106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f t="shared" si="24"/>
        <v>0</v>
      </c>
      <c r="Z12" s="11" t="s">
        <v>106</v>
      </c>
      <c r="AA12">
        <f t="shared" si="3"/>
        <v>0</v>
      </c>
      <c r="AB12">
        <f t="shared" si="4"/>
        <v>0</v>
      </c>
      <c r="AC12">
        <f t="shared" si="5"/>
        <v>0</v>
      </c>
      <c r="AD12">
        <f t="shared" si="6"/>
        <v>0</v>
      </c>
      <c r="AE12">
        <f t="shared" si="7"/>
        <v>0</v>
      </c>
      <c r="AF12">
        <f t="shared" si="8"/>
        <v>0</v>
      </c>
      <c r="AG12">
        <f t="shared" si="9"/>
        <v>0</v>
      </c>
      <c r="AH12">
        <f t="shared" si="10"/>
        <v>0</v>
      </c>
      <c r="AI12">
        <f t="shared" si="11"/>
        <v>0</v>
      </c>
      <c r="AJ12">
        <f t="shared" si="12"/>
        <v>0</v>
      </c>
      <c r="AK12">
        <f t="shared" si="13"/>
        <v>0</v>
      </c>
      <c r="AL12">
        <f t="shared" si="14"/>
        <v>0</v>
      </c>
      <c r="AM12">
        <f t="shared" si="15"/>
        <v>0</v>
      </c>
      <c r="AN12">
        <f t="shared" si="16"/>
        <v>0</v>
      </c>
      <c r="AO12">
        <f t="shared" si="17"/>
        <v>0</v>
      </c>
      <c r="AP12">
        <f t="shared" si="18"/>
        <v>0</v>
      </c>
      <c r="AQ12">
        <f t="shared" si="19"/>
        <v>0</v>
      </c>
      <c r="AR12">
        <f t="shared" si="20"/>
        <v>0</v>
      </c>
      <c r="AS12">
        <f t="shared" si="21"/>
        <v>0</v>
      </c>
      <c r="AT12">
        <f t="shared" si="22"/>
        <v>0</v>
      </c>
      <c r="AU12">
        <f t="shared" si="23"/>
        <v>0</v>
      </c>
      <c r="AV12" s="9">
        <f t="shared" ref="AV12" si="25">AU12/(16*5*60*6)</f>
        <v>0</v>
      </c>
    </row>
    <row r="13" spans="1:48" x14ac:dyDescent="0.3">
      <c r="D13" t="s">
        <v>105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8.5</v>
      </c>
      <c r="N13">
        <v>0</v>
      </c>
      <c r="O13">
        <v>0</v>
      </c>
      <c r="P13">
        <v>0</v>
      </c>
      <c r="Q13">
        <v>0</v>
      </c>
      <c r="R13">
        <v>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f t="shared" si="24"/>
        <v>14.5</v>
      </c>
      <c r="Z13" s="11" t="s">
        <v>105</v>
      </c>
      <c r="AA13">
        <f t="shared" si="3"/>
        <v>0</v>
      </c>
      <c r="AB13">
        <f t="shared" si="4"/>
        <v>0</v>
      </c>
      <c r="AC13">
        <f t="shared" si="5"/>
        <v>0</v>
      </c>
      <c r="AD13">
        <f t="shared" si="6"/>
        <v>0</v>
      </c>
      <c r="AE13">
        <f t="shared" si="7"/>
        <v>0</v>
      </c>
      <c r="AF13">
        <f t="shared" si="8"/>
        <v>0</v>
      </c>
      <c r="AG13">
        <f t="shared" si="9"/>
        <v>0</v>
      </c>
      <c r="AH13">
        <f t="shared" si="10"/>
        <v>0</v>
      </c>
      <c r="AI13">
        <f t="shared" si="11"/>
        <v>33184</v>
      </c>
      <c r="AJ13">
        <f t="shared" si="12"/>
        <v>0</v>
      </c>
      <c r="AK13">
        <f t="shared" si="13"/>
        <v>0</v>
      </c>
      <c r="AL13">
        <f t="shared" si="14"/>
        <v>0</v>
      </c>
      <c r="AM13">
        <f t="shared" si="15"/>
        <v>0</v>
      </c>
      <c r="AN13">
        <f t="shared" si="16"/>
        <v>23424</v>
      </c>
      <c r="AO13">
        <f t="shared" si="17"/>
        <v>0</v>
      </c>
      <c r="AP13">
        <f t="shared" si="18"/>
        <v>0</v>
      </c>
      <c r="AQ13">
        <f t="shared" si="19"/>
        <v>0</v>
      </c>
      <c r="AR13">
        <f t="shared" si="20"/>
        <v>0</v>
      </c>
      <c r="AS13">
        <f t="shared" si="21"/>
        <v>0</v>
      </c>
      <c r="AT13">
        <f t="shared" si="22"/>
        <v>0</v>
      </c>
      <c r="AU13">
        <f t="shared" si="23"/>
        <v>56608</v>
      </c>
      <c r="AV13" s="9">
        <f>AU13/(16*5*60*18)</f>
        <v>0.6551851851851852</v>
      </c>
    </row>
    <row r="14" spans="1:48" x14ac:dyDescent="0.3">
      <c r="D14" t="s">
        <v>100</v>
      </c>
      <c r="E14">
        <v>0</v>
      </c>
      <c r="F14">
        <v>2</v>
      </c>
      <c r="G14">
        <v>0</v>
      </c>
      <c r="H14">
        <v>2.5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3.5</v>
      </c>
      <c r="S14">
        <v>0</v>
      </c>
      <c r="T14">
        <v>20</v>
      </c>
      <c r="U14">
        <v>0</v>
      </c>
      <c r="V14">
        <v>0</v>
      </c>
      <c r="W14">
        <v>0</v>
      </c>
      <c r="X14">
        <v>0</v>
      </c>
      <c r="Y14">
        <f t="shared" si="24"/>
        <v>28</v>
      </c>
      <c r="Z14" s="11" t="s">
        <v>100</v>
      </c>
      <c r="AA14">
        <f t="shared" si="3"/>
        <v>0</v>
      </c>
      <c r="AB14">
        <f t="shared" si="4"/>
        <v>7808</v>
      </c>
      <c r="AC14">
        <f t="shared" si="5"/>
        <v>0</v>
      </c>
      <c r="AD14">
        <f t="shared" si="6"/>
        <v>9760</v>
      </c>
      <c r="AE14">
        <f t="shared" si="7"/>
        <v>0</v>
      </c>
      <c r="AF14">
        <f t="shared" si="8"/>
        <v>0</v>
      </c>
      <c r="AG14">
        <f t="shared" si="9"/>
        <v>0</v>
      </c>
      <c r="AH14">
        <f t="shared" si="10"/>
        <v>0</v>
      </c>
      <c r="AI14">
        <f t="shared" si="11"/>
        <v>0</v>
      </c>
      <c r="AJ14">
        <f t="shared" si="12"/>
        <v>0</v>
      </c>
      <c r="AK14">
        <f t="shared" si="13"/>
        <v>0</v>
      </c>
      <c r="AL14">
        <f t="shared" si="14"/>
        <v>0</v>
      </c>
      <c r="AM14">
        <f t="shared" si="15"/>
        <v>0</v>
      </c>
      <c r="AN14">
        <f t="shared" si="16"/>
        <v>13664</v>
      </c>
      <c r="AO14">
        <f t="shared" si="17"/>
        <v>0</v>
      </c>
      <c r="AP14">
        <f t="shared" si="18"/>
        <v>78080</v>
      </c>
      <c r="AQ14">
        <f t="shared" si="19"/>
        <v>0</v>
      </c>
      <c r="AR14">
        <f t="shared" si="20"/>
        <v>0</v>
      </c>
      <c r="AS14">
        <f t="shared" si="21"/>
        <v>0</v>
      </c>
      <c r="AT14">
        <f t="shared" si="22"/>
        <v>0</v>
      </c>
      <c r="AU14">
        <f t="shared" si="23"/>
        <v>109312</v>
      </c>
      <c r="AV14" s="9">
        <f>AU14/(16*5*60*30)</f>
        <v>0.75911111111111107</v>
      </c>
    </row>
    <row r="15" spans="1:48" x14ac:dyDescent="0.3">
      <c r="D15" t="s">
        <v>101</v>
      </c>
      <c r="E15">
        <v>1.25</v>
      </c>
      <c r="F15">
        <v>0</v>
      </c>
      <c r="G15">
        <v>0</v>
      </c>
      <c r="H15">
        <v>0</v>
      </c>
      <c r="I15">
        <v>3.5</v>
      </c>
      <c r="J15">
        <v>0</v>
      </c>
      <c r="K15">
        <v>0</v>
      </c>
      <c r="L15">
        <v>0</v>
      </c>
      <c r="M15">
        <v>2.5</v>
      </c>
      <c r="N15">
        <v>1.25</v>
      </c>
      <c r="O15">
        <v>0</v>
      </c>
      <c r="P15">
        <v>0</v>
      </c>
      <c r="Q15">
        <v>0</v>
      </c>
      <c r="R15">
        <v>0</v>
      </c>
      <c r="S15">
        <v>0</v>
      </c>
      <c r="T15">
        <v>5</v>
      </c>
      <c r="U15">
        <v>0</v>
      </c>
      <c r="V15">
        <v>0</v>
      </c>
      <c r="W15">
        <v>0</v>
      </c>
      <c r="X15">
        <v>0</v>
      </c>
      <c r="Y15">
        <f t="shared" si="24"/>
        <v>13.5</v>
      </c>
      <c r="Z15" s="11" t="s">
        <v>101</v>
      </c>
      <c r="AA15">
        <f t="shared" si="3"/>
        <v>4880</v>
      </c>
      <c r="AB15">
        <f t="shared" si="4"/>
        <v>0</v>
      </c>
      <c r="AC15">
        <f t="shared" si="5"/>
        <v>0</v>
      </c>
      <c r="AD15">
        <f t="shared" si="6"/>
        <v>0</v>
      </c>
      <c r="AE15">
        <f t="shared" si="7"/>
        <v>13664</v>
      </c>
      <c r="AF15">
        <f t="shared" si="8"/>
        <v>0</v>
      </c>
      <c r="AG15">
        <f t="shared" si="9"/>
        <v>0</v>
      </c>
      <c r="AH15">
        <f t="shared" si="10"/>
        <v>0</v>
      </c>
      <c r="AI15">
        <f t="shared" si="11"/>
        <v>9760</v>
      </c>
      <c r="AJ15">
        <f t="shared" si="12"/>
        <v>4880</v>
      </c>
      <c r="AK15">
        <f t="shared" si="13"/>
        <v>0</v>
      </c>
      <c r="AL15">
        <f t="shared" si="14"/>
        <v>0</v>
      </c>
      <c r="AM15">
        <f t="shared" si="15"/>
        <v>0</v>
      </c>
      <c r="AN15">
        <f t="shared" si="16"/>
        <v>0</v>
      </c>
      <c r="AO15">
        <f t="shared" si="17"/>
        <v>0</v>
      </c>
      <c r="AP15">
        <f t="shared" si="18"/>
        <v>19520</v>
      </c>
      <c r="AQ15">
        <f t="shared" si="19"/>
        <v>0</v>
      </c>
      <c r="AR15">
        <f t="shared" si="20"/>
        <v>0</v>
      </c>
      <c r="AS15">
        <f t="shared" si="21"/>
        <v>0</v>
      </c>
      <c r="AT15">
        <f t="shared" si="22"/>
        <v>0</v>
      </c>
      <c r="AU15">
        <f t="shared" si="23"/>
        <v>52704</v>
      </c>
      <c r="AV15" s="9">
        <f>AU15/(16*5*60*24)</f>
        <v>0.45750000000000002</v>
      </c>
    </row>
    <row r="16" spans="1:48" x14ac:dyDescent="0.3">
      <c r="D16" t="s">
        <v>102</v>
      </c>
      <c r="E16">
        <v>2.5</v>
      </c>
      <c r="F16">
        <v>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</v>
      </c>
      <c r="N16">
        <v>2</v>
      </c>
      <c r="O16">
        <v>0</v>
      </c>
      <c r="P16">
        <v>0</v>
      </c>
      <c r="Q16">
        <v>0</v>
      </c>
      <c r="R16">
        <v>0</v>
      </c>
      <c r="S16">
        <v>0</v>
      </c>
      <c r="T16">
        <v>10</v>
      </c>
      <c r="U16">
        <v>0</v>
      </c>
      <c r="V16">
        <v>0</v>
      </c>
      <c r="W16">
        <v>0</v>
      </c>
      <c r="X16">
        <v>0</v>
      </c>
      <c r="Y16">
        <f t="shared" si="24"/>
        <v>25.5</v>
      </c>
      <c r="Z16" s="11" t="s">
        <v>102</v>
      </c>
      <c r="AA16">
        <f>E16*$B$3</f>
        <v>9760</v>
      </c>
      <c r="AB16">
        <f t="shared" si="4"/>
        <v>19520</v>
      </c>
      <c r="AC16">
        <f t="shared" si="5"/>
        <v>0</v>
      </c>
      <c r="AD16">
        <f t="shared" si="6"/>
        <v>0</v>
      </c>
      <c r="AE16">
        <f>I16*$B$3</f>
        <v>0</v>
      </c>
      <c r="AF16">
        <f t="shared" si="8"/>
        <v>0</v>
      </c>
      <c r="AG16">
        <f t="shared" si="9"/>
        <v>0</v>
      </c>
      <c r="AH16">
        <f t="shared" si="10"/>
        <v>0</v>
      </c>
      <c r="AI16">
        <f t="shared" si="11"/>
        <v>23424</v>
      </c>
      <c r="AJ16">
        <f t="shared" si="12"/>
        <v>7808</v>
      </c>
      <c r="AK16">
        <f t="shared" si="13"/>
        <v>0</v>
      </c>
      <c r="AL16">
        <f t="shared" si="14"/>
        <v>0</v>
      </c>
      <c r="AM16">
        <f t="shared" si="15"/>
        <v>0</v>
      </c>
      <c r="AN16">
        <f t="shared" si="16"/>
        <v>0</v>
      </c>
      <c r="AO16">
        <f t="shared" si="17"/>
        <v>0</v>
      </c>
      <c r="AP16">
        <f t="shared" si="18"/>
        <v>39040</v>
      </c>
      <c r="AQ16">
        <f t="shared" si="19"/>
        <v>0</v>
      </c>
      <c r="AR16">
        <f t="shared" si="20"/>
        <v>0</v>
      </c>
      <c r="AS16">
        <f t="shared" si="21"/>
        <v>0</v>
      </c>
      <c r="AT16">
        <f t="shared" si="22"/>
        <v>0</v>
      </c>
      <c r="AU16">
        <f t="shared" si="23"/>
        <v>99552</v>
      </c>
      <c r="AV16" s="9">
        <f>AU16/(16*5*60*24)</f>
        <v>0.86416666666666664</v>
      </c>
    </row>
    <row r="17" spans="1:48" x14ac:dyDescent="0.3">
      <c r="D17" t="s">
        <v>103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42</v>
      </c>
      <c r="X17">
        <v>0</v>
      </c>
      <c r="Y17">
        <f t="shared" si="24"/>
        <v>42</v>
      </c>
      <c r="Z17" s="11" t="s">
        <v>103</v>
      </c>
      <c r="AA17">
        <f t="shared" si="3"/>
        <v>0</v>
      </c>
      <c r="AB17">
        <f t="shared" si="4"/>
        <v>0</v>
      </c>
      <c r="AC17">
        <f t="shared" si="5"/>
        <v>0</v>
      </c>
      <c r="AD17">
        <f t="shared" si="6"/>
        <v>0</v>
      </c>
      <c r="AE17">
        <f t="shared" si="7"/>
        <v>0</v>
      </c>
      <c r="AF17">
        <f t="shared" si="8"/>
        <v>0</v>
      </c>
      <c r="AG17">
        <f t="shared" si="9"/>
        <v>0</v>
      </c>
      <c r="AH17">
        <f t="shared" si="10"/>
        <v>0</v>
      </c>
      <c r="AI17">
        <f t="shared" si="11"/>
        <v>0</v>
      </c>
      <c r="AJ17">
        <f t="shared" si="12"/>
        <v>0</v>
      </c>
      <c r="AK17">
        <f t="shared" si="13"/>
        <v>0</v>
      </c>
      <c r="AL17">
        <f t="shared" si="14"/>
        <v>0</v>
      </c>
      <c r="AM17">
        <f t="shared" si="15"/>
        <v>0</v>
      </c>
      <c r="AN17">
        <f t="shared" si="16"/>
        <v>0</v>
      </c>
      <c r="AO17">
        <f t="shared" si="17"/>
        <v>0</v>
      </c>
      <c r="AP17">
        <f t="shared" si="18"/>
        <v>0</v>
      </c>
      <c r="AQ17">
        <f t="shared" si="19"/>
        <v>0</v>
      </c>
      <c r="AR17">
        <f t="shared" si="20"/>
        <v>0</v>
      </c>
      <c r="AS17">
        <f t="shared" si="21"/>
        <v>163968</v>
      </c>
      <c r="AT17">
        <f t="shared" si="22"/>
        <v>0</v>
      </c>
      <c r="AU17">
        <f t="shared" si="23"/>
        <v>163968</v>
      </c>
      <c r="AV17" s="9">
        <f>AU17/(16*5*60*36)</f>
        <v>0.94888888888888889</v>
      </c>
    </row>
    <row r="18" spans="1:48" x14ac:dyDescent="0.3">
      <c r="D18" t="s">
        <v>104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17.25</v>
      </c>
      <c r="Y18">
        <f t="shared" si="24"/>
        <v>17.25</v>
      </c>
      <c r="Z18" s="11" t="s">
        <v>104</v>
      </c>
      <c r="AA18">
        <f t="shared" si="3"/>
        <v>0</v>
      </c>
      <c r="AB18">
        <f t="shared" si="4"/>
        <v>0</v>
      </c>
      <c r="AC18">
        <f t="shared" si="5"/>
        <v>0</v>
      </c>
      <c r="AD18">
        <f t="shared" si="6"/>
        <v>0</v>
      </c>
      <c r="AE18">
        <f t="shared" si="7"/>
        <v>0</v>
      </c>
      <c r="AF18">
        <f t="shared" si="8"/>
        <v>0</v>
      </c>
      <c r="AG18">
        <f t="shared" si="9"/>
        <v>0</v>
      </c>
      <c r="AH18">
        <f t="shared" si="10"/>
        <v>0</v>
      </c>
      <c r="AI18">
        <f t="shared" si="11"/>
        <v>0</v>
      </c>
      <c r="AJ18">
        <f t="shared" si="12"/>
        <v>0</v>
      </c>
      <c r="AK18">
        <f t="shared" si="13"/>
        <v>0</v>
      </c>
      <c r="AL18">
        <f t="shared" si="14"/>
        <v>0</v>
      </c>
      <c r="AM18">
        <f t="shared" si="15"/>
        <v>0</v>
      </c>
      <c r="AN18">
        <f t="shared" si="16"/>
        <v>0</v>
      </c>
      <c r="AO18">
        <f t="shared" si="17"/>
        <v>0</v>
      </c>
      <c r="AP18">
        <f t="shared" si="18"/>
        <v>0</v>
      </c>
      <c r="AQ18">
        <f t="shared" si="19"/>
        <v>0</v>
      </c>
      <c r="AR18">
        <f t="shared" si="20"/>
        <v>0</v>
      </c>
      <c r="AS18">
        <f t="shared" si="21"/>
        <v>0</v>
      </c>
      <c r="AT18">
        <f t="shared" si="22"/>
        <v>67344</v>
      </c>
      <c r="AU18">
        <f t="shared" si="23"/>
        <v>67344</v>
      </c>
      <c r="AV18" s="9">
        <f>AU18/(16*5*60*15)</f>
        <v>0.93533333333333335</v>
      </c>
    </row>
    <row r="19" spans="1:48" x14ac:dyDescent="0.3">
      <c r="A19" t="s">
        <v>1</v>
      </c>
      <c r="B19">
        <v>3003</v>
      </c>
      <c r="C19">
        <v>165.25</v>
      </c>
      <c r="D19">
        <f>B19*C19</f>
        <v>496245.75</v>
      </c>
      <c r="E19">
        <v>25.5</v>
      </c>
      <c r="F19">
        <v>0</v>
      </c>
      <c r="G19">
        <v>0</v>
      </c>
      <c r="H19">
        <v>7.5</v>
      </c>
      <c r="I19">
        <v>7.5</v>
      </c>
      <c r="J19">
        <v>0</v>
      </c>
      <c r="K19">
        <v>40</v>
      </c>
      <c r="L19">
        <v>0</v>
      </c>
      <c r="M19">
        <v>17</v>
      </c>
      <c r="N19">
        <v>0</v>
      </c>
      <c r="O19">
        <v>0</v>
      </c>
      <c r="P19">
        <v>0</v>
      </c>
      <c r="Q19">
        <v>0</v>
      </c>
      <c r="R19">
        <v>19</v>
      </c>
      <c r="S19">
        <v>0</v>
      </c>
      <c r="T19">
        <v>10</v>
      </c>
      <c r="U19">
        <v>0</v>
      </c>
      <c r="V19">
        <v>6.25</v>
      </c>
      <c r="W19">
        <v>21</v>
      </c>
      <c r="X19">
        <v>11.5</v>
      </c>
    </row>
    <row r="20" spans="1:48" x14ac:dyDescent="0.3">
      <c r="D20" s="1" t="s">
        <v>112</v>
      </c>
      <c r="E20">
        <f t="shared" ref="E20:X20" si="26">E19*3003</f>
        <v>76576.5</v>
      </c>
      <c r="F20">
        <f t="shared" si="26"/>
        <v>0</v>
      </c>
      <c r="G20">
        <f t="shared" si="26"/>
        <v>0</v>
      </c>
      <c r="H20">
        <f t="shared" si="26"/>
        <v>22522.5</v>
      </c>
      <c r="I20">
        <f t="shared" si="26"/>
        <v>22522.5</v>
      </c>
      <c r="J20">
        <f t="shared" si="26"/>
        <v>0</v>
      </c>
      <c r="K20">
        <f t="shared" si="26"/>
        <v>120120</v>
      </c>
      <c r="L20">
        <f t="shared" si="26"/>
        <v>0</v>
      </c>
      <c r="M20">
        <f t="shared" si="26"/>
        <v>51051</v>
      </c>
      <c r="N20">
        <f t="shared" si="26"/>
        <v>0</v>
      </c>
      <c r="O20">
        <f t="shared" si="26"/>
        <v>0</v>
      </c>
      <c r="P20">
        <f t="shared" si="26"/>
        <v>0</v>
      </c>
      <c r="Q20">
        <f t="shared" si="26"/>
        <v>0</v>
      </c>
      <c r="R20">
        <f t="shared" si="26"/>
        <v>57057</v>
      </c>
      <c r="S20">
        <f t="shared" si="26"/>
        <v>0</v>
      </c>
      <c r="T20">
        <f t="shared" si="26"/>
        <v>30030</v>
      </c>
      <c r="U20">
        <f t="shared" si="26"/>
        <v>0</v>
      </c>
      <c r="V20">
        <f t="shared" si="26"/>
        <v>18768.75</v>
      </c>
      <c r="W20">
        <f t="shared" si="26"/>
        <v>63063</v>
      </c>
      <c r="X20">
        <f t="shared" si="26"/>
        <v>34534.5</v>
      </c>
      <c r="Z20" s="12"/>
      <c r="AA20" s="12" t="s">
        <v>5</v>
      </c>
      <c r="AB20" s="12" t="s">
        <v>42</v>
      </c>
      <c r="AC20" s="12" t="s">
        <v>74</v>
      </c>
      <c r="AD20" s="12" t="s">
        <v>44</v>
      </c>
      <c r="AE20" s="12" t="s">
        <v>45</v>
      </c>
      <c r="AF20" s="12" t="s">
        <v>46</v>
      </c>
      <c r="AG20" s="12" t="s">
        <v>47</v>
      </c>
      <c r="AH20" s="12" t="s">
        <v>48</v>
      </c>
      <c r="AI20" s="12" t="s">
        <v>49</v>
      </c>
      <c r="AJ20" s="12" t="s">
        <v>50</v>
      </c>
      <c r="AK20" s="12" t="s">
        <v>51</v>
      </c>
      <c r="AL20" s="12" t="s">
        <v>52</v>
      </c>
      <c r="AM20" s="12" t="s">
        <v>53</v>
      </c>
      <c r="AN20" s="12" t="s">
        <v>54</v>
      </c>
      <c r="AO20" s="12" t="s">
        <v>55</v>
      </c>
      <c r="AP20" s="12" t="s">
        <v>56</v>
      </c>
      <c r="AQ20" s="12" t="s">
        <v>57</v>
      </c>
      <c r="AR20" s="12" t="s">
        <v>58</v>
      </c>
      <c r="AS20" s="12" t="s">
        <v>59</v>
      </c>
      <c r="AT20" s="12" t="s">
        <v>60</v>
      </c>
      <c r="AU20" s="13" t="s">
        <v>114</v>
      </c>
      <c r="AV20" s="13" t="s">
        <v>113</v>
      </c>
    </row>
    <row r="21" spans="1:48" x14ac:dyDescent="0.3">
      <c r="D21" t="s">
        <v>93</v>
      </c>
      <c r="E21">
        <v>2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f>SUM(E21:X21)</f>
        <v>3</v>
      </c>
      <c r="Z21" s="11" t="s">
        <v>93</v>
      </c>
      <c r="AA21">
        <f>E21*$B$19</f>
        <v>6006</v>
      </c>
      <c r="AB21">
        <f t="shared" ref="AB21:AT21" si="27">F21*$B$19</f>
        <v>0</v>
      </c>
      <c r="AC21">
        <f t="shared" si="27"/>
        <v>0</v>
      </c>
      <c r="AD21">
        <f t="shared" si="27"/>
        <v>3003</v>
      </c>
      <c r="AE21">
        <f t="shared" si="27"/>
        <v>0</v>
      </c>
      <c r="AF21">
        <f t="shared" si="27"/>
        <v>0</v>
      </c>
      <c r="AG21">
        <f t="shared" si="27"/>
        <v>0</v>
      </c>
      <c r="AH21">
        <f t="shared" si="27"/>
        <v>0</v>
      </c>
      <c r="AI21">
        <f t="shared" si="27"/>
        <v>0</v>
      </c>
      <c r="AJ21">
        <f t="shared" si="27"/>
        <v>0</v>
      </c>
      <c r="AK21">
        <f t="shared" si="27"/>
        <v>0</v>
      </c>
      <c r="AL21">
        <f t="shared" si="27"/>
        <v>0</v>
      </c>
      <c r="AM21">
        <f t="shared" si="27"/>
        <v>0</v>
      </c>
      <c r="AN21">
        <f t="shared" si="27"/>
        <v>0</v>
      </c>
      <c r="AO21">
        <f t="shared" si="27"/>
        <v>0</v>
      </c>
      <c r="AP21">
        <f t="shared" si="27"/>
        <v>0</v>
      </c>
      <c r="AQ21">
        <f t="shared" si="27"/>
        <v>0</v>
      </c>
      <c r="AR21">
        <f t="shared" si="27"/>
        <v>0</v>
      </c>
      <c r="AS21">
        <f t="shared" si="27"/>
        <v>0</v>
      </c>
      <c r="AT21">
        <f t="shared" si="27"/>
        <v>0</v>
      </c>
      <c r="AU21">
        <f>SUM(AA21:AT21)</f>
        <v>9009</v>
      </c>
      <c r="AV21" s="9">
        <f>AU21/(16*5*60*4)</f>
        <v>0.46921875000000002</v>
      </c>
    </row>
    <row r="22" spans="1:48" x14ac:dyDescent="0.3">
      <c r="D22" t="s">
        <v>94</v>
      </c>
      <c r="E22">
        <v>10</v>
      </c>
      <c r="F22">
        <v>0</v>
      </c>
      <c r="G22">
        <v>0</v>
      </c>
      <c r="H22">
        <v>2</v>
      </c>
      <c r="I22">
        <v>1.5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f t="shared" ref="Y22:Y34" si="28">SUM(E22:X22)</f>
        <v>13.5</v>
      </c>
      <c r="Z22" s="11" t="s">
        <v>94</v>
      </c>
      <c r="AA22">
        <f t="shared" ref="AA22:AA34" si="29">E22*$B$19</f>
        <v>30030</v>
      </c>
      <c r="AB22">
        <f t="shared" ref="AB22:AB34" si="30">F22*$B$19</f>
        <v>0</v>
      </c>
      <c r="AC22">
        <f t="shared" ref="AC22:AC34" si="31">G22*$B$19</f>
        <v>0</v>
      </c>
      <c r="AD22">
        <f t="shared" ref="AD22:AD34" si="32">H22*$B$19</f>
        <v>6006</v>
      </c>
      <c r="AE22">
        <f t="shared" ref="AE22:AE34" si="33">I22*$B$19</f>
        <v>4504.5</v>
      </c>
      <c r="AF22">
        <f t="shared" ref="AF22:AF34" si="34">J22*$B$19</f>
        <v>0</v>
      </c>
      <c r="AG22">
        <f t="shared" ref="AG22:AG34" si="35">K22*$B$19</f>
        <v>0</v>
      </c>
      <c r="AH22">
        <f t="shared" ref="AH22:AH34" si="36">L22*$B$19</f>
        <v>0</v>
      </c>
      <c r="AI22">
        <f t="shared" ref="AI22:AI34" si="37">M22*$B$19</f>
        <v>0</v>
      </c>
      <c r="AJ22">
        <f t="shared" ref="AJ22:AJ34" si="38">N22*$B$19</f>
        <v>0</v>
      </c>
      <c r="AK22">
        <f t="shared" ref="AK22:AK34" si="39">O22*$B$19</f>
        <v>0</v>
      </c>
      <c r="AL22">
        <f t="shared" ref="AL22:AL34" si="40">P22*$B$19</f>
        <v>0</v>
      </c>
      <c r="AM22">
        <f t="shared" ref="AM22:AM34" si="41">Q22*$B$19</f>
        <v>0</v>
      </c>
      <c r="AN22">
        <f t="shared" ref="AN22:AN34" si="42">R22*$B$19</f>
        <v>0</v>
      </c>
      <c r="AO22">
        <f t="shared" ref="AO22:AO34" si="43">S22*$B$19</f>
        <v>0</v>
      </c>
      <c r="AP22">
        <f t="shared" ref="AP22:AP34" si="44">T22*$B$19</f>
        <v>0</v>
      </c>
      <c r="AQ22">
        <f t="shared" ref="AQ22:AQ34" si="45">U22*$B$19</f>
        <v>0</v>
      </c>
      <c r="AR22">
        <f t="shared" ref="AR22:AR34" si="46">V22*$B$19</f>
        <v>0</v>
      </c>
      <c r="AS22">
        <f t="shared" ref="AS22:AS34" si="47">W22*$B$19</f>
        <v>0</v>
      </c>
      <c r="AT22">
        <f t="shared" ref="AT22:AT34" si="48">X22*$B$19</f>
        <v>0</v>
      </c>
      <c r="AU22">
        <f t="shared" ref="AU22:AU34" si="49">SUM(AA22:AT22)</f>
        <v>40540.5</v>
      </c>
      <c r="AV22" s="9">
        <f>AU22/(16*5*60*9)</f>
        <v>0.93843750000000004</v>
      </c>
    </row>
    <row r="23" spans="1:48" x14ac:dyDescent="0.3">
      <c r="D23" t="s">
        <v>95</v>
      </c>
      <c r="E23">
        <v>1</v>
      </c>
      <c r="F23">
        <v>0</v>
      </c>
      <c r="G23">
        <v>0</v>
      </c>
      <c r="H23">
        <v>0</v>
      </c>
      <c r="I23">
        <v>0.75</v>
      </c>
      <c r="J23">
        <v>0</v>
      </c>
      <c r="K23">
        <v>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f t="shared" si="28"/>
        <v>4.75</v>
      </c>
      <c r="Z23" s="11" t="s">
        <v>95</v>
      </c>
      <c r="AA23">
        <f t="shared" si="29"/>
        <v>3003</v>
      </c>
      <c r="AB23">
        <f t="shared" si="30"/>
        <v>0</v>
      </c>
      <c r="AC23">
        <f t="shared" si="31"/>
        <v>0</v>
      </c>
      <c r="AD23">
        <f t="shared" si="32"/>
        <v>0</v>
      </c>
      <c r="AE23">
        <f t="shared" si="33"/>
        <v>2252.25</v>
      </c>
      <c r="AF23">
        <f t="shared" si="34"/>
        <v>0</v>
      </c>
      <c r="AG23">
        <f t="shared" si="35"/>
        <v>9009</v>
      </c>
      <c r="AH23">
        <f t="shared" si="36"/>
        <v>0</v>
      </c>
      <c r="AI23">
        <f t="shared" si="37"/>
        <v>0</v>
      </c>
      <c r="AJ23">
        <f t="shared" si="38"/>
        <v>0</v>
      </c>
      <c r="AK23">
        <f t="shared" si="39"/>
        <v>0</v>
      </c>
      <c r="AL23">
        <f t="shared" si="40"/>
        <v>0</v>
      </c>
      <c r="AM23">
        <f t="shared" si="41"/>
        <v>0</v>
      </c>
      <c r="AN23">
        <f t="shared" si="42"/>
        <v>0</v>
      </c>
      <c r="AO23">
        <f t="shared" si="43"/>
        <v>0</v>
      </c>
      <c r="AP23">
        <f t="shared" si="44"/>
        <v>0</v>
      </c>
      <c r="AQ23">
        <f t="shared" si="45"/>
        <v>0</v>
      </c>
      <c r="AR23">
        <f t="shared" si="46"/>
        <v>0</v>
      </c>
      <c r="AS23">
        <f t="shared" si="47"/>
        <v>0</v>
      </c>
      <c r="AT23">
        <f t="shared" si="48"/>
        <v>0</v>
      </c>
      <c r="AU23">
        <f t="shared" si="49"/>
        <v>14264.25</v>
      </c>
      <c r="AV23" s="9">
        <f>AU23/(16*5*60*6)</f>
        <v>0.49528645833333335</v>
      </c>
    </row>
    <row r="24" spans="1:48" x14ac:dyDescent="0.3">
      <c r="D24" t="s">
        <v>96</v>
      </c>
      <c r="E24">
        <v>5</v>
      </c>
      <c r="F24">
        <v>0</v>
      </c>
      <c r="G24">
        <v>0</v>
      </c>
      <c r="H24">
        <v>3</v>
      </c>
      <c r="I24">
        <v>3.5</v>
      </c>
      <c r="J24">
        <v>0</v>
      </c>
      <c r="K24">
        <v>14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f t="shared" si="28"/>
        <v>25.5</v>
      </c>
      <c r="Z24" s="11" t="s">
        <v>96</v>
      </c>
      <c r="AA24">
        <f t="shared" si="29"/>
        <v>15015</v>
      </c>
      <c r="AB24">
        <f t="shared" si="30"/>
        <v>0</v>
      </c>
      <c r="AC24">
        <f t="shared" si="31"/>
        <v>0</v>
      </c>
      <c r="AD24">
        <f t="shared" si="32"/>
        <v>9009</v>
      </c>
      <c r="AE24">
        <f t="shared" si="33"/>
        <v>10510.5</v>
      </c>
      <c r="AF24">
        <f t="shared" si="34"/>
        <v>0</v>
      </c>
      <c r="AG24">
        <f t="shared" si="35"/>
        <v>42042</v>
      </c>
      <c r="AH24">
        <f t="shared" si="36"/>
        <v>0</v>
      </c>
      <c r="AI24">
        <f t="shared" si="37"/>
        <v>0</v>
      </c>
      <c r="AJ24">
        <f t="shared" si="38"/>
        <v>0</v>
      </c>
      <c r="AK24">
        <f t="shared" si="39"/>
        <v>0</v>
      </c>
      <c r="AL24">
        <f t="shared" si="40"/>
        <v>0</v>
      </c>
      <c r="AM24">
        <f t="shared" si="41"/>
        <v>0</v>
      </c>
      <c r="AN24">
        <f t="shared" si="42"/>
        <v>0</v>
      </c>
      <c r="AO24">
        <f t="shared" si="43"/>
        <v>0</v>
      </c>
      <c r="AP24">
        <f t="shared" si="44"/>
        <v>0</v>
      </c>
      <c r="AQ24">
        <f t="shared" si="45"/>
        <v>0</v>
      </c>
      <c r="AR24">
        <f t="shared" si="46"/>
        <v>0</v>
      </c>
      <c r="AS24">
        <f t="shared" si="47"/>
        <v>0</v>
      </c>
      <c r="AT24">
        <f t="shared" si="48"/>
        <v>0</v>
      </c>
      <c r="AU24">
        <f t="shared" si="49"/>
        <v>76576.5</v>
      </c>
      <c r="AV24" s="9">
        <f>AU24/(16*5*60*16)</f>
        <v>0.99708984374999998</v>
      </c>
    </row>
    <row r="25" spans="1:48" x14ac:dyDescent="0.3">
      <c r="D25" t="s">
        <v>97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f t="shared" si="28"/>
        <v>4</v>
      </c>
      <c r="Z25" s="11" t="s">
        <v>97</v>
      </c>
      <c r="AA25">
        <f t="shared" si="29"/>
        <v>0</v>
      </c>
      <c r="AB25">
        <f t="shared" si="30"/>
        <v>0</v>
      </c>
      <c r="AC25">
        <f t="shared" si="31"/>
        <v>0</v>
      </c>
      <c r="AD25">
        <f t="shared" si="32"/>
        <v>0</v>
      </c>
      <c r="AE25">
        <f t="shared" si="33"/>
        <v>0</v>
      </c>
      <c r="AF25">
        <f t="shared" si="34"/>
        <v>0</v>
      </c>
      <c r="AG25">
        <f t="shared" si="35"/>
        <v>12012</v>
      </c>
      <c r="AH25">
        <f t="shared" si="36"/>
        <v>0</v>
      </c>
      <c r="AI25">
        <f t="shared" si="37"/>
        <v>0</v>
      </c>
      <c r="AJ25">
        <f t="shared" si="38"/>
        <v>0</v>
      </c>
      <c r="AK25">
        <f t="shared" si="39"/>
        <v>0</v>
      </c>
      <c r="AL25">
        <f t="shared" si="40"/>
        <v>0</v>
      </c>
      <c r="AM25">
        <f t="shared" si="41"/>
        <v>0</v>
      </c>
      <c r="AN25">
        <f t="shared" si="42"/>
        <v>0</v>
      </c>
      <c r="AO25">
        <f t="shared" si="43"/>
        <v>0</v>
      </c>
      <c r="AP25">
        <f t="shared" si="44"/>
        <v>0</v>
      </c>
      <c r="AQ25">
        <f t="shared" si="45"/>
        <v>0</v>
      </c>
      <c r="AR25">
        <f t="shared" si="46"/>
        <v>0</v>
      </c>
      <c r="AS25">
        <f t="shared" si="47"/>
        <v>0</v>
      </c>
      <c r="AT25">
        <f t="shared" si="48"/>
        <v>0</v>
      </c>
      <c r="AU25">
        <f t="shared" si="49"/>
        <v>12012</v>
      </c>
      <c r="AV25" s="9">
        <f>AU25/(16*5*60*4)</f>
        <v>0.62562499999999999</v>
      </c>
    </row>
    <row r="26" spans="1:48" x14ac:dyDescent="0.3">
      <c r="D26" t="s">
        <v>98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1.25</v>
      </c>
      <c r="U26">
        <v>0</v>
      </c>
      <c r="V26">
        <v>0</v>
      </c>
      <c r="W26">
        <v>0</v>
      </c>
      <c r="X26">
        <v>0</v>
      </c>
      <c r="Y26">
        <f t="shared" si="28"/>
        <v>7.25</v>
      </c>
      <c r="Z26" s="11" t="s">
        <v>98</v>
      </c>
      <c r="AA26">
        <f t="shared" si="29"/>
        <v>0</v>
      </c>
      <c r="AB26">
        <f t="shared" si="30"/>
        <v>0</v>
      </c>
      <c r="AC26">
        <f t="shared" si="31"/>
        <v>0</v>
      </c>
      <c r="AD26">
        <f t="shared" si="32"/>
        <v>0</v>
      </c>
      <c r="AE26">
        <f t="shared" si="33"/>
        <v>0</v>
      </c>
      <c r="AF26">
        <f t="shared" si="34"/>
        <v>0</v>
      </c>
      <c r="AG26">
        <f t="shared" si="35"/>
        <v>18018</v>
      </c>
      <c r="AH26">
        <f t="shared" si="36"/>
        <v>0</v>
      </c>
      <c r="AI26">
        <f t="shared" si="37"/>
        <v>0</v>
      </c>
      <c r="AJ26">
        <f t="shared" si="38"/>
        <v>0</v>
      </c>
      <c r="AK26">
        <f t="shared" si="39"/>
        <v>0</v>
      </c>
      <c r="AL26">
        <f t="shared" si="40"/>
        <v>0</v>
      </c>
      <c r="AM26">
        <f t="shared" si="41"/>
        <v>0</v>
      </c>
      <c r="AN26">
        <f t="shared" si="42"/>
        <v>0</v>
      </c>
      <c r="AO26">
        <f t="shared" si="43"/>
        <v>0</v>
      </c>
      <c r="AP26">
        <f t="shared" si="44"/>
        <v>3753.75</v>
      </c>
      <c r="AQ26">
        <f t="shared" si="45"/>
        <v>0</v>
      </c>
      <c r="AR26">
        <f t="shared" si="46"/>
        <v>0</v>
      </c>
      <c r="AS26">
        <f t="shared" si="47"/>
        <v>0</v>
      </c>
      <c r="AT26">
        <f t="shared" si="48"/>
        <v>0</v>
      </c>
      <c r="AU26">
        <f t="shared" si="49"/>
        <v>21771.75</v>
      </c>
      <c r="AV26" s="9">
        <f>AU26/(16*5*60*8)</f>
        <v>0.56697265625000004</v>
      </c>
    </row>
    <row r="27" spans="1:48" x14ac:dyDescent="0.3">
      <c r="D27" t="s">
        <v>99</v>
      </c>
      <c r="E27">
        <v>0</v>
      </c>
      <c r="F27">
        <v>0</v>
      </c>
      <c r="G27">
        <v>0</v>
      </c>
      <c r="H27">
        <v>0.25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f t="shared" si="28"/>
        <v>0.25</v>
      </c>
      <c r="Z27" s="11" t="s">
        <v>99</v>
      </c>
      <c r="AA27">
        <f t="shared" si="29"/>
        <v>0</v>
      </c>
      <c r="AB27">
        <f t="shared" si="30"/>
        <v>0</v>
      </c>
      <c r="AC27">
        <f t="shared" si="31"/>
        <v>0</v>
      </c>
      <c r="AD27">
        <f t="shared" si="32"/>
        <v>750.75</v>
      </c>
      <c r="AE27">
        <f t="shared" si="33"/>
        <v>0</v>
      </c>
      <c r="AF27">
        <f t="shared" si="34"/>
        <v>0</v>
      </c>
      <c r="AG27">
        <f t="shared" si="35"/>
        <v>0</v>
      </c>
      <c r="AH27">
        <f t="shared" si="36"/>
        <v>0</v>
      </c>
      <c r="AI27">
        <f t="shared" si="37"/>
        <v>0</v>
      </c>
      <c r="AJ27">
        <f t="shared" si="38"/>
        <v>0</v>
      </c>
      <c r="AK27">
        <f t="shared" si="39"/>
        <v>0</v>
      </c>
      <c r="AL27">
        <f t="shared" si="40"/>
        <v>0</v>
      </c>
      <c r="AM27">
        <f t="shared" si="41"/>
        <v>0</v>
      </c>
      <c r="AN27">
        <f t="shared" si="42"/>
        <v>0</v>
      </c>
      <c r="AO27">
        <f t="shared" si="43"/>
        <v>0</v>
      </c>
      <c r="AP27">
        <f t="shared" si="44"/>
        <v>0</v>
      </c>
      <c r="AQ27">
        <f t="shared" si="45"/>
        <v>0</v>
      </c>
      <c r="AR27">
        <f t="shared" si="46"/>
        <v>0</v>
      </c>
      <c r="AS27">
        <f t="shared" si="47"/>
        <v>0</v>
      </c>
      <c r="AT27">
        <f t="shared" si="48"/>
        <v>0</v>
      </c>
      <c r="AU27">
        <f t="shared" si="49"/>
        <v>750.75</v>
      </c>
      <c r="AV27" s="9">
        <f>AU27/(16*5*60*2)</f>
        <v>7.8203124999999998E-2</v>
      </c>
    </row>
    <row r="28" spans="1:48" x14ac:dyDescent="0.3">
      <c r="D28" t="s">
        <v>106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f t="shared" si="28"/>
        <v>0</v>
      </c>
      <c r="Z28" s="11" t="s">
        <v>106</v>
      </c>
      <c r="AA28">
        <f t="shared" si="29"/>
        <v>0</v>
      </c>
      <c r="AB28">
        <f t="shared" si="30"/>
        <v>0</v>
      </c>
      <c r="AC28">
        <f t="shared" si="31"/>
        <v>0</v>
      </c>
      <c r="AD28">
        <f t="shared" si="32"/>
        <v>0</v>
      </c>
      <c r="AE28">
        <f t="shared" si="33"/>
        <v>0</v>
      </c>
      <c r="AF28">
        <f t="shared" si="34"/>
        <v>0</v>
      </c>
      <c r="AG28">
        <f t="shared" si="35"/>
        <v>0</v>
      </c>
      <c r="AH28">
        <f t="shared" si="36"/>
        <v>0</v>
      </c>
      <c r="AI28">
        <f t="shared" si="37"/>
        <v>0</v>
      </c>
      <c r="AJ28">
        <f t="shared" si="38"/>
        <v>0</v>
      </c>
      <c r="AK28">
        <f t="shared" si="39"/>
        <v>0</v>
      </c>
      <c r="AL28">
        <f t="shared" si="40"/>
        <v>0</v>
      </c>
      <c r="AM28">
        <f t="shared" si="41"/>
        <v>0</v>
      </c>
      <c r="AN28">
        <f t="shared" si="42"/>
        <v>0</v>
      </c>
      <c r="AO28">
        <f t="shared" si="43"/>
        <v>0</v>
      </c>
      <c r="AP28">
        <f t="shared" si="44"/>
        <v>0</v>
      </c>
      <c r="AQ28">
        <f t="shared" si="45"/>
        <v>0</v>
      </c>
      <c r="AR28">
        <f t="shared" si="46"/>
        <v>0</v>
      </c>
      <c r="AS28">
        <f t="shared" si="47"/>
        <v>0</v>
      </c>
      <c r="AT28">
        <f t="shared" si="48"/>
        <v>0</v>
      </c>
      <c r="AU28">
        <f t="shared" si="49"/>
        <v>0</v>
      </c>
      <c r="AV28" s="9">
        <f t="shared" ref="AV28" si="50">AU28/(16*5*60*4)</f>
        <v>0</v>
      </c>
    </row>
    <row r="29" spans="1:48" x14ac:dyDescent="0.3">
      <c r="D29" t="s">
        <v>105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8.5</v>
      </c>
      <c r="N29">
        <v>0</v>
      </c>
      <c r="O29">
        <v>0</v>
      </c>
      <c r="P29">
        <v>0</v>
      </c>
      <c r="Q29">
        <v>0</v>
      </c>
      <c r="R29">
        <v>12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f t="shared" si="28"/>
        <v>20.5</v>
      </c>
      <c r="Z29" s="11" t="s">
        <v>105</v>
      </c>
      <c r="AA29">
        <f t="shared" si="29"/>
        <v>0</v>
      </c>
      <c r="AB29">
        <f t="shared" si="30"/>
        <v>0</v>
      </c>
      <c r="AC29">
        <f t="shared" si="31"/>
        <v>0</v>
      </c>
      <c r="AD29">
        <f t="shared" si="32"/>
        <v>0</v>
      </c>
      <c r="AE29">
        <f t="shared" si="33"/>
        <v>0</v>
      </c>
      <c r="AF29">
        <f t="shared" si="34"/>
        <v>0</v>
      </c>
      <c r="AG29">
        <f t="shared" si="35"/>
        <v>0</v>
      </c>
      <c r="AH29">
        <f t="shared" si="36"/>
        <v>0</v>
      </c>
      <c r="AI29">
        <f t="shared" si="37"/>
        <v>25525.5</v>
      </c>
      <c r="AJ29">
        <f t="shared" si="38"/>
        <v>0</v>
      </c>
      <c r="AK29">
        <f t="shared" si="39"/>
        <v>0</v>
      </c>
      <c r="AL29">
        <f t="shared" si="40"/>
        <v>0</v>
      </c>
      <c r="AM29">
        <f t="shared" si="41"/>
        <v>0</v>
      </c>
      <c r="AN29">
        <f t="shared" si="42"/>
        <v>36036</v>
      </c>
      <c r="AO29">
        <f t="shared" si="43"/>
        <v>0</v>
      </c>
      <c r="AP29">
        <f t="shared" si="44"/>
        <v>0</v>
      </c>
      <c r="AQ29">
        <f t="shared" si="45"/>
        <v>0</v>
      </c>
      <c r="AR29">
        <f t="shared" si="46"/>
        <v>0</v>
      </c>
      <c r="AS29">
        <f t="shared" si="47"/>
        <v>0</v>
      </c>
      <c r="AT29">
        <f t="shared" si="48"/>
        <v>0</v>
      </c>
      <c r="AU29">
        <f t="shared" si="49"/>
        <v>61561.5</v>
      </c>
      <c r="AV29" s="9">
        <f>AU29/(16*5*60*16)</f>
        <v>0.80158203125000005</v>
      </c>
    </row>
    <row r="30" spans="1:48" x14ac:dyDescent="0.3">
      <c r="D30" t="s">
        <v>100</v>
      </c>
      <c r="E30">
        <v>0</v>
      </c>
      <c r="F30">
        <v>0</v>
      </c>
      <c r="G30">
        <v>0</v>
      </c>
      <c r="H30">
        <v>1.25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7</v>
      </c>
      <c r="S30">
        <v>0</v>
      </c>
      <c r="T30">
        <v>5</v>
      </c>
      <c r="U30">
        <v>0</v>
      </c>
      <c r="V30">
        <v>0</v>
      </c>
      <c r="W30">
        <v>0</v>
      </c>
      <c r="X30">
        <v>0</v>
      </c>
      <c r="Y30">
        <f t="shared" si="28"/>
        <v>13.25</v>
      </c>
      <c r="Z30" s="11" t="s">
        <v>100</v>
      </c>
      <c r="AA30">
        <f t="shared" si="29"/>
        <v>0</v>
      </c>
      <c r="AB30">
        <f t="shared" si="30"/>
        <v>0</v>
      </c>
      <c r="AC30">
        <f t="shared" si="31"/>
        <v>0</v>
      </c>
      <c r="AD30">
        <f t="shared" si="32"/>
        <v>3753.75</v>
      </c>
      <c r="AE30">
        <f t="shared" si="33"/>
        <v>0</v>
      </c>
      <c r="AF30">
        <f t="shared" si="34"/>
        <v>0</v>
      </c>
      <c r="AG30">
        <f t="shared" si="35"/>
        <v>0</v>
      </c>
      <c r="AH30">
        <f t="shared" si="36"/>
        <v>0</v>
      </c>
      <c r="AI30">
        <f t="shared" si="37"/>
        <v>0</v>
      </c>
      <c r="AJ30">
        <f t="shared" si="38"/>
        <v>0</v>
      </c>
      <c r="AK30">
        <f t="shared" si="39"/>
        <v>0</v>
      </c>
      <c r="AL30">
        <f t="shared" si="40"/>
        <v>0</v>
      </c>
      <c r="AM30">
        <f t="shared" si="41"/>
        <v>0</v>
      </c>
      <c r="AN30">
        <f t="shared" si="42"/>
        <v>21021</v>
      </c>
      <c r="AO30">
        <f t="shared" si="43"/>
        <v>0</v>
      </c>
      <c r="AP30">
        <f t="shared" si="44"/>
        <v>15015</v>
      </c>
      <c r="AQ30">
        <f t="shared" si="45"/>
        <v>0</v>
      </c>
      <c r="AR30">
        <f t="shared" si="46"/>
        <v>0</v>
      </c>
      <c r="AS30">
        <f t="shared" si="47"/>
        <v>0</v>
      </c>
      <c r="AT30">
        <f t="shared" si="48"/>
        <v>0</v>
      </c>
      <c r="AU30">
        <f t="shared" si="49"/>
        <v>39789.75</v>
      </c>
      <c r="AV30" s="9">
        <f>AU30/(16*5*60*9)</f>
        <v>0.92105902777777782</v>
      </c>
    </row>
    <row r="31" spans="1:48" x14ac:dyDescent="0.3">
      <c r="D31" t="s">
        <v>101</v>
      </c>
      <c r="E31">
        <v>2.5</v>
      </c>
      <c r="F31">
        <v>0</v>
      </c>
      <c r="G31">
        <v>0</v>
      </c>
      <c r="H31">
        <v>0</v>
      </c>
      <c r="I31">
        <v>1.75</v>
      </c>
      <c r="J31">
        <v>0</v>
      </c>
      <c r="K31">
        <v>5</v>
      </c>
      <c r="L31">
        <v>0</v>
      </c>
      <c r="M31">
        <v>2.5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1.25</v>
      </c>
      <c r="U31">
        <v>0</v>
      </c>
      <c r="V31">
        <v>0</v>
      </c>
      <c r="W31">
        <v>0</v>
      </c>
      <c r="X31">
        <v>0</v>
      </c>
      <c r="Y31">
        <f t="shared" si="28"/>
        <v>13</v>
      </c>
      <c r="Z31" s="11" t="s">
        <v>101</v>
      </c>
      <c r="AA31">
        <f t="shared" si="29"/>
        <v>7507.5</v>
      </c>
      <c r="AB31">
        <f t="shared" si="30"/>
        <v>0</v>
      </c>
      <c r="AC31">
        <f t="shared" si="31"/>
        <v>0</v>
      </c>
      <c r="AD31">
        <f t="shared" si="32"/>
        <v>0</v>
      </c>
      <c r="AE31">
        <f t="shared" si="33"/>
        <v>5255.25</v>
      </c>
      <c r="AF31">
        <f t="shared" si="34"/>
        <v>0</v>
      </c>
      <c r="AG31">
        <f t="shared" si="35"/>
        <v>15015</v>
      </c>
      <c r="AH31">
        <f t="shared" si="36"/>
        <v>0</v>
      </c>
      <c r="AI31">
        <f t="shared" si="37"/>
        <v>7507.5</v>
      </c>
      <c r="AJ31">
        <f t="shared" si="38"/>
        <v>0</v>
      </c>
      <c r="AK31">
        <f t="shared" si="39"/>
        <v>0</v>
      </c>
      <c r="AL31">
        <f t="shared" si="40"/>
        <v>0</v>
      </c>
      <c r="AM31">
        <f t="shared" si="41"/>
        <v>0</v>
      </c>
      <c r="AN31">
        <f t="shared" si="42"/>
        <v>0</v>
      </c>
      <c r="AO31">
        <f t="shared" si="43"/>
        <v>0</v>
      </c>
      <c r="AP31">
        <f t="shared" si="44"/>
        <v>3753.75</v>
      </c>
      <c r="AQ31">
        <f t="shared" si="45"/>
        <v>0</v>
      </c>
      <c r="AR31">
        <f t="shared" si="46"/>
        <v>0</v>
      </c>
      <c r="AS31">
        <f t="shared" si="47"/>
        <v>0</v>
      </c>
      <c r="AT31">
        <f t="shared" si="48"/>
        <v>0</v>
      </c>
      <c r="AU31">
        <f t="shared" si="49"/>
        <v>39039</v>
      </c>
      <c r="AV31" s="9">
        <f>AU31/(16*5*60*10)</f>
        <v>0.81331249999999999</v>
      </c>
    </row>
    <row r="32" spans="1:48" x14ac:dyDescent="0.3">
      <c r="D32" t="s">
        <v>102</v>
      </c>
      <c r="E32">
        <v>5</v>
      </c>
      <c r="F32">
        <v>0</v>
      </c>
      <c r="G32">
        <v>0</v>
      </c>
      <c r="H32">
        <v>0</v>
      </c>
      <c r="I32">
        <v>0</v>
      </c>
      <c r="J32">
        <v>0</v>
      </c>
      <c r="K32">
        <v>8</v>
      </c>
      <c r="L32">
        <v>0</v>
      </c>
      <c r="M32">
        <v>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2.5</v>
      </c>
      <c r="U32">
        <v>0</v>
      </c>
      <c r="V32">
        <v>0</v>
      </c>
      <c r="W32">
        <v>0</v>
      </c>
      <c r="X32">
        <v>0</v>
      </c>
      <c r="Y32">
        <f t="shared" si="28"/>
        <v>21.5</v>
      </c>
      <c r="Z32" s="11" t="s">
        <v>102</v>
      </c>
      <c r="AA32">
        <f t="shared" si="29"/>
        <v>15015</v>
      </c>
      <c r="AB32">
        <f t="shared" si="30"/>
        <v>0</v>
      </c>
      <c r="AC32">
        <f t="shared" si="31"/>
        <v>0</v>
      </c>
      <c r="AD32">
        <f t="shared" si="32"/>
        <v>0</v>
      </c>
      <c r="AE32">
        <f t="shared" si="33"/>
        <v>0</v>
      </c>
      <c r="AF32">
        <f t="shared" si="34"/>
        <v>0</v>
      </c>
      <c r="AG32">
        <f t="shared" si="35"/>
        <v>24024</v>
      </c>
      <c r="AH32">
        <f t="shared" si="36"/>
        <v>0</v>
      </c>
      <c r="AI32">
        <f t="shared" si="37"/>
        <v>18018</v>
      </c>
      <c r="AJ32">
        <f t="shared" si="38"/>
        <v>0</v>
      </c>
      <c r="AK32">
        <f t="shared" si="39"/>
        <v>0</v>
      </c>
      <c r="AL32">
        <f t="shared" si="40"/>
        <v>0</v>
      </c>
      <c r="AM32">
        <f t="shared" si="41"/>
        <v>0</v>
      </c>
      <c r="AN32">
        <f t="shared" si="42"/>
        <v>0</v>
      </c>
      <c r="AO32">
        <f t="shared" si="43"/>
        <v>0</v>
      </c>
      <c r="AP32">
        <f t="shared" si="44"/>
        <v>7507.5</v>
      </c>
      <c r="AQ32">
        <f t="shared" si="45"/>
        <v>0</v>
      </c>
      <c r="AR32">
        <f t="shared" si="46"/>
        <v>0</v>
      </c>
      <c r="AS32">
        <f t="shared" si="47"/>
        <v>0</v>
      </c>
      <c r="AT32">
        <f t="shared" si="48"/>
        <v>0</v>
      </c>
      <c r="AU32">
        <f t="shared" si="49"/>
        <v>64564.5</v>
      </c>
      <c r="AV32" s="9">
        <f>AU32/(16*5*60*16)</f>
        <v>0.84068359375000001</v>
      </c>
    </row>
    <row r="33" spans="1:48" x14ac:dyDescent="0.3">
      <c r="D33" t="s">
        <v>103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21</v>
      </c>
      <c r="X33">
        <v>0</v>
      </c>
      <c r="Y33">
        <f t="shared" si="28"/>
        <v>21</v>
      </c>
      <c r="Z33" s="11" t="s">
        <v>103</v>
      </c>
      <c r="AA33">
        <f t="shared" si="29"/>
        <v>0</v>
      </c>
      <c r="AB33">
        <f t="shared" si="30"/>
        <v>0</v>
      </c>
      <c r="AC33">
        <f t="shared" si="31"/>
        <v>0</v>
      </c>
      <c r="AD33">
        <f t="shared" si="32"/>
        <v>0</v>
      </c>
      <c r="AE33">
        <f t="shared" si="33"/>
        <v>0</v>
      </c>
      <c r="AF33">
        <f t="shared" si="34"/>
        <v>0</v>
      </c>
      <c r="AG33">
        <f t="shared" si="35"/>
        <v>0</v>
      </c>
      <c r="AH33">
        <f t="shared" si="36"/>
        <v>0</v>
      </c>
      <c r="AI33">
        <f t="shared" si="37"/>
        <v>0</v>
      </c>
      <c r="AJ33">
        <f t="shared" si="38"/>
        <v>0</v>
      </c>
      <c r="AK33">
        <f t="shared" si="39"/>
        <v>0</v>
      </c>
      <c r="AL33">
        <f t="shared" si="40"/>
        <v>0</v>
      </c>
      <c r="AM33">
        <f t="shared" si="41"/>
        <v>0</v>
      </c>
      <c r="AN33">
        <f t="shared" si="42"/>
        <v>0</v>
      </c>
      <c r="AO33">
        <f t="shared" si="43"/>
        <v>0</v>
      </c>
      <c r="AP33">
        <f t="shared" si="44"/>
        <v>0</v>
      </c>
      <c r="AQ33">
        <f t="shared" si="45"/>
        <v>0</v>
      </c>
      <c r="AR33">
        <f t="shared" si="46"/>
        <v>0</v>
      </c>
      <c r="AS33">
        <f t="shared" si="47"/>
        <v>63063</v>
      </c>
      <c r="AT33">
        <f t="shared" si="48"/>
        <v>0</v>
      </c>
      <c r="AU33">
        <f t="shared" si="49"/>
        <v>63063</v>
      </c>
      <c r="AV33" s="9">
        <f>AU33/(16*5*60*16)</f>
        <v>0.82113281250000003</v>
      </c>
    </row>
    <row r="34" spans="1:48" x14ac:dyDescent="0.3">
      <c r="D34" t="s">
        <v>104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6.25</v>
      </c>
      <c r="W34">
        <v>0</v>
      </c>
      <c r="X34">
        <v>11.5</v>
      </c>
      <c r="Y34">
        <f t="shared" si="28"/>
        <v>17.75</v>
      </c>
      <c r="Z34" s="11" t="s">
        <v>104</v>
      </c>
      <c r="AA34">
        <f t="shared" si="29"/>
        <v>0</v>
      </c>
      <c r="AB34">
        <f t="shared" si="30"/>
        <v>0</v>
      </c>
      <c r="AC34">
        <f t="shared" si="31"/>
        <v>0</v>
      </c>
      <c r="AD34">
        <f t="shared" si="32"/>
        <v>0</v>
      </c>
      <c r="AE34">
        <f t="shared" si="33"/>
        <v>0</v>
      </c>
      <c r="AF34">
        <f t="shared" si="34"/>
        <v>0</v>
      </c>
      <c r="AG34">
        <f t="shared" si="35"/>
        <v>0</v>
      </c>
      <c r="AH34">
        <f t="shared" si="36"/>
        <v>0</v>
      </c>
      <c r="AI34">
        <f t="shared" si="37"/>
        <v>0</v>
      </c>
      <c r="AJ34">
        <f t="shared" si="38"/>
        <v>0</v>
      </c>
      <c r="AK34">
        <f t="shared" si="39"/>
        <v>0</v>
      </c>
      <c r="AL34">
        <f t="shared" si="40"/>
        <v>0</v>
      </c>
      <c r="AM34">
        <f t="shared" si="41"/>
        <v>0</v>
      </c>
      <c r="AN34">
        <f t="shared" si="42"/>
        <v>0</v>
      </c>
      <c r="AO34">
        <f t="shared" si="43"/>
        <v>0</v>
      </c>
      <c r="AP34">
        <f t="shared" si="44"/>
        <v>0</v>
      </c>
      <c r="AQ34">
        <f t="shared" si="45"/>
        <v>0</v>
      </c>
      <c r="AR34">
        <f t="shared" si="46"/>
        <v>18768.75</v>
      </c>
      <c r="AS34">
        <f t="shared" si="47"/>
        <v>0</v>
      </c>
      <c r="AT34">
        <f t="shared" si="48"/>
        <v>34534.5</v>
      </c>
      <c r="AU34">
        <f t="shared" si="49"/>
        <v>53303.25</v>
      </c>
      <c r="AV34" s="9">
        <f>AU34/(16*5*60*12)</f>
        <v>0.92540364583333334</v>
      </c>
    </row>
    <row r="35" spans="1:48" x14ac:dyDescent="0.3">
      <c r="A35" t="s">
        <v>2</v>
      </c>
      <c r="B35">
        <v>1367</v>
      </c>
      <c r="C35">
        <v>90.125</v>
      </c>
      <c r="D35">
        <f>B35*C35</f>
        <v>123200.875</v>
      </c>
      <c r="E35">
        <v>12.75</v>
      </c>
      <c r="F35">
        <v>15.5</v>
      </c>
      <c r="G35">
        <v>0</v>
      </c>
      <c r="H35">
        <v>0</v>
      </c>
      <c r="I35">
        <v>0</v>
      </c>
      <c r="J35">
        <v>10.5</v>
      </c>
      <c r="K35">
        <v>0</v>
      </c>
      <c r="L35">
        <v>0</v>
      </c>
      <c r="M35">
        <v>0</v>
      </c>
      <c r="N35">
        <v>6.5</v>
      </c>
      <c r="O35">
        <v>8</v>
      </c>
      <c r="P35">
        <v>12</v>
      </c>
      <c r="Q35">
        <v>15</v>
      </c>
      <c r="R35">
        <v>0</v>
      </c>
      <c r="S35">
        <v>0</v>
      </c>
      <c r="T35">
        <v>0</v>
      </c>
      <c r="U35">
        <v>3.625</v>
      </c>
      <c r="V35">
        <v>6.25</v>
      </c>
      <c r="W35">
        <v>0</v>
      </c>
    </row>
    <row r="36" spans="1:48" x14ac:dyDescent="0.3">
      <c r="D36" s="1" t="s">
        <v>112</v>
      </c>
      <c r="E36">
        <f t="shared" ref="E36:W36" si="51">E35*1367</f>
        <v>17429.25</v>
      </c>
      <c r="F36">
        <f t="shared" si="51"/>
        <v>21188.5</v>
      </c>
      <c r="G36">
        <f t="shared" si="51"/>
        <v>0</v>
      </c>
      <c r="H36">
        <f t="shared" si="51"/>
        <v>0</v>
      </c>
      <c r="I36">
        <f t="shared" si="51"/>
        <v>0</v>
      </c>
      <c r="J36">
        <f t="shared" si="51"/>
        <v>14353.5</v>
      </c>
      <c r="K36">
        <f t="shared" si="51"/>
        <v>0</v>
      </c>
      <c r="L36">
        <f t="shared" si="51"/>
        <v>0</v>
      </c>
      <c r="M36">
        <f t="shared" si="51"/>
        <v>0</v>
      </c>
      <c r="N36">
        <f t="shared" si="51"/>
        <v>8885.5</v>
      </c>
      <c r="O36">
        <f t="shared" si="51"/>
        <v>10936</v>
      </c>
      <c r="P36">
        <f t="shared" si="51"/>
        <v>16404</v>
      </c>
      <c r="Q36">
        <f t="shared" si="51"/>
        <v>20505</v>
      </c>
      <c r="R36">
        <f t="shared" si="51"/>
        <v>0</v>
      </c>
      <c r="S36">
        <f t="shared" si="51"/>
        <v>0</v>
      </c>
      <c r="T36">
        <f t="shared" si="51"/>
        <v>0</v>
      </c>
      <c r="U36">
        <f t="shared" si="51"/>
        <v>4955.375</v>
      </c>
      <c r="V36">
        <f t="shared" si="51"/>
        <v>8543.75</v>
      </c>
      <c r="W36">
        <f t="shared" si="51"/>
        <v>0</v>
      </c>
      <c r="Z36" s="12"/>
      <c r="AA36" s="12" t="s">
        <v>5</v>
      </c>
      <c r="AB36" s="12" t="s">
        <v>42</v>
      </c>
      <c r="AC36" s="12" t="s">
        <v>74</v>
      </c>
      <c r="AD36" s="12" t="s">
        <v>44</v>
      </c>
      <c r="AE36" s="12" t="s">
        <v>45</v>
      </c>
      <c r="AF36" s="12" t="s">
        <v>46</v>
      </c>
      <c r="AG36" s="12" t="s">
        <v>47</v>
      </c>
      <c r="AH36" s="12" t="s">
        <v>48</v>
      </c>
      <c r="AI36" s="12" t="s">
        <v>49</v>
      </c>
      <c r="AJ36" s="12" t="s">
        <v>50</v>
      </c>
      <c r="AK36" s="12" t="s">
        <v>51</v>
      </c>
      <c r="AL36" s="12" t="s">
        <v>52</v>
      </c>
      <c r="AM36" s="12" t="s">
        <v>53</v>
      </c>
      <c r="AN36" s="12" t="s">
        <v>54</v>
      </c>
      <c r="AO36" s="12" t="s">
        <v>55</v>
      </c>
      <c r="AP36" s="12" t="s">
        <v>56</v>
      </c>
      <c r="AQ36" s="12" t="s">
        <v>57</v>
      </c>
      <c r="AR36" s="12" t="s">
        <v>58</v>
      </c>
      <c r="AS36" s="12" t="s">
        <v>59</v>
      </c>
      <c r="AT36" s="12" t="s">
        <v>60</v>
      </c>
      <c r="AU36" s="13" t="s">
        <v>114</v>
      </c>
      <c r="AV36" s="13" t="s">
        <v>113</v>
      </c>
    </row>
    <row r="37" spans="1:48" x14ac:dyDescent="0.3">
      <c r="D37" t="s">
        <v>93</v>
      </c>
      <c r="E37">
        <v>1</v>
      </c>
      <c r="F37">
        <v>2.5</v>
      </c>
      <c r="G37">
        <v>0</v>
      </c>
      <c r="H37">
        <v>0</v>
      </c>
      <c r="I37">
        <v>0</v>
      </c>
      <c r="J37">
        <v>0.75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Y37">
        <f>SUM(E37:W37)</f>
        <v>4.25</v>
      </c>
      <c r="Z37" s="11" t="s">
        <v>93</v>
      </c>
      <c r="AA37">
        <f>E37*$B$35</f>
        <v>1367</v>
      </c>
      <c r="AB37">
        <f t="shared" ref="AB37:AT37" si="52">F37*$B$35</f>
        <v>3417.5</v>
      </c>
      <c r="AC37">
        <f t="shared" si="52"/>
        <v>0</v>
      </c>
      <c r="AD37">
        <f t="shared" si="52"/>
        <v>0</v>
      </c>
      <c r="AE37">
        <f t="shared" si="52"/>
        <v>0</v>
      </c>
      <c r="AF37">
        <f t="shared" si="52"/>
        <v>1025.25</v>
      </c>
      <c r="AG37">
        <f t="shared" si="52"/>
        <v>0</v>
      </c>
      <c r="AH37">
        <f t="shared" si="52"/>
        <v>0</v>
      </c>
      <c r="AI37">
        <f t="shared" si="52"/>
        <v>0</v>
      </c>
      <c r="AJ37">
        <f t="shared" si="52"/>
        <v>0</v>
      </c>
      <c r="AK37">
        <f t="shared" si="52"/>
        <v>0</v>
      </c>
      <c r="AL37">
        <f t="shared" si="52"/>
        <v>0</v>
      </c>
      <c r="AM37">
        <f t="shared" si="52"/>
        <v>0</v>
      </c>
      <c r="AN37">
        <f t="shared" si="52"/>
        <v>0</v>
      </c>
      <c r="AO37">
        <f t="shared" si="52"/>
        <v>0</v>
      </c>
      <c r="AP37">
        <f t="shared" si="52"/>
        <v>0</v>
      </c>
      <c r="AQ37">
        <f t="shared" si="52"/>
        <v>0</v>
      </c>
      <c r="AR37">
        <f t="shared" si="52"/>
        <v>0</v>
      </c>
      <c r="AS37">
        <f t="shared" si="52"/>
        <v>0</v>
      </c>
      <c r="AT37">
        <f t="shared" si="52"/>
        <v>0</v>
      </c>
      <c r="AU37">
        <f>SUM(AA37:AT37)</f>
        <v>5809.75</v>
      </c>
      <c r="AV37" s="9">
        <f>AU37/(8*5*60*4)</f>
        <v>0.60518229166666671</v>
      </c>
    </row>
    <row r="38" spans="1:48" x14ac:dyDescent="0.3">
      <c r="D38" t="s">
        <v>94</v>
      </c>
      <c r="E38">
        <v>5</v>
      </c>
      <c r="F38">
        <v>0</v>
      </c>
      <c r="G38">
        <v>0</v>
      </c>
      <c r="H38">
        <v>0</v>
      </c>
      <c r="I38">
        <v>0</v>
      </c>
      <c r="J38">
        <v>1.25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Y38">
        <f t="shared" ref="Y38:Y50" si="53">SUM(E38:W38)</f>
        <v>6.25</v>
      </c>
      <c r="Z38" s="11" t="s">
        <v>94</v>
      </c>
      <c r="AA38">
        <f t="shared" ref="AA38:AA50" si="54">E38*$B$35</f>
        <v>6835</v>
      </c>
      <c r="AB38">
        <f t="shared" ref="AB38:AB50" si="55">F38*$B$35</f>
        <v>0</v>
      </c>
      <c r="AC38">
        <f t="shared" ref="AC38:AC50" si="56">G38*$B$35</f>
        <v>0</v>
      </c>
      <c r="AD38">
        <f t="shared" ref="AD38:AD50" si="57">H38*$B$35</f>
        <v>0</v>
      </c>
      <c r="AE38">
        <f t="shared" ref="AE38:AE50" si="58">I38*$B$35</f>
        <v>0</v>
      </c>
      <c r="AF38">
        <f t="shared" ref="AF38:AF50" si="59">J38*$B$35</f>
        <v>1708.75</v>
      </c>
      <c r="AG38">
        <f t="shared" ref="AG38:AG50" si="60">K38*$B$35</f>
        <v>0</v>
      </c>
      <c r="AH38">
        <f t="shared" ref="AH38:AH50" si="61">L38*$B$35</f>
        <v>0</v>
      </c>
      <c r="AI38">
        <f t="shared" ref="AI38:AI50" si="62">M38*$B$35</f>
        <v>0</v>
      </c>
      <c r="AJ38">
        <f t="shared" ref="AJ38:AJ50" si="63">N38*$B$35</f>
        <v>0</v>
      </c>
      <c r="AK38">
        <f t="shared" ref="AK38:AK50" si="64">O38*$B$35</f>
        <v>0</v>
      </c>
      <c r="AL38">
        <f t="shared" ref="AL38:AL50" si="65">P38*$B$35</f>
        <v>0</v>
      </c>
      <c r="AM38">
        <f t="shared" ref="AM38:AM50" si="66">Q38*$B$35</f>
        <v>0</v>
      </c>
      <c r="AN38">
        <f t="shared" ref="AN38:AN50" si="67">R38*$B$35</f>
        <v>0</v>
      </c>
      <c r="AO38">
        <f t="shared" ref="AO38:AO50" si="68">S38*$B$35</f>
        <v>0</v>
      </c>
      <c r="AP38">
        <f t="shared" ref="AP38:AP50" si="69">T38*$B$35</f>
        <v>0</v>
      </c>
      <c r="AQ38">
        <f t="shared" ref="AQ38:AQ50" si="70">U38*$B$35</f>
        <v>0</v>
      </c>
      <c r="AR38">
        <f t="shared" ref="AR38:AR50" si="71">V38*$B$35</f>
        <v>0</v>
      </c>
      <c r="AS38">
        <f t="shared" ref="AS38:AS50" si="72">W38*$B$35</f>
        <v>0</v>
      </c>
      <c r="AT38">
        <f t="shared" ref="AT38:AT50" si="73">X38*$B$35</f>
        <v>0</v>
      </c>
      <c r="AU38">
        <f t="shared" ref="AU38:AU50" si="74">SUM(AA38:AT38)</f>
        <v>8543.75</v>
      </c>
      <c r="AV38" s="9">
        <f t="shared" ref="AV38:AV49" si="75">AU38/(8*5*60*4)</f>
        <v>0.88997395833333337</v>
      </c>
    </row>
    <row r="39" spans="1:48" x14ac:dyDescent="0.3">
      <c r="D39" t="s">
        <v>95</v>
      </c>
      <c r="E39">
        <v>0.5</v>
      </c>
      <c r="F39">
        <v>1</v>
      </c>
      <c r="G39">
        <v>0</v>
      </c>
      <c r="H39">
        <v>0</v>
      </c>
      <c r="I39">
        <v>0</v>
      </c>
      <c r="J39">
        <v>0.5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Y39">
        <f t="shared" si="53"/>
        <v>2</v>
      </c>
      <c r="Z39" s="11" t="s">
        <v>95</v>
      </c>
      <c r="AA39">
        <f t="shared" si="54"/>
        <v>683.5</v>
      </c>
      <c r="AB39">
        <f t="shared" si="55"/>
        <v>1367</v>
      </c>
      <c r="AC39">
        <f t="shared" si="56"/>
        <v>0</v>
      </c>
      <c r="AD39">
        <f t="shared" si="57"/>
        <v>0</v>
      </c>
      <c r="AE39">
        <f t="shared" si="58"/>
        <v>0</v>
      </c>
      <c r="AF39">
        <f t="shared" si="59"/>
        <v>683.5</v>
      </c>
      <c r="AG39">
        <f t="shared" si="60"/>
        <v>0</v>
      </c>
      <c r="AH39">
        <f t="shared" si="61"/>
        <v>0</v>
      </c>
      <c r="AI39">
        <f t="shared" si="62"/>
        <v>0</v>
      </c>
      <c r="AJ39">
        <f t="shared" si="63"/>
        <v>0</v>
      </c>
      <c r="AK39">
        <f t="shared" si="64"/>
        <v>0</v>
      </c>
      <c r="AL39">
        <f t="shared" si="65"/>
        <v>0</v>
      </c>
      <c r="AM39">
        <f t="shared" si="66"/>
        <v>0</v>
      </c>
      <c r="AN39">
        <f t="shared" si="67"/>
        <v>0</v>
      </c>
      <c r="AO39">
        <f t="shared" si="68"/>
        <v>0</v>
      </c>
      <c r="AP39">
        <f t="shared" si="69"/>
        <v>0</v>
      </c>
      <c r="AQ39">
        <f t="shared" si="70"/>
        <v>0</v>
      </c>
      <c r="AR39">
        <f t="shared" si="71"/>
        <v>0</v>
      </c>
      <c r="AS39">
        <f t="shared" si="72"/>
        <v>0</v>
      </c>
      <c r="AT39">
        <f t="shared" si="73"/>
        <v>0</v>
      </c>
      <c r="AU39">
        <f t="shared" si="74"/>
        <v>2734</v>
      </c>
      <c r="AV39" s="9">
        <f t="shared" si="75"/>
        <v>0.28479166666666667</v>
      </c>
    </row>
    <row r="40" spans="1:48" x14ac:dyDescent="0.3">
      <c r="D40" t="s">
        <v>96</v>
      </c>
      <c r="E40">
        <v>2.5</v>
      </c>
      <c r="F40">
        <v>5</v>
      </c>
      <c r="G40">
        <v>0</v>
      </c>
      <c r="H40">
        <v>0</v>
      </c>
      <c r="I40">
        <v>0</v>
      </c>
      <c r="J40">
        <v>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Y40">
        <f t="shared" si="53"/>
        <v>10.5</v>
      </c>
      <c r="Z40" s="11" t="s">
        <v>96</v>
      </c>
      <c r="AA40">
        <f t="shared" si="54"/>
        <v>3417.5</v>
      </c>
      <c r="AB40">
        <f t="shared" si="55"/>
        <v>6835</v>
      </c>
      <c r="AC40">
        <f t="shared" si="56"/>
        <v>0</v>
      </c>
      <c r="AD40">
        <f t="shared" si="57"/>
        <v>0</v>
      </c>
      <c r="AE40">
        <f t="shared" si="58"/>
        <v>0</v>
      </c>
      <c r="AF40">
        <f t="shared" si="59"/>
        <v>4101</v>
      </c>
      <c r="AG40">
        <f t="shared" si="60"/>
        <v>0</v>
      </c>
      <c r="AH40">
        <f t="shared" si="61"/>
        <v>0</v>
      </c>
      <c r="AI40">
        <f t="shared" si="62"/>
        <v>0</v>
      </c>
      <c r="AJ40">
        <f t="shared" si="63"/>
        <v>0</v>
      </c>
      <c r="AK40">
        <f t="shared" si="64"/>
        <v>0</v>
      </c>
      <c r="AL40">
        <f t="shared" si="65"/>
        <v>0</v>
      </c>
      <c r="AM40">
        <f t="shared" si="66"/>
        <v>0</v>
      </c>
      <c r="AN40">
        <f t="shared" si="67"/>
        <v>0</v>
      </c>
      <c r="AO40">
        <f t="shared" si="68"/>
        <v>0</v>
      </c>
      <c r="AP40">
        <f t="shared" si="69"/>
        <v>0</v>
      </c>
      <c r="AQ40">
        <f t="shared" si="70"/>
        <v>0</v>
      </c>
      <c r="AR40">
        <f t="shared" si="71"/>
        <v>0</v>
      </c>
      <c r="AS40">
        <f t="shared" si="72"/>
        <v>0</v>
      </c>
      <c r="AT40">
        <f t="shared" si="73"/>
        <v>0</v>
      </c>
      <c r="AU40">
        <f t="shared" si="74"/>
        <v>14353.5</v>
      </c>
      <c r="AV40" s="9">
        <f>AU40/(16*5*60*4)</f>
        <v>0.74757812499999998</v>
      </c>
    </row>
    <row r="41" spans="1:48" x14ac:dyDescent="0.3">
      <c r="D41" t="s">
        <v>97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1.5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Y41">
        <f t="shared" si="53"/>
        <v>1.5</v>
      </c>
      <c r="Z41" s="11" t="s">
        <v>97</v>
      </c>
      <c r="AA41">
        <f t="shared" si="54"/>
        <v>0</v>
      </c>
      <c r="AB41">
        <f t="shared" si="55"/>
        <v>0</v>
      </c>
      <c r="AC41">
        <f t="shared" si="56"/>
        <v>0</v>
      </c>
      <c r="AD41">
        <f t="shared" si="57"/>
        <v>0</v>
      </c>
      <c r="AE41">
        <f t="shared" si="58"/>
        <v>0</v>
      </c>
      <c r="AF41">
        <f t="shared" si="59"/>
        <v>0</v>
      </c>
      <c r="AG41">
        <f t="shared" si="60"/>
        <v>0</v>
      </c>
      <c r="AH41">
        <f t="shared" si="61"/>
        <v>0</v>
      </c>
      <c r="AI41">
        <f t="shared" si="62"/>
        <v>0</v>
      </c>
      <c r="AJ41">
        <f t="shared" si="63"/>
        <v>2050.5</v>
      </c>
      <c r="AK41">
        <f t="shared" si="64"/>
        <v>0</v>
      </c>
      <c r="AL41">
        <f t="shared" si="65"/>
        <v>0</v>
      </c>
      <c r="AM41">
        <f t="shared" si="66"/>
        <v>0</v>
      </c>
      <c r="AN41">
        <f t="shared" si="67"/>
        <v>0</v>
      </c>
      <c r="AO41">
        <f t="shared" si="68"/>
        <v>0</v>
      </c>
      <c r="AP41">
        <f t="shared" si="69"/>
        <v>0</v>
      </c>
      <c r="AQ41">
        <f t="shared" si="70"/>
        <v>0</v>
      </c>
      <c r="AR41">
        <f t="shared" si="71"/>
        <v>0</v>
      </c>
      <c r="AS41">
        <f t="shared" si="72"/>
        <v>0</v>
      </c>
      <c r="AT41">
        <f t="shared" si="73"/>
        <v>0</v>
      </c>
      <c r="AU41">
        <f t="shared" si="74"/>
        <v>2050.5</v>
      </c>
      <c r="AV41" s="9">
        <f>AU41/(8*5*60)</f>
        <v>0.854375</v>
      </c>
    </row>
    <row r="42" spans="1:48" x14ac:dyDescent="0.3">
      <c r="D42" t="s">
        <v>98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1.75</v>
      </c>
      <c r="O42">
        <v>0</v>
      </c>
      <c r="P42">
        <v>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Y42">
        <f t="shared" si="53"/>
        <v>3.75</v>
      </c>
      <c r="Z42" s="11" t="s">
        <v>98</v>
      </c>
      <c r="AA42">
        <f t="shared" si="54"/>
        <v>0</v>
      </c>
      <c r="AB42">
        <f t="shared" si="55"/>
        <v>0</v>
      </c>
      <c r="AC42">
        <f t="shared" si="56"/>
        <v>0</v>
      </c>
      <c r="AD42">
        <f t="shared" si="57"/>
        <v>0</v>
      </c>
      <c r="AE42">
        <f t="shared" si="58"/>
        <v>0</v>
      </c>
      <c r="AF42">
        <f t="shared" si="59"/>
        <v>0</v>
      </c>
      <c r="AG42">
        <f t="shared" si="60"/>
        <v>0</v>
      </c>
      <c r="AH42">
        <f t="shared" si="61"/>
        <v>0</v>
      </c>
      <c r="AI42">
        <f t="shared" si="62"/>
        <v>0</v>
      </c>
      <c r="AJ42">
        <f t="shared" si="63"/>
        <v>2392.25</v>
      </c>
      <c r="AK42">
        <f t="shared" si="64"/>
        <v>0</v>
      </c>
      <c r="AL42">
        <f t="shared" si="65"/>
        <v>2734</v>
      </c>
      <c r="AM42">
        <f t="shared" si="66"/>
        <v>0</v>
      </c>
      <c r="AN42">
        <f t="shared" si="67"/>
        <v>0</v>
      </c>
      <c r="AO42">
        <f t="shared" si="68"/>
        <v>0</v>
      </c>
      <c r="AP42">
        <f t="shared" si="69"/>
        <v>0</v>
      </c>
      <c r="AQ42">
        <f t="shared" si="70"/>
        <v>0</v>
      </c>
      <c r="AR42">
        <f t="shared" si="71"/>
        <v>0</v>
      </c>
      <c r="AS42">
        <f t="shared" si="72"/>
        <v>0</v>
      </c>
      <c r="AT42">
        <f t="shared" si="73"/>
        <v>0</v>
      </c>
      <c r="AU42">
        <f t="shared" si="74"/>
        <v>5126.25</v>
      </c>
      <c r="AV42" s="9">
        <f>AU42/(8*5*60*3)</f>
        <v>0.71197916666666672</v>
      </c>
    </row>
    <row r="43" spans="1:48" x14ac:dyDescent="0.3">
      <c r="D43" t="s">
        <v>99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Y43">
        <f t="shared" si="53"/>
        <v>0</v>
      </c>
      <c r="Z43" s="11" t="s">
        <v>99</v>
      </c>
      <c r="AA43">
        <f t="shared" si="54"/>
        <v>0</v>
      </c>
      <c r="AB43">
        <f t="shared" si="55"/>
        <v>0</v>
      </c>
      <c r="AC43">
        <f t="shared" si="56"/>
        <v>0</v>
      </c>
      <c r="AD43">
        <f t="shared" si="57"/>
        <v>0</v>
      </c>
      <c r="AE43">
        <f t="shared" si="58"/>
        <v>0</v>
      </c>
      <c r="AF43">
        <f t="shared" si="59"/>
        <v>0</v>
      </c>
      <c r="AG43">
        <f t="shared" si="60"/>
        <v>0</v>
      </c>
      <c r="AH43">
        <f t="shared" si="61"/>
        <v>0</v>
      </c>
      <c r="AI43">
        <f t="shared" si="62"/>
        <v>0</v>
      </c>
      <c r="AJ43">
        <f t="shared" si="63"/>
        <v>0</v>
      </c>
      <c r="AK43">
        <f t="shared" si="64"/>
        <v>0</v>
      </c>
      <c r="AL43">
        <f t="shared" si="65"/>
        <v>0</v>
      </c>
      <c r="AM43">
        <f t="shared" si="66"/>
        <v>0</v>
      </c>
      <c r="AN43">
        <f t="shared" si="67"/>
        <v>0</v>
      </c>
      <c r="AO43">
        <f t="shared" si="68"/>
        <v>0</v>
      </c>
      <c r="AP43">
        <f t="shared" si="69"/>
        <v>0</v>
      </c>
      <c r="AQ43">
        <f t="shared" si="70"/>
        <v>0</v>
      </c>
      <c r="AR43">
        <f t="shared" si="71"/>
        <v>0</v>
      </c>
      <c r="AS43">
        <f t="shared" si="72"/>
        <v>0</v>
      </c>
      <c r="AT43">
        <f t="shared" si="73"/>
        <v>0</v>
      </c>
      <c r="AU43">
        <f t="shared" si="74"/>
        <v>0</v>
      </c>
      <c r="AV43" s="9">
        <f t="shared" si="75"/>
        <v>0</v>
      </c>
    </row>
    <row r="44" spans="1:48" x14ac:dyDescent="0.3">
      <c r="D44" t="s">
        <v>106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6.5</v>
      </c>
      <c r="P44">
        <v>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Y44">
        <f t="shared" si="53"/>
        <v>9.5</v>
      </c>
      <c r="Z44" s="11" t="s">
        <v>106</v>
      </c>
      <c r="AA44">
        <f t="shared" si="54"/>
        <v>0</v>
      </c>
      <c r="AB44">
        <f t="shared" si="55"/>
        <v>0</v>
      </c>
      <c r="AC44">
        <f t="shared" si="56"/>
        <v>0</v>
      </c>
      <c r="AD44">
        <f t="shared" si="57"/>
        <v>0</v>
      </c>
      <c r="AE44">
        <f t="shared" si="58"/>
        <v>0</v>
      </c>
      <c r="AF44">
        <f t="shared" si="59"/>
        <v>0</v>
      </c>
      <c r="AG44">
        <f t="shared" si="60"/>
        <v>0</v>
      </c>
      <c r="AH44">
        <f t="shared" si="61"/>
        <v>0</v>
      </c>
      <c r="AI44">
        <f t="shared" si="62"/>
        <v>0</v>
      </c>
      <c r="AJ44">
        <f t="shared" si="63"/>
        <v>0</v>
      </c>
      <c r="AK44">
        <f t="shared" si="64"/>
        <v>8885.5</v>
      </c>
      <c r="AL44">
        <f t="shared" si="65"/>
        <v>4101</v>
      </c>
      <c r="AM44">
        <f t="shared" si="66"/>
        <v>0</v>
      </c>
      <c r="AN44">
        <f t="shared" si="67"/>
        <v>0</v>
      </c>
      <c r="AO44">
        <f t="shared" si="68"/>
        <v>0</v>
      </c>
      <c r="AP44">
        <f t="shared" si="69"/>
        <v>0</v>
      </c>
      <c r="AQ44">
        <f t="shared" si="70"/>
        <v>0</v>
      </c>
      <c r="AR44">
        <f t="shared" si="71"/>
        <v>0</v>
      </c>
      <c r="AS44">
        <f t="shared" si="72"/>
        <v>0</v>
      </c>
      <c r="AT44">
        <f t="shared" si="73"/>
        <v>0</v>
      </c>
      <c r="AU44">
        <f t="shared" si="74"/>
        <v>12986.5</v>
      </c>
      <c r="AV44" s="9">
        <f>AU44/(16*5*60*3)</f>
        <v>0.90184027777777775</v>
      </c>
    </row>
    <row r="45" spans="1:48" x14ac:dyDescent="0.3">
      <c r="D45" t="s">
        <v>105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8.5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Y45">
        <f t="shared" si="53"/>
        <v>8.5</v>
      </c>
      <c r="Z45" s="11" t="s">
        <v>105</v>
      </c>
      <c r="AA45">
        <f t="shared" si="54"/>
        <v>0</v>
      </c>
      <c r="AB45">
        <f t="shared" si="55"/>
        <v>0</v>
      </c>
      <c r="AC45">
        <f t="shared" si="56"/>
        <v>0</v>
      </c>
      <c r="AD45">
        <f t="shared" si="57"/>
        <v>0</v>
      </c>
      <c r="AE45">
        <f t="shared" si="58"/>
        <v>0</v>
      </c>
      <c r="AF45">
        <f t="shared" si="59"/>
        <v>0</v>
      </c>
      <c r="AG45">
        <f t="shared" si="60"/>
        <v>0</v>
      </c>
      <c r="AH45">
        <f t="shared" si="61"/>
        <v>0</v>
      </c>
      <c r="AI45">
        <f t="shared" si="62"/>
        <v>0</v>
      </c>
      <c r="AJ45">
        <f t="shared" si="63"/>
        <v>0</v>
      </c>
      <c r="AK45">
        <f t="shared" si="64"/>
        <v>0</v>
      </c>
      <c r="AL45">
        <f t="shared" si="65"/>
        <v>0</v>
      </c>
      <c r="AM45">
        <f t="shared" si="66"/>
        <v>11619.5</v>
      </c>
      <c r="AN45">
        <f t="shared" si="67"/>
        <v>0</v>
      </c>
      <c r="AO45">
        <f t="shared" si="68"/>
        <v>0</v>
      </c>
      <c r="AP45">
        <f t="shared" si="69"/>
        <v>0</v>
      </c>
      <c r="AQ45">
        <f t="shared" si="70"/>
        <v>0</v>
      </c>
      <c r="AR45">
        <f t="shared" si="71"/>
        <v>0</v>
      </c>
      <c r="AS45">
        <f t="shared" si="72"/>
        <v>0</v>
      </c>
      <c r="AT45">
        <f t="shared" si="73"/>
        <v>0</v>
      </c>
      <c r="AU45">
        <f t="shared" si="74"/>
        <v>11619.5</v>
      </c>
      <c r="AV45" s="9">
        <f>AU45/(16*5*60*3)</f>
        <v>0.80690972222222224</v>
      </c>
    </row>
    <row r="46" spans="1:48" x14ac:dyDescent="0.3">
      <c r="D46" t="s">
        <v>100</v>
      </c>
      <c r="E46">
        <v>0</v>
      </c>
      <c r="F46">
        <v>2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4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Y46">
        <f t="shared" si="53"/>
        <v>7</v>
      </c>
      <c r="Z46" s="11" t="s">
        <v>100</v>
      </c>
      <c r="AA46">
        <f t="shared" si="54"/>
        <v>0</v>
      </c>
      <c r="AB46">
        <f t="shared" si="55"/>
        <v>2734</v>
      </c>
      <c r="AC46">
        <f t="shared" si="56"/>
        <v>0</v>
      </c>
      <c r="AD46">
        <f t="shared" si="57"/>
        <v>0</v>
      </c>
      <c r="AE46">
        <f t="shared" si="58"/>
        <v>0</v>
      </c>
      <c r="AF46">
        <f t="shared" si="59"/>
        <v>1367</v>
      </c>
      <c r="AG46">
        <f t="shared" si="60"/>
        <v>0</v>
      </c>
      <c r="AH46">
        <f t="shared" si="61"/>
        <v>0</v>
      </c>
      <c r="AI46">
        <f t="shared" si="62"/>
        <v>0</v>
      </c>
      <c r="AJ46">
        <f t="shared" si="63"/>
        <v>0</v>
      </c>
      <c r="AK46">
        <f t="shared" si="64"/>
        <v>0</v>
      </c>
      <c r="AL46">
        <f t="shared" si="65"/>
        <v>0</v>
      </c>
      <c r="AM46">
        <f t="shared" si="66"/>
        <v>5468</v>
      </c>
      <c r="AN46">
        <f t="shared" si="67"/>
        <v>0</v>
      </c>
      <c r="AO46">
        <f t="shared" si="68"/>
        <v>0</v>
      </c>
      <c r="AP46">
        <f t="shared" si="69"/>
        <v>0</v>
      </c>
      <c r="AQ46">
        <f t="shared" si="70"/>
        <v>0</v>
      </c>
      <c r="AR46">
        <f t="shared" si="71"/>
        <v>0</v>
      </c>
      <c r="AS46">
        <f t="shared" si="72"/>
        <v>0</v>
      </c>
      <c r="AT46">
        <f t="shared" si="73"/>
        <v>0</v>
      </c>
      <c r="AU46">
        <f t="shared" si="74"/>
        <v>9569</v>
      </c>
      <c r="AV46" s="9">
        <f t="shared" si="75"/>
        <v>0.99677083333333338</v>
      </c>
    </row>
    <row r="47" spans="1:48" x14ac:dyDescent="0.3">
      <c r="D47" t="s">
        <v>101</v>
      </c>
      <c r="E47">
        <v>1.25</v>
      </c>
      <c r="F47">
        <v>0</v>
      </c>
      <c r="G47">
        <v>0</v>
      </c>
      <c r="H47">
        <v>0</v>
      </c>
      <c r="I47">
        <v>0</v>
      </c>
      <c r="J47">
        <v>1.25</v>
      </c>
      <c r="K47">
        <v>0</v>
      </c>
      <c r="L47">
        <v>0</v>
      </c>
      <c r="M47">
        <v>0</v>
      </c>
      <c r="N47">
        <v>1.25</v>
      </c>
      <c r="O47">
        <v>1.5</v>
      </c>
      <c r="P47">
        <v>2.5</v>
      </c>
      <c r="Q47">
        <v>2.5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f t="shared" si="53"/>
        <v>10.25</v>
      </c>
      <c r="Z47" s="11" t="s">
        <v>101</v>
      </c>
      <c r="AA47">
        <f t="shared" si="54"/>
        <v>1708.75</v>
      </c>
      <c r="AB47">
        <f t="shared" si="55"/>
        <v>0</v>
      </c>
      <c r="AC47">
        <f t="shared" si="56"/>
        <v>0</v>
      </c>
      <c r="AD47">
        <f t="shared" si="57"/>
        <v>0</v>
      </c>
      <c r="AE47">
        <f t="shared" si="58"/>
        <v>0</v>
      </c>
      <c r="AF47">
        <f t="shared" si="59"/>
        <v>1708.75</v>
      </c>
      <c r="AG47">
        <f t="shared" si="60"/>
        <v>0</v>
      </c>
      <c r="AH47">
        <f t="shared" si="61"/>
        <v>0</v>
      </c>
      <c r="AI47">
        <f t="shared" si="62"/>
        <v>0</v>
      </c>
      <c r="AJ47">
        <f t="shared" si="63"/>
        <v>1708.75</v>
      </c>
      <c r="AK47">
        <f t="shared" si="64"/>
        <v>2050.5</v>
      </c>
      <c r="AL47">
        <f t="shared" si="65"/>
        <v>3417.5</v>
      </c>
      <c r="AM47">
        <f t="shared" si="66"/>
        <v>3417.5</v>
      </c>
      <c r="AN47">
        <f t="shared" si="67"/>
        <v>0</v>
      </c>
      <c r="AO47">
        <f t="shared" si="68"/>
        <v>0</v>
      </c>
      <c r="AP47">
        <f t="shared" si="69"/>
        <v>0</v>
      </c>
      <c r="AQ47">
        <f t="shared" si="70"/>
        <v>0</v>
      </c>
      <c r="AR47">
        <f t="shared" si="71"/>
        <v>0</v>
      </c>
      <c r="AS47">
        <f t="shared" si="72"/>
        <v>0</v>
      </c>
      <c r="AT47">
        <f t="shared" si="73"/>
        <v>0</v>
      </c>
      <c r="AU47">
        <f t="shared" si="74"/>
        <v>14011.75</v>
      </c>
      <c r="AV47" s="9">
        <f>AU47/(8*5*60*7)</f>
        <v>0.83403273809523815</v>
      </c>
    </row>
    <row r="48" spans="1:48" x14ac:dyDescent="0.3">
      <c r="D48" t="s">
        <v>102</v>
      </c>
      <c r="E48">
        <v>2.5</v>
      </c>
      <c r="F48">
        <v>5</v>
      </c>
      <c r="G48">
        <v>0</v>
      </c>
      <c r="H48">
        <v>0</v>
      </c>
      <c r="I48">
        <v>0</v>
      </c>
      <c r="J48">
        <v>2.75</v>
      </c>
      <c r="K48">
        <v>0</v>
      </c>
      <c r="L48">
        <v>0</v>
      </c>
      <c r="M48">
        <v>0</v>
      </c>
      <c r="N48">
        <v>2</v>
      </c>
      <c r="O48">
        <v>0</v>
      </c>
      <c r="P48">
        <v>4.5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Y48">
        <f t="shared" si="53"/>
        <v>16.75</v>
      </c>
      <c r="Z48" s="11" t="s">
        <v>102</v>
      </c>
      <c r="AA48">
        <f t="shared" si="54"/>
        <v>3417.5</v>
      </c>
      <c r="AB48">
        <f t="shared" si="55"/>
        <v>6835</v>
      </c>
      <c r="AC48">
        <f t="shared" si="56"/>
        <v>0</v>
      </c>
      <c r="AD48">
        <f t="shared" si="57"/>
        <v>0</v>
      </c>
      <c r="AE48">
        <f t="shared" si="58"/>
        <v>0</v>
      </c>
      <c r="AF48">
        <f t="shared" si="59"/>
        <v>3759.25</v>
      </c>
      <c r="AG48">
        <f t="shared" si="60"/>
        <v>0</v>
      </c>
      <c r="AH48">
        <f t="shared" si="61"/>
        <v>0</v>
      </c>
      <c r="AI48">
        <f t="shared" si="62"/>
        <v>0</v>
      </c>
      <c r="AJ48">
        <f t="shared" si="63"/>
        <v>2734</v>
      </c>
      <c r="AK48">
        <f t="shared" si="64"/>
        <v>0</v>
      </c>
      <c r="AL48">
        <f t="shared" si="65"/>
        <v>6151.5</v>
      </c>
      <c r="AM48">
        <f t="shared" si="66"/>
        <v>0</v>
      </c>
      <c r="AN48">
        <f t="shared" si="67"/>
        <v>0</v>
      </c>
      <c r="AO48">
        <f t="shared" si="68"/>
        <v>0</v>
      </c>
      <c r="AP48">
        <f t="shared" si="69"/>
        <v>0</v>
      </c>
      <c r="AQ48">
        <f t="shared" si="70"/>
        <v>0</v>
      </c>
      <c r="AR48">
        <f t="shared" si="71"/>
        <v>0</v>
      </c>
      <c r="AS48">
        <f t="shared" si="72"/>
        <v>0</v>
      </c>
      <c r="AT48">
        <f t="shared" si="73"/>
        <v>0</v>
      </c>
      <c r="AU48">
        <f t="shared" si="74"/>
        <v>22897.25</v>
      </c>
      <c r="AV48" s="9">
        <f>AU48/(16*5*60*7)</f>
        <v>0.68146577380952378</v>
      </c>
    </row>
    <row r="49" spans="1:48" x14ac:dyDescent="0.3">
      <c r="D49" t="s">
        <v>103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Y49">
        <f t="shared" si="53"/>
        <v>0</v>
      </c>
      <c r="Z49" s="11" t="s">
        <v>103</v>
      </c>
      <c r="AA49">
        <f t="shared" si="54"/>
        <v>0</v>
      </c>
      <c r="AB49">
        <f t="shared" si="55"/>
        <v>0</v>
      </c>
      <c r="AC49">
        <f t="shared" si="56"/>
        <v>0</v>
      </c>
      <c r="AD49">
        <f t="shared" si="57"/>
        <v>0</v>
      </c>
      <c r="AE49">
        <f t="shared" si="58"/>
        <v>0</v>
      </c>
      <c r="AF49">
        <f t="shared" si="59"/>
        <v>0</v>
      </c>
      <c r="AG49">
        <f t="shared" si="60"/>
        <v>0</v>
      </c>
      <c r="AH49">
        <f t="shared" si="61"/>
        <v>0</v>
      </c>
      <c r="AI49">
        <f t="shared" si="62"/>
        <v>0</v>
      </c>
      <c r="AJ49">
        <f t="shared" si="63"/>
        <v>0</v>
      </c>
      <c r="AK49">
        <f t="shared" si="64"/>
        <v>0</v>
      </c>
      <c r="AL49">
        <f t="shared" si="65"/>
        <v>0</v>
      </c>
      <c r="AM49">
        <f t="shared" si="66"/>
        <v>0</v>
      </c>
      <c r="AN49">
        <f t="shared" si="67"/>
        <v>0</v>
      </c>
      <c r="AO49">
        <f t="shared" si="68"/>
        <v>0</v>
      </c>
      <c r="AP49">
        <f t="shared" si="69"/>
        <v>0</v>
      </c>
      <c r="AQ49">
        <f t="shared" si="70"/>
        <v>0</v>
      </c>
      <c r="AR49">
        <f t="shared" si="71"/>
        <v>0</v>
      </c>
      <c r="AS49">
        <f t="shared" si="72"/>
        <v>0</v>
      </c>
      <c r="AT49">
        <f t="shared" si="73"/>
        <v>0</v>
      </c>
      <c r="AU49">
        <f t="shared" si="74"/>
        <v>0</v>
      </c>
      <c r="AV49" s="9">
        <f t="shared" si="75"/>
        <v>0</v>
      </c>
    </row>
    <row r="50" spans="1:48" x14ac:dyDescent="0.3">
      <c r="D50" t="s">
        <v>104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3.625</v>
      </c>
      <c r="V50">
        <v>6.25</v>
      </c>
      <c r="W50">
        <v>0</v>
      </c>
      <c r="Y50">
        <f t="shared" si="53"/>
        <v>9.875</v>
      </c>
      <c r="Z50" s="11" t="s">
        <v>104</v>
      </c>
      <c r="AA50">
        <f t="shared" si="54"/>
        <v>0</v>
      </c>
      <c r="AB50">
        <f t="shared" si="55"/>
        <v>0</v>
      </c>
      <c r="AC50">
        <f t="shared" si="56"/>
        <v>0</v>
      </c>
      <c r="AD50">
        <f t="shared" si="57"/>
        <v>0</v>
      </c>
      <c r="AE50">
        <f t="shared" si="58"/>
        <v>0</v>
      </c>
      <c r="AF50">
        <f t="shared" si="59"/>
        <v>0</v>
      </c>
      <c r="AG50">
        <f t="shared" si="60"/>
        <v>0</v>
      </c>
      <c r="AH50">
        <f t="shared" si="61"/>
        <v>0</v>
      </c>
      <c r="AI50">
        <f t="shared" si="62"/>
        <v>0</v>
      </c>
      <c r="AJ50">
        <f t="shared" si="63"/>
        <v>0</v>
      </c>
      <c r="AK50">
        <f t="shared" si="64"/>
        <v>0</v>
      </c>
      <c r="AL50">
        <f t="shared" si="65"/>
        <v>0</v>
      </c>
      <c r="AM50">
        <f t="shared" si="66"/>
        <v>0</v>
      </c>
      <c r="AN50">
        <f t="shared" si="67"/>
        <v>0</v>
      </c>
      <c r="AO50">
        <f t="shared" si="68"/>
        <v>0</v>
      </c>
      <c r="AP50">
        <f t="shared" si="69"/>
        <v>0</v>
      </c>
      <c r="AQ50">
        <f t="shared" si="70"/>
        <v>4955.375</v>
      </c>
      <c r="AR50">
        <f t="shared" si="71"/>
        <v>8543.75</v>
      </c>
      <c r="AS50">
        <f t="shared" si="72"/>
        <v>0</v>
      </c>
      <c r="AT50">
        <f t="shared" si="73"/>
        <v>0</v>
      </c>
      <c r="AU50">
        <f t="shared" si="74"/>
        <v>13499.125</v>
      </c>
      <c r="AV50" s="9">
        <f>AU50/(8*5*60*8)</f>
        <v>0.70307942708333337</v>
      </c>
    </row>
    <row r="51" spans="1:48" x14ac:dyDescent="0.3">
      <c r="A51" t="s">
        <v>3</v>
      </c>
      <c r="B51">
        <v>2315</v>
      </c>
      <c r="C51">
        <v>197.75</v>
      </c>
      <c r="D51">
        <f>B51*C51</f>
        <v>457791.25</v>
      </c>
      <c r="E51">
        <v>12.75</v>
      </c>
      <c r="F51">
        <v>0</v>
      </c>
      <c r="G51">
        <v>9.5</v>
      </c>
      <c r="H51">
        <v>0</v>
      </c>
      <c r="I51">
        <v>0</v>
      </c>
      <c r="J51">
        <v>21</v>
      </c>
      <c r="K51">
        <v>40</v>
      </c>
      <c r="L51">
        <v>0</v>
      </c>
      <c r="M51">
        <v>0</v>
      </c>
      <c r="N51">
        <v>0</v>
      </c>
      <c r="O51">
        <v>16</v>
      </c>
      <c r="P51">
        <v>24</v>
      </c>
      <c r="Q51">
        <v>15</v>
      </c>
      <c r="R51">
        <v>9.5</v>
      </c>
      <c r="S51">
        <v>0</v>
      </c>
      <c r="T51">
        <v>0</v>
      </c>
      <c r="U51">
        <v>14.5</v>
      </c>
      <c r="V51">
        <v>25</v>
      </c>
      <c r="W51">
        <v>10.5</v>
      </c>
      <c r="AV51" s="9"/>
    </row>
    <row r="52" spans="1:48" x14ac:dyDescent="0.3">
      <c r="D52" s="1" t="s">
        <v>112</v>
      </c>
      <c r="E52">
        <f t="shared" ref="E52:W52" si="76">E51*2315</f>
        <v>29516.25</v>
      </c>
      <c r="F52">
        <f t="shared" si="76"/>
        <v>0</v>
      </c>
      <c r="G52">
        <f t="shared" si="76"/>
        <v>21992.5</v>
      </c>
      <c r="H52">
        <f t="shared" si="76"/>
        <v>0</v>
      </c>
      <c r="I52">
        <f t="shared" si="76"/>
        <v>0</v>
      </c>
      <c r="J52">
        <f t="shared" si="76"/>
        <v>48615</v>
      </c>
      <c r="K52">
        <f t="shared" si="76"/>
        <v>92600</v>
      </c>
      <c r="L52">
        <f t="shared" si="76"/>
        <v>0</v>
      </c>
      <c r="M52">
        <f t="shared" si="76"/>
        <v>0</v>
      </c>
      <c r="N52">
        <f t="shared" si="76"/>
        <v>0</v>
      </c>
      <c r="O52">
        <f t="shared" si="76"/>
        <v>37040</v>
      </c>
      <c r="P52">
        <f t="shared" si="76"/>
        <v>55560</v>
      </c>
      <c r="Q52">
        <f t="shared" si="76"/>
        <v>34725</v>
      </c>
      <c r="R52">
        <f t="shared" si="76"/>
        <v>21992.5</v>
      </c>
      <c r="S52">
        <f t="shared" si="76"/>
        <v>0</v>
      </c>
      <c r="T52">
        <f t="shared" si="76"/>
        <v>0</v>
      </c>
      <c r="U52">
        <f t="shared" si="76"/>
        <v>33567.5</v>
      </c>
      <c r="V52">
        <f t="shared" si="76"/>
        <v>57875</v>
      </c>
      <c r="W52">
        <f t="shared" si="76"/>
        <v>24307.5</v>
      </c>
      <c r="Z52" s="12"/>
      <c r="AA52" s="12" t="s">
        <v>5</v>
      </c>
      <c r="AB52" s="12" t="s">
        <v>42</v>
      </c>
      <c r="AC52" s="12" t="s">
        <v>74</v>
      </c>
      <c r="AD52" s="12" t="s">
        <v>44</v>
      </c>
      <c r="AE52" s="12" t="s">
        <v>45</v>
      </c>
      <c r="AF52" s="12" t="s">
        <v>46</v>
      </c>
      <c r="AG52" s="12" t="s">
        <v>47</v>
      </c>
      <c r="AH52" s="12" t="s">
        <v>48</v>
      </c>
      <c r="AI52" s="12" t="s">
        <v>49</v>
      </c>
      <c r="AJ52" s="12" t="s">
        <v>50</v>
      </c>
      <c r="AK52" s="12" t="s">
        <v>51</v>
      </c>
      <c r="AL52" s="12" t="s">
        <v>52</v>
      </c>
      <c r="AM52" s="12" t="s">
        <v>53</v>
      </c>
      <c r="AN52" s="12" t="s">
        <v>54</v>
      </c>
      <c r="AO52" s="12" t="s">
        <v>55</v>
      </c>
      <c r="AP52" s="12" t="s">
        <v>56</v>
      </c>
      <c r="AQ52" s="12" t="s">
        <v>57</v>
      </c>
      <c r="AR52" s="12" t="s">
        <v>58</v>
      </c>
      <c r="AS52" s="12" t="s">
        <v>59</v>
      </c>
      <c r="AT52" s="12" t="s">
        <v>60</v>
      </c>
      <c r="AU52" s="13" t="s">
        <v>114</v>
      </c>
      <c r="AV52" s="13" t="s">
        <v>113</v>
      </c>
    </row>
    <row r="53" spans="1:48" x14ac:dyDescent="0.3">
      <c r="D53" t="s">
        <v>93</v>
      </c>
      <c r="E53">
        <v>1</v>
      </c>
      <c r="F53">
        <v>0</v>
      </c>
      <c r="G53">
        <v>0</v>
      </c>
      <c r="H53">
        <v>0</v>
      </c>
      <c r="I53">
        <v>0</v>
      </c>
      <c r="J53">
        <v>1.5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Y53">
        <f>SUM(E53:W53)</f>
        <v>2.5</v>
      </c>
      <c r="Z53" s="11" t="s">
        <v>93</v>
      </c>
      <c r="AA53">
        <f>E53*$B$51</f>
        <v>2315</v>
      </c>
      <c r="AB53">
        <f t="shared" ref="AB53:AT53" si="77">F53*$B$51</f>
        <v>0</v>
      </c>
      <c r="AC53">
        <f t="shared" si="77"/>
        <v>0</v>
      </c>
      <c r="AD53">
        <f t="shared" si="77"/>
        <v>0</v>
      </c>
      <c r="AE53">
        <f t="shared" si="77"/>
        <v>0</v>
      </c>
      <c r="AF53">
        <f t="shared" si="77"/>
        <v>3472.5</v>
      </c>
      <c r="AG53">
        <f t="shared" si="77"/>
        <v>0</v>
      </c>
      <c r="AH53">
        <f t="shared" si="77"/>
        <v>0</v>
      </c>
      <c r="AI53">
        <f t="shared" si="77"/>
        <v>0</v>
      </c>
      <c r="AJ53">
        <f t="shared" si="77"/>
        <v>0</v>
      </c>
      <c r="AK53">
        <f t="shared" si="77"/>
        <v>0</v>
      </c>
      <c r="AL53">
        <f t="shared" si="77"/>
        <v>0</v>
      </c>
      <c r="AM53">
        <f t="shared" si="77"/>
        <v>0</v>
      </c>
      <c r="AN53">
        <f t="shared" si="77"/>
        <v>0</v>
      </c>
      <c r="AO53">
        <f t="shared" si="77"/>
        <v>0</v>
      </c>
      <c r="AP53">
        <f t="shared" si="77"/>
        <v>0</v>
      </c>
      <c r="AQ53">
        <f t="shared" si="77"/>
        <v>0</v>
      </c>
      <c r="AR53">
        <f t="shared" si="77"/>
        <v>0</v>
      </c>
      <c r="AS53">
        <f t="shared" si="77"/>
        <v>0</v>
      </c>
      <c r="AT53">
        <f t="shared" si="77"/>
        <v>0</v>
      </c>
      <c r="AU53">
        <f>SUM(AA53:AT53)</f>
        <v>5787.5</v>
      </c>
      <c r="AV53" s="9">
        <f>AU53/(16*5*60*4)</f>
        <v>0.30143229166666669</v>
      </c>
    </row>
    <row r="54" spans="1:48" x14ac:dyDescent="0.3">
      <c r="D54" t="s">
        <v>94</v>
      </c>
      <c r="E54">
        <v>5</v>
      </c>
      <c r="F54">
        <v>0</v>
      </c>
      <c r="G54">
        <v>1.75</v>
      </c>
      <c r="H54">
        <v>0</v>
      </c>
      <c r="I54">
        <v>0</v>
      </c>
      <c r="J54">
        <v>2.5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Y54">
        <f>SUM(E54:W54)</f>
        <v>9.25</v>
      </c>
      <c r="Z54" s="11" t="s">
        <v>94</v>
      </c>
      <c r="AA54">
        <f t="shared" ref="AA54:AA66" si="78">E54*$B$51</f>
        <v>11575</v>
      </c>
      <c r="AB54">
        <f t="shared" ref="AB54:AB66" si="79">F54*$B$51</f>
        <v>0</v>
      </c>
      <c r="AC54">
        <f t="shared" ref="AC54:AC66" si="80">G54*$B$51</f>
        <v>4051.25</v>
      </c>
      <c r="AD54">
        <f t="shared" ref="AD54:AD66" si="81">H54*$B$51</f>
        <v>0</v>
      </c>
      <c r="AE54">
        <f t="shared" ref="AE54:AE66" si="82">I54*$B$51</f>
        <v>0</v>
      </c>
      <c r="AF54">
        <f t="shared" ref="AF54:AF66" si="83">J54*$B$51</f>
        <v>5787.5</v>
      </c>
      <c r="AG54">
        <f t="shared" ref="AG54:AG66" si="84">K54*$B$51</f>
        <v>0</v>
      </c>
      <c r="AH54">
        <f t="shared" ref="AH54:AH66" si="85">L54*$B$51</f>
        <v>0</v>
      </c>
      <c r="AI54">
        <f t="shared" ref="AI54:AI66" si="86">M54*$B$51</f>
        <v>0</v>
      </c>
      <c r="AJ54">
        <f t="shared" ref="AJ54:AJ66" si="87">N54*$B$51</f>
        <v>0</v>
      </c>
      <c r="AK54">
        <f t="shared" ref="AK54:AK66" si="88">O54*$B$51</f>
        <v>0</v>
      </c>
      <c r="AL54">
        <f t="shared" ref="AL54:AL66" si="89">P54*$B$51</f>
        <v>0</v>
      </c>
      <c r="AM54">
        <f t="shared" ref="AM54:AM66" si="90">Q54*$B$51</f>
        <v>0</v>
      </c>
      <c r="AN54">
        <f t="shared" ref="AN54:AN66" si="91">R54*$B$51</f>
        <v>0</v>
      </c>
      <c r="AO54">
        <f t="shared" ref="AO54:AO66" si="92">S54*$B$51</f>
        <v>0</v>
      </c>
      <c r="AP54">
        <f t="shared" ref="AP54:AP66" si="93">T54*$B$51</f>
        <v>0</v>
      </c>
      <c r="AQ54">
        <f t="shared" ref="AQ54:AQ66" si="94">U54*$B$51</f>
        <v>0</v>
      </c>
      <c r="AR54">
        <f t="shared" ref="AR54:AR66" si="95">V54*$B$51</f>
        <v>0</v>
      </c>
      <c r="AS54">
        <f t="shared" ref="AS54:AS66" si="96">W54*$B$51</f>
        <v>0</v>
      </c>
      <c r="AT54">
        <f t="shared" ref="AT54:AT66" si="97">X54*$B$51</f>
        <v>0</v>
      </c>
      <c r="AU54">
        <f t="shared" ref="AU54:AU66" si="98">SUM(AA54:AT54)</f>
        <v>21413.75</v>
      </c>
      <c r="AV54" s="9">
        <f>AU54/(16*5*60*6)</f>
        <v>0.74353298611111107</v>
      </c>
    </row>
    <row r="55" spans="1:48" x14ac:dyDescent="0.3">
      <c r="D55" t="s">
        <v>95</v>
      </c>
      <c r="E55">
        <v>0.5</v>
      </c>
      <c r="F55">
        <v>0</v>
      </c>
      <c r="G55">
        <v>0.75</v>
      </c>
      <c r="H55">
        <v>0</v>
      </c>
      <c r="I55">
        <v>0</v>
      </c>
      <c r="J55">
        <v>1</v>
      </c>
      <c r="K55">
        <v>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Y55">
        <f>SUM(E55:W55)</f>
        <v>5.25</v>
      </c>
      <c r="Z55" s="11" t="s">
        <v>95</v>
      </c>
      <c r="AA55">
        <f t="shared" si="78"/>
        <v>1157.5</v>
      </c>
      <c r="AB55">
        <f t="shared" si="79"/>
        <v>0</v>
      </c>
      <c r="AC55">
        <f t="shared" si="80"/>
        <v>1736.25</v>
      </c>
      <c r="AD55">
        <f t="shared" si="81"/>
        <v>0</v>
      </c>
      <c r="AE55">
        <f t="shared" si="82"/>
        <v>0</v>
      </c>
      <c r="AF55">
        <f t="shared" si="83"/>
        <v>2315</v>
      </c>
      <c r="AG55">
        <f t="shared" si="84"/>
        <v>6945</v>
      </c>
      <c r="AH55">
        <f t="shared" si="85"/>
        <v>0</v>
      </c>
      <c r="AI55">
        <f t="shared" si="86"/>
        <v>0</v>
      </c>
      <c r="AJ55">
        <f t="shared" si="87"/>
        <v>0</v>
      </c>
      <c r="AK55">
        <f t="shared" si="88"/>
        <v>0</v>
      </c>
      <c r="AL55">
        <f t="shared" si="89"/>
        <v>0</v>
      </c>
      <c r="AM55">
        <f t="shared" si="90"/>
        <v>0</v>
      </c>
      <c r="AN55">
        <f t="shared" si="91"/>
        <v>0</v>
      </c>
      <c r="AO55">
        <f t="shared" si="92"/>
        <v>0</v>
      </c>
      <c r="AP55">
        <f t="shared" si="93"/>
        <v>0</v>
      </c>
      <c r="AQ55">
        <f t="shared" si="94"/>
        <v>0</v>
      </c>
      <c r="AR55">
        <f t="shared" si="95"/>
        <v>0</v>
      </c>
      <c r="AS55">
        <f t="shared" si="96"/>
        <v>0</v>
      </c>
      <c r="AT55">
        <f t="shared" si="97"/>
        <v>0</v>
      </c>
      <c r="AU55">
        <f t="shared" si="98"/>
        <v>12153.75</v>
      </c>
      <c r="AV55" s="9">
        <f>AU55/(16*5*60*12)</f>
        <v>0.21100260416666666</v>
      </c>
    </row>
    <row r="56" spans="1:48" x14ac:dyDescent="0.3">
      <c r="D56" t="s">
        <v>96</v>
      </c>
      <c r="E56">
        <v>2.5</v>
      </c>
      <c r="F56">
        <v>0</v>
      </c>
      <c r="G56">
        <v>3</v>
      </c>
      <c r="H56">
        <v>0</v>
      </c>
      <c r="I56">
        <v>0</v>
      </c>
      <c r="J56">
        <v>6</v>
      </c>
      <c r="K56">
        <v>14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Y56">
        <f>SUM(E56:W56)</f>
        <v>25.5</v>
      </c>
      <c r="Z56" s="11" t="s">
        <v>96</v>
      </c>
      <c r="AA56">
        <f t="shared" si="78"/>
        <v>5787.5</v>
      </c>
      <c r="AB56">
        <f t="shared" si="79"/>
        <v>0</v>
      </c>
      <c r="AC56">
        <f t="shared" si="80"/>
        <v>6945</v>
      </c>
      <c r="AD56">
        <f t="shared" si="81"/>
        <v>0</v>
      </c>
      <c r="AE56">
        <f t="shared" si="82"/>
        <v>0</v>
      </c>
      <c r="AF56">
        <f t="shared" si="83"/>
        <v>13890</v>
      </c>
      <c r="AG56">
        <f t="shared" si="84"/>
        <v>32410</v>
      </c>
      <c r="AH56">
        <f t="shared" si="85"/>
        <v>0</v>
      </c>
      <c r="AI56">
        <f t="shared" si="86"/>
        <v>0</v>
      </c>
      <c r="AJ56">
        <f t="shared" si="87"/>
        <v>0</v>
      </c>
      <c r="AK56">
        <f t="shared" si="88"/>
        <v>0</v>
      </c>
      <c r="AL56">
        <f t="shared" si="89"/>
        <v>0</v>
      </c>
      <c r="AM56">
        <f t="shared" si="90"/>
        <v>0</v>
      </c>
      <c r="AN56">
        <f t="shared" si="91"/>
        <v>0</v>
      </c>
      <c r="AO56">
        <f t="shared" si="92"/>
        <v>0</v>
      </c>
      <c r="AP56">
        <f t="shared" si="93"/>
        <v>0</v>
      </c>
      <c r="AQ56">
        <f t="shared" si="94"/>
        <v>0</v>
      </c>
      <c r="AR56">
        <f t="shared" si="95"/>
        <v>0</v>
      </c>
      <c r="AS56">
        <f t="shared" si="96"/>
        <v>0</v>
      </c>
      <c r="AT56">
        <f t="shared" si="97"/>
        <v>0</v>
      </c>
      <c r="AU56">
        <f t="shared" si="98"/>
        <v>59032.5</v>
      </c>
      <c r="AV56" s="9">
        <f>AU56/(16*5*60*16)</f>
        <v>0.76865234375000002</v>
      </c>
    </row>
    <row r="57" spans="1:48" x14ac:dyDescent="0.3">
      <c r="D57" t="s">
        <v>97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Y57">
        <f>SUM(E57:W57)</f>
        <v>4</v>
      </c>
      <c r="Z57" s="11" t="s">
        <v>97</v>
      </c>
      <c r="AA57">
        <f t="shared" si="78"/>
        <v>0</v>
      </c>
      <c r="AB57">
        <f t="shared" si="79"/>
        <v>0</v>
      </c>
      <c r="AC57">
        <f t="shared" si="80"/>
        <v>0</v>
      </c>
      <c r="AD57">
        <f t="shared" si="81"/>
        <v>0</v>
      </c>
      <c r="AE57">
        <f t="shared" si="82"/>
        <v>0</v>
      </c>
      <c r="AF57">
        <f t="shared" si="83"/>
        <v>0</v>
      </c>
      <c r="AG57">
        <f t="shared" si="84"/>
        <v>9260</v>
      </c>
      <c r="AH57">
        <f t="shared" si="85"/>
        <v>0</v>
      </c>
      <c r="AI57">
        <f t="shared" si="86"/>
        <v>0</v>
      </c>
      <c r="AJ57">
        <f t="shared" si="87"/>
        <v>0</v>
      </c>
      <c r="AK57">
        <f t="shared" si="88"/>
        <v>0</v>
      </c>
      <c r="AL57">
        <f t="shared" si="89"/>
        <v>0</v>
      </c>
      <c r="AM57">
        <f t="shared" si="90"/>
        <v>0</v>
      </c>
      <c r="AN57">
        <f t="shared" si="91"/>
        <v>0</v>
      </c>
      <c r="AO57">
        <f t="shared" si="92"/>
        <v>0</v>
      </c>
      <c r="AP57">
        <f t="shared" si="93"/>
        <v>0</v>
      </c>
      <c r="AQ57">
        <f t="shared" si="94"/>
        <v>0</v>
      </c>
      <c r="AR57">
        <f t="shared" si="95"/>
        <v>0</v>
      </c>
      <c r="AS57">
        <f t="shared" si="96"/>
        <v>0</v>
      </c>
      <c r="AT57">
        <f t="shared" si="97"/>
        <v>0</v>
      </c>
      <c r="AU57">
        <f t="shared" si="98"/>
        <v>9260</v>
      </c>
      <c r="AV57" s="9">
        <f>AU57/(16*5*60*4)</f>
        <v>0.48229166666666667</v>
      </c>
    </row>
    <row r="58" spans="1:48" x14ac:dyDescent="0.3">
      <c r="D58" t="s">
        <v>98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6</v>
      </c>
      <c r="L58">
        <v>0</v>
      </c>
      <c r="M58">
        <v>0</v>
      </c>
      <c r="N58">
        <v>0</v>
      </c>
      <c r="O58">
        <v>0</v>
      </c>
      <c r="P58">
        <v>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Y58">
        <f t="shared" ref="Y58:Y65" si="99">SUM(E58:W58)</f>
        <v>10</v>
      </c>
      <c r="Z58" s="11" t="s">
        <v>98</v>
      </c>
      <c r="AA58">
        <f t="shared" si="78"/>
        <v>0</v>
      </c>
      <c r="AB58">
        <f t="shared" si="79"/>
        <v>0</v>
      </c>
      <c r="AC58">
        <f t="shared" si="80"/>
        <v>0</v>
      </c>
      <c r="AD58">
        <f t="shared" si="81"/>
        <v>0</v>
      </c>
      <c r="AE58">
        <f t="shared" si="82"/>
        <v>0</v>
      </c>
      <c r="AF58">
        <f t="shared" si="83"/>
        <v>0</v>
      </c>
      <c r="AG58">
        <f t="shared" si="84"/>
        <v>13890</v>
      </c>
      <c r="AH58">
        <f t="shared" si="85"/>
        <v>0</v>
      </c>
      <c r="AI58">
        <f t="shared" si="86"/>
        <v>0</v>
      </c>
      <c r="AJ58">
        <f t="shared" si="87"/>
        <v>0</v>
      </c>
      <c r="AK58">
        <f t="shared" si="88"/>
        <v>0</v>
      </c>
      <c r="AL58">
        <f t="shared" si="89"/>
        <v>9260</v>
      </c>
      <c r="AM58">
        <f t="shared" si="90"/>
        <v>0</v>
      </c>
      <c r="AN58">
        <f t="shared" si="91"/>
        <v>0</v>
      </c>
      <c r="AO58">
        <f t="shared" si="92"/>
        <v>0</v>
      </c>
      <c r="AP58">
        <f t="shared" si="93"/>
        <v>0</v>
      </c>
      <c r="AQ58">
        <f t="shared" si="94"/>
        <v>0</v>
      </c>
      <c r="AR58">
        <f t="shared" si="95"/>
        <v>0</v>
      </c>
      <c r="AS58">
        <f t="shared" si="96"/>
        <v>0</v>
      </c>
      <c r="AT58">
        <f t="shared" si="97"/>
        <v>0</v>
      </c>
      <c r="AU58">
        <f t="shared" si="98"/>
        <v>23150</v>
      </c>
      <c r="AV58" s="9">
        <f>AU58/(16*5*60*6)</f>
        <v>0.80381944444444442</v>
      </c>
    </row>
    <row r="59" spans="1:48" x14ac:dyDescent="0.3">
      <c r="D59" t="s">
        <v>99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Y59">
        <f t="shared" si="99"/>
        <v>0</v>
      </c>
      <c r="Z59" s="11" t="s">
        <v>99</v>
      </c>
      <c r="AA59">
        <f t="shared" si="78"/>
        <v>0</v>
      </c>
      <c r="AB59">
        <f t="shared" si="79"/>
        <v>0</v>
      </c>
      <c r="AC59">
        <f t="shared" si="80"/>
        <v>0</v>
      </c>
      <c r="AD59">
        <f t="shared" si="81"/>
        <v>0</v>
      </c>
      <c r="AE59">
        <f t="shared" si="82"/>
        <v>0</v>
      </c>
      <c r="AF59">
        <f t="shared" si="83"/>
        <v>0</v>
      </c>
      <c r="AG59">
        <f t="shared" si="84"/>
        <v>0</v>
      </c>
      <c r="AH59">
        <f t="shared" si="85"/>
        <v>0</v>
      </c>
      <c r="AI59">
        <f t="shared" si="86"/>
        <v>0</v>
      </c>
      <c r="AJ59">
        <f t="shared" si="87"/>
        <v>0</v>
      </c>
      <c r="AK59">
        <f t="shared" si="88"/>
        <v>0</v>
      </c>
      <c r="AL59">
        <f t="shared" si="89"/>
        <v>0</v>
      </c>
      <c r="AM59">
        <f t="shared" si="90"/>
        <v>0</v>
      </c>
      <c r="AN59">
        <f t="shared" si="91"/>
        <v>0</v>
      </c>
      <c r="AO59">
        <f t="shared" si="92"/>
        <v>0</v>
      </c>
      <c r="AP59">
        <f t="shared" si="93"/>
        <v>0</v>
      </c>
      <c r="AQ59">
        <f t="shared" si="94"/>
        <v>0</v>
      </c>
      <c r="AR59">
        <f t="shared" si="95"/>
        <v>0</v>
      </c>
      <c r="AS59">
        <f t="shared" si="96"/>
        <v>0</v>
      </c>
      <c r="AT59">
        <f t="shared" si="97"/>
        <v>0</v>
      </c>
      <c r="AU59">
        <f t="shared" si="98"/>
        <v>0</v>
      </c>
      <c r="AV59" s="9">
        <f t="shared" ref="AV59" si="100">AU59/(16*5*60)</f>
        <v>0</v>
      </c>
    </row>
    <row r="60" spans="1:48" x14ac:dyDescent="0.3">
      <c r="D60" t="s">
        <v>106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13</v>
      </c>
      <c r="P60">
        <v>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Y60">
        <f t="shared" si="99"/>
        <v>19</v>
      </c>
      <c r="Z60" s="11" t="s">
        <v>106</v>
      </c>
      <c r="AA60">
        <f t="shared" si="78"/>
        <v>0</v>
      </c>
      <c r="AB60">
        <f t="shared" si="79"/>
        <v>0</v>
      </c>
      <c r="AC60">
        <f t="shared" si="80"/>
        <v>0</v>
      </c>
      <c r="AD60">
        <f t="shared" si="81"/>
        <v>0</v>
      </c>
      <c r="AE60">
        <f t="shared" si="82"/>
        <v>0</v>
      </c>
      <c r="AF60">
        <f t="shared" si="83"/>
        <v>0</v>
      </c>
      <c r="AG60">
        <f t="shared" si="84"/>
        <v>0</v>
      </c>
      <c r="AH60">
        <f t="shared" si="85"/>
        <v>0</v>
      </c>
      <c r="AI60">
        <f t="shared" si="86"/>
        <v>0</v>
      </c>
      <c r="AJ60">
        <f t="shared" si="87"/>
        <v>0</v>
      </c>
      <c r="AK60">
        <f t="shared" si="88"/>
        <v>30095</v>
      </c>
      <c r="AL60">
        <f t="shared" si="89"/>
        <v>13890</v>
      </c>
      <c r="AM60">
        <f t="shared" si="90"/>
        <v>0</v>
      </c>
      <c r="AN60">
        <f t="shared" si="91"/>
        <v>0</v>
      </c>
      <c r="AO60">
        <f t="shared" si="92"/>
        <v>0</v>
      </c>
      <c r="AP60">
        <f t="shared" si="93"/>
        <v>0</v>
      </c>
      <c r="AQ60">
        <f t="shared" si="94"/>
        <v>0</v>
      </c>
      <c r="AR60">
        <f t="shared" si="95"/>
        <v>0</v>
      </c>
      <c r="AS60">
        <f t="shared" si="96"/>
        <v>0</v>
      </c>
      <c r="AT60">
        <f t="shared" si="97"/>
        <v>0</v>
      </c>
      <c r="AU60">
        <f t="shared" si="98"/>
        <v>43985</v>
      </c>
      <c r="AV60" s="9">
        <f>AU60/(16*5*60*12)</f>
        <v>0.76362847222222219</v>
      </c>
    </row>
    <row r="61" spans="1:48" x14ac:dyDescent="0.3">
      <c r="D61" t="s">
        <v>105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8.5</v>
      </c>
      <c r="R61">
        <v>6</v>
      </c>
      <c r="S61">
        <v>0</v>
      </c>
      <c r="T61">
        <v>0</v>
      </c>
      <c r="U61">
        <v>0</v>
      </c>
      <c r="V61">
        <v>0</v>
      </c>
      <c r="W61">
        <v>0</v>
      </c>
      <c r="Y61">
        <f t="shared" si="99"/>
        <v>14.5</v>
      </c>
      <c r="Z61" s="11" t="s">
        <v>105</v>
      </c>
      <c r="AA61">
        <f t="shared" si="78"/>
        <v>0</v>
      </c>
      <c r="AB61">
        <f t="shared" si="79"/>
        <v>0</v>
      </c>
      <c r="AC61">
        <f t="shared" si="80"/>
        <v>0</v>
      </c>
      <c r="AD61">
        <f t="shared" si="81"/>
        <v>0</v>
      </c>
      <c r="AE61">
        <f t="shared" si="82"/>
        <v>0</v>
      </c>
      <c r="AF61">
        <f t="shared" si="83"/>
        <v>0</v>
      </c>
      <c r="AG61">
        <f t="shared" si="84"/>
        <v>0</v>
      </c>
      <c r="AH61">
        <f t="shared" si="85"/>
        <v>0</v>
      </c>
      <c r="AI61">
        <f t="shared" si="86"/>
        <v>0</v>
      </c>
      <c r="AJ61">
        <f t="shared" si="87"/>
        <v>0</v>
      </c>
      <c r="AK61">
        <f t="shared" si="88"/>
        <v>0</v>
      </c>
      <c r="AL61">
        <f t="shared" si="89"/>
        <v>0</v>
      </c>
      <c r="AM61">
        <f t="shared" si="90"/>
        <v>19677.5</v>
      </c>
      <c r="AN61">
        <f t="shared" si="91"/>
        <v>13890</v>
      </c>
      <c r="AO61">
        <f t="shared" si="92"/>
        <v>0</v>
      </c>
      <c r="AP61">
        <f t="shared" si="93"/>
        <v>0</v>
      </c>
      <c r="AQ61">
        <f t="shared" si="94"/>
        <v>0</v>
      </c>
      <c r="AR61">
        <f t="shared" si="95"/>
        <v>0</v>
      </c>
      <c r="AS61">
        <f t="shared" si="96"/>
        <v>0</v>
      </c>
      <c r="AT61">
        <f t="shared" si="97"/>
        <v>0</v>
      </c>
      <c r="AU61">
        <f t="shared" si="98"/>
        <v>33567.5</v>
      </c>
      <c r="AV61" s="9">
        <f>AU61/(16*5*60*8)</f>
        <v>0.87415364583333333</v>
      </c>
    </row>
    <row r="62" spans="1:48" x14ac:dyDescent="0.3">
      <c r="D62" t="s">
        <v>100</v>
      </c>
      <c r="E62">
        <v>0</v>
      </c>
      <c r="F62">
        <v>0</v>
      </c>
      <c r="G62">
        <v>0</v>
      </c>
      <c r="H62">
        <v>0</v>
      </c>
      <c r="I62">
        <v>0</v>
      </c>
      <c r="J62">
        <v>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4</v>
      </c>
      <c r="R62">
        <v>3.5</v>
      </c>
      <c r="S62">
        <v>0</v>
      </c>
      <c r="T62">
        <v>0</v>
      </c>
      <c r="U62">
        <v>0</v>
      </c>
      <c r="V62">
        <v>0</v>
      </c>
      <c r="W62">
        <v>0</v>
      </c>
      <c r="Y62">
        <f t="shared" si="99"/>
        <v>9.5</v>
      </c>
      <c r="Z62" s="11" t="s">
        <v>100</v>
      </c>
      <c r="AA62">
        <f t="shared" si="78"/>
        <v>0</v>
      </c>
      <c r="AB62">
        <f t="shared" si="79"/>
        <v>0</v>
      </c>
      <c r="AC62">
        <f t="shared" si="80"/>
        <v>0</v>
      </c>
      <c r="AD62">
        <f t="shared" si="81"/>
        <v>0</v>
      </c>
      <c r="AE62">
        <f t="shared" si="82"/>
        <v>0</v>
      </c>
      <c r="AF62">
        <f t="shared" si="83"/>
        <v>4630</v>
      </c>
      <c r="AG62">
        <f t="shared" si="84"/>
        <v>0</v>
      </c>
      <c r="AH62">
        <f t="shared" si="85"/>
        <v>0</v>
      </c>
      <c r="AI62">
        <f t="shared" si="86"/>
        <v>0</v>
      </c>
      <c r="AJ62">
        <f t="shared" si="87"/>
        <v>0</v>
      </c>
      <c r="AK62">
        <f t="shared" si="88"/>
        <v>0</v>
      </c>
      <c r="AL62">
        <f t="shared" si="89"/>
        <v>0</v>
      </c>
      <c r="AM62">
        <f t="shared" si="90"/>
        <v>9260</v>
      </c>
      <c r="AN62">
        <f t="shared" si="91"/>
        <v>8102.5</v>
      </c>
      <c r="AO62">
        <f t="shared" si="92"/>
        <v>0</v>
      </c>
      <c r="AP62">
        <f t="shared" si="93"/>
        <v>0</v>
      </c>
      <c r="AQ62">
        <f t="shared" si="94"/>
        <v>0</v>
      </c>
      <c r="AR62">
        <f t="shared" si="95"/>
        <v>0</v>
      </c>
      <c r="AS62">
        <f t="shared" si="96"/>
        <v>0</v>
      </c>
      <c r="AT62">
        <f t="shared" si="97"/>
        <v>0</v>
      </c>
      <c r="AU62">
        <f t="shared" si="98"/>
        <v>21992.5</v>
      </c>
      <c r="AV62" s="9">
        <f>AU62/(16*5*60*6)</f>
        <v>0.76362847222222219</v>
      </c>
    </row>
    <row r="63" spans="1:48" x14ac:dyDescent="0.3">
      <c r="D63" t="s">
        <v>101</v>
      </c>
      <c r="E63">
        <v>1.25</v>
      </c>
      <c r="F63">
        <v>0</v>
      </c>
      <c r="G63">
        <v>1.5</v>
      </c>
      <c r="H63">
        <v>0</v>
      </c>
      <c r="I63">
        <v>0</v>
      </c>
      <c r="J63">
        <v>2.5</v>
      </c>
      <c r="K63">
        <v>5</v>
      </c>
      <c r="L63">
        <v>0</v>
      </c>
      <c r="M63">
        <v>0</v>
      </c>
      <c r="N63">
        <v>0</v>
      </c>
      <c r="O63">
        <v>3</v>
      </c>
      <c r="P63">
        <v>5</v>
      </c>
      <c r="Q63">
        <v>2.5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Y63">
        <f t="shared" si="99"/>
        <v>20.75</v>
      </c>
      <c r="Z63" s="11" t="s">
        <v>101</v>
      </c>
      <c r="AA63">
        <f t="shared" si="78"/>
        <v>2893.75</v>
      </c>
      <c r="AB63">
        <f t="shared" si="79"/>
        <v>0</v>
      </c>
      <c r="AC63">
        <f t="shared" si="80"/>
        <v>3472.5</v>
      </c>
      <c r="AD63">
        <f t="shared" si="81"/>
        <v>0</v>
      </c>
      <c r="AE63">
        <f t="shared" si="82"/>
        <v>0</v>
      </c>
      <c r="AF63">
        <f t="shared" si="83"/>
        <v>5787.5</v>
      </c>
      <c r="AG63">
        <f t="shared" si="84"/>
        <v>11575</v>
      </c>
      <c r="AH63">
        <f t="shared" si="85"/>
        <v>0</v>
      </c>
      <c r="AI63">
        <f t="shared" si="86"/>
        <v>0</v>
      </c>
      <c r="AJ63">
        <f t="shared" si="87"/>
        <v>0</v>
      </c>
      <c r="AK63">
        <f t="shared" si="88"/>
        <v>6945</v>
      </c>
      <c r="AL63">
        <f t="shared" si="89"/>
        <v>11575</v>
      </c>
      <c r="AM63">
        <f t="shared" si="90"/>
        <v>5787.5</v>
      </c>
      <c r="AN63">
        <f t="shared" si="91"/>
        <v>0</v>
      </c>
      <c r="AO63">
        <f t="shared" si="92"/>
        <v>0</v>
      </c>
      <c r="AP63">
        <f t="shared" si="93"/>
        <v>0</v>
      </c>
      <c r="AQ63">
        <f t="shared" si="94"/>
        <v>0</v>
      </c>
      <c r="AR63">
        <f t="shared" si="95"/>
        <v>0</v>
      </c>
      <c r="AS63">
        <f t="shared" si="96"/>
        <v>0</v>
      </c>
      <c r="AT63">
        <f t="shared" si="97"/>
        <v>0</v>
      </c>
      <c r="AU63">
        <f t="shared" si="98"/>
        <v>48036.25</v>
      </c>
      <c r="AV63" s="9">
        <f>AU63/(16*5*60*14)</f>
        <v>0.71482514880952386</v>
      </c>
    </row>
    <row r="64" spans="1:48" x14ac:dyDescent="0.3">
      <c r="D64" t="s">
        <v>102</v>
      </c>
      <c r="E64">
        <v>2.5</v>
      </c>
      <c r="F64">
        <v>0</v>
      </c>
      <c r="G64">
        <v>2.5</v>
      </c>
      <c r="H64">
        <v>0</v>
      </c>
      <c r="I64">
        <v>0</v>
      </c>
      <c r="J64">
        <v>5.5</v>
      </c>
      <c r="K64">
        <v>8</v>
      </c>
      <c r="L64">
        <v>0</v>
      </c>
      <c r="M64">
        <v>0</v>
      </c>
      <c r="N64">
        <v>0</v>
      </c>
      <c r="O64">
        <v>0</v>
      </c>
      <c r="P64">
        <v>9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Y64">
        <f t="shared" si="99"/>
        <v>27.5</v>
      </c>
      <c r="Z64" s="11" t="s">
        <v>102</v>
      </c>
      <c r="AA64">
        <f t="shared" si="78"/>
        <v>5787.5</v>
      </c>
      <c r="AB64">
        <f t="shared" si="79"/>
        <v>0</v>
      </c>
      <c r="AC64">
        <f t="shared" si="80"/>
        <v>5787.5</v>
      </c>
      <c r="AD64">
        <f t="shared" si="81"/>
        <v>0</v>
      </c>
      <c r="AE64">
        <f t="shared" si="82"/>
        <v>0</v>
      </c>
      <c r="AF64">
        <f t="shared" si="83"/>
        <v>12732.5</v>
      </c>
      <c r="AG64">
        <f t="shared" si="84"/>
        <v>18520</v>
      </c>
      <c r="AH64">
        <f t="shared" si="85"/>
        <v>0</v>
      </c>
      <c r="AI64">
        <f t="shared" si="86"/>
        <v>0</v>
      </c>
      <c r="AJ64">
        <f t="shared" si="87"/>
        <v>0</v>
      </c>
      <c r="AK64">
        <f t="shared" si="88"/>
        <v>0</v>
      </c>
      <c r="AL64">
        <f t="shared" si="89"/>
        <v>20835</v>
      </c>
      <c r="AM64">
        <f t="shared" si="90"/>
        <v>0</v>
      </c>
      <c r="AN64">
        <f t="shared" si="91"/>
        <v>0</v>
      </c>
      <c r="AO64">
        <f t="shared" si="92"/>
        <v>0</v>
      </c>
      <c r="AP64">
        <f t="shared" si="93"/>
        <v>0</v>
      </c>
      <c r="AQ64">
        <f t="shared" si="94"/>
        <v>0</v>
      </c>
      <c r="AR64">
        <f t="shared" si="95"/>
        <v>0</v>
      </c>
      <c r="AS64">
        <f t="shared" si="96"/>
        <v>0</v>
      </c>
      <c r="AT64">
        <f t="shared" si="97"/>
        <v>0</v>
      </c>
      <c r="AU64">
        <f t="shared" si="98"/>
        <v>63662.5</v>
      </c>
      <c r="AV64" s="9">
        <f>AU64/(16*5*60*16)</f>
        <v>0.82893880208333337</v>
      </c>
    </row>
    <row r="65" spans="1:48" x14ac:dyDescent="0.3">
      <c r="D65" t="s">
        <v>103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10.5</v>
      </c>
      <c r="Y65">
        <f t="shared" si="99"/>
        <v>10.5</v>
      </c>
      <c r="Z65" s="11" t="s">
        <v>103</v>
      </c>
      <c r="AA65">
        <f t="shared" si="78"/>
        <v>0</v>
      </c>
      <c r="AB65">
        <f t="shared" si="79"/>
        <v>0</v>
      </c>
      <c r="AC65">
        <f t="shared" si="80"/>
        <v>0</v>
      </c>
      <c r="AD65">
        <f t="shared" si="81"/>
        <v>0</v>
      </c>
      <c r="AE65">
        <f t="shared" si="82"/>
        <v>0</v>
      </c>
      <c r="AF65">
        <f t="shared" si="83"/>
        <v>0</v>
      </c>
      <c r="AG65">
        <f t="shared" si="84"/>
        <v>0</v>
      </c>
      <c r="AH65">
        <f t="shared" si="85"/>
        <v>0</v>
      </c>
      <c r="AI65">
        <f t="shared" si="86"/>
        <v>0</v>
      </c>
      <c r="AJ65">
        <f t="shared" si="87"/>
        <v>0</v>
      </c>
      <c r="AK65">
        <f t="shared" si="88"/>
        <v>0</v>
      </c>
      <c r="AL65">
        <f t="shared" si="89"/>
        <v>0</v>
      </c>
      <c r="AM65">
        <f t="shared" si="90"/>
        <v>0</v>
      </c>
      <c r="AN65">
        <f t="shared" si="91"/>
        <v>0</v>
      </c>
      <c r="AO65">
        <f t="shared" si="92"/>
        <v>0</v>
      </c>
      <c r="AP65">
        <f t="shared" si="93"/>
        <v>0</v>
      </c>
      <c r="AQ65">
        <f t="shared" si="94"/>
        <v>0</v>
      </c>
      <c r="AR65">
        <f t="shared" si="95"/>
        <v>0</v>
      </c>
      <c r="AS65">
        <f t="shared" si="96"/>
        <v>24307.5</v>
      </c>
      <c r="AT65">
        <f t="shared" si="97"/>
        <v>0</v>
      </c>
      <c r="AU65">
        <f t="shared" si="98"/>
        <v>24307.5</v>
      </c>
      <c r="AV65" s="9">
        <f>AU65/(16*5*60*6)</f>
        <v>0.84401041666666665</v>
      </c>
    </row>
    <row r="66" spans="1:48" x14ac:dyDescent="0.3">
      <c r="D66" t="s">
        <v>104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14.5</v>
      </c>
      <c r="V66">
        <v>25</v>
      </c>
      <c r="W66">
        <v>0</v>
      </c>
      <c r="Y66">
        <f>SUM(E66:W66)</f>
        <v>39.5</v>
      </c>
      <c r="Z66" s="11" t="s">
        <v>104</v>
      </c>
      <c r="AA66">
        <f t="shared" si="78"/>
        <v>0</v>
      </c>
      <c r="AB66">
        <f t="shared" si="79"/>
        <v>0</v>
      </c>
      <c r="AC66">
        <f t="shared" si="80"/>
        <v>0</v>
      </c>
      <c r="AD66">
        <f t="shared" si="81"/>
        <v>0</v>
      </c>
      <c r="AE66">
        <f t="shared" si="82"/>
        <v>0</v>
      </c>
      <c r="AF66">
        <f t="shared" si="83"/>
        <v>0</v>
      </c>
      <c r="AG66">
        <f t="shared" si="84"/>
        <v>0</v>
      </c>
      <c r="AH66">
        <f t="shared" si="85"/>
        <v>0</v>
      </c>
      <c r="AI66">
        <f t="shared" si="86"/>
        <v>0</v>
      </c>
      <c r="AJ66">
        <f t="shared" si="87"/>
        <v>0</v>
      </c>
      <c r="AK66">
        <f t="shared" si="88"/>
        <v>0</v>
      </c>
      <c r="AL66">
        <f t="shared" si="89"/>
        <v>0</v>
      </c>
      <c r="AM66">
        <f t="shared" si="90"/>
        <v>0</v>
      </c>
      <c r="AN66">
        <f t="shared" si="91"/>
        <v>0</v>
      </c>
      <c r="AO66">
        <f t="shared" si="92"/>
        <v>0</v>
      </c>
      <c r="AP66">
        <f t="shared" si="93"/>
        <v>0</v>
      </c>
      <c r="AQ66">
        <f t="shared" si="94"/>
        <v>33567.5</v>
      </c>
      <c r="AR66">
        <f t="shared" si="95"/>
        <v>57875</v>
      </c>
      <c r="AS66">
        <f t="shared" si="96"/>
        <v>0</v>
      </c>
      <c r="AT66">
        <f t="shared" si="97"/>
        <v>0</v>
      </c>
      <c r="AU66">
        <f t="shared" si="98"/>
        <v>91442.5</v>
      </c>
      <c r="AV66" s="9">
        <f>AU66/(16*5*60*20)</f>
        <v>0.95252604166666666</v>
      </c>
    </row>
    <row r="67" spans="1:48" x14ac:dyDescent="0.3">
      <c r="A67" t="s">
        <v>4</v>
      </c>
      <c r="B67">
        <v>1543</v>
      </c>
      <c r="C67">
        <v>159</v>
      </c>
      <c r="D67">
        <f>B67*C67</f>
        <v>245337</v>
      </c>
      <c r="E67">
        <v>12.75</v>
      </c>
      <c r="F67">
        <v>15.5</v>
      </c>
      <c r="G67">
        <v>38</v>
      </c>
      <c r="H67">
        <v>15</v>
      </c>
      <c r="I67">
        <v>0</v>
      </c>
      <c r="J67">
        <v>0</v>
      </c>
      <c r="K67">
        <v>0</v>
      </c>
      <c r="L67">
        <v>19</v>
      </c>
      <c r="M67">
        <v>0</v>
      </c>
      <c r="N67">
        <v>6.5</v>
      </c>
      <c r="O67">
        <v>0</v>
      </c>
      <c r="P67">
        <v>0</v>
      </c>
      <c r="Q67">
        <v>0</v>
      </c>
      <c r="R67">
        <v>9.5</v>
      </c>
      <c r="S67">
        <v>15</v>
      </c>
      <c r="T67">
        <v>0</v>
      </c>
      <c r="U67">
        <v>0</v>
      </c>
      <c r="V67">
        <v>0</v>
      </c>
      <c r="W67">
        <v>10.5</v>
      </c>
      <c r="X67">
        <v>17.25</v>
      </c>
    </row>
    <row r="68" spans="1:48" x14ac:dyDescent="0.3">
      <c r="D68" s="1" t="s">
        <v>112</v>
      </c>
      <c r="E68">
        <f t="shared" ref="E68:X68" si="101">E67*1543</f>
        <v>19673.25</v>
      </c>
      <c r="F68">
        <f t="shared" si="101"/>
        <v>23916.5</v>
      </c>
      <c r="G68">
        <f t="shared" si="101"/>
        <v>58634</v>
      </c>
      <c r="H68">
        <f t="shared" si="101"/>
        <v>23145</v>
      </c>
      <c r="I68">
        <f t="shared" si="101"/>
        <v>0</v>
      </c>
      <c r="J68">
        <f t="shared" si="101"/>
        <v>0</v>
      </c>
      <c r="K68">
        <f t="shared" si="101"/>
        <v>0</v>
      </c>
      <c r="L68">
        <f t="shared" si="101"/>
        <v>29317</v>
      </c>
      <c r="M68">
        <f t="shared" si="101"/>
        <v>0</v>
      </c>
      <c r="N68">
        <f t="shared" si="101"/>
        <v>10029.5</v>
      </c>
      <c r="O68">
        <f t="shared" si="101"/>
        <v>0</v>
      </c>
      <c r="P68">
        <f t="shared" si="101"/>
        <v>0</v>
      </c>
      <c r="Q68">
        <f t="shared" si="101"/>
        <v>0</v>
      </c>
      <c r="R68">
        <f t="shared" si="101"/>
        <v>14658.5</v>
      </c>
      <c r="S68">
        <f t="shared" si="101"/>
        <v>23145</v>
      </c>
      <c r="T68">
        <f t="shared" si="101"/>
        <v>0</v>
      </c>
      <c r="U68">
        <f t="shared" si="101"/>
        <v>0</v>
      </c>
      <c r="V68">
        <f t="shared" si="101"/>
        <v>0</v>
      </c>
      <c r="W68">
        <f t="shared" si="101"/>
        <v>16201.5</v>
      </c>
      <c r="X68">
        <f t="shared" si="101"/>
        <v>26616.75</v>
      </c>
      <c r="Z68" s="12"/>
      <c r="AA68" s="12" t="s">
        <v>5</v>
      </c>
      <c r="AB68" s="12" t="s">
        <v>42</v>
      </c>
      <c r="AC68" s="12" t="s">
        <v>74</v>
      </c>
      <c r="AD68" s="12" t="s">
        <v>44</v>
      </c>
      <c r="AE68" s="12" t="s">
        <v>45</v>
      </c>
      <c r="AF68" s="12" t="s">
        <v>46</v>
      </c>
      <c r="AG68" s="12" t="s">
        <v>47</v>
      </c>
      <c r="AH68" s="12" t="s">
        <v>48</v>
      </c>
      <c r="AI68" s="12" t="s">
        <v>49</v>
      </c>
      <c r="AJ68" s="12" t="s">
        <v>50</v>
      </c>
      <c r="AK68" s="12" t="s">
        <v>51</v>
      </c>
      <c r="AL68" s="12" t="s">
        <v>52</v>
      </c>
      <c r="AM68" s="12" t="s">
        <v>53</v>
      </c>
      <c r="AN68" s="12" t="s">
        <v>54</v>
      </c>
      <c r="AO68" s="12" t="s">
        <v>55</v>
      </c>
      <c r="AP68" s="12" t="s">
        <v>56</v>
      </c>
      <c r="AQ68" s="12" t="s">
        <v>57</v>
      </c>
      <c r="AR68" s="12" t="s">
        <v>58</v>
      </c>
      <c r="AS68" s="12" t="s">
        <v>59</v>
      </c>
      <c r="AT68" s="12" t="s">
        <v>60</v>
      </c>
      <c r="AU68" s="13" t="s">
        <v>114</v>
      </c>
      <c r="AV68" s="13" t="s">
        <v>113</v>
      </c>
    </row>
    <row r="69" spans="1:48" x14ac:dyDescent="0.3">
      <c r="D69" t="s">
        <v>93</v>
      </c>
      <c r="E69">
        <v>1</v>
      </c>
      <c r="F69">
        <v>2.5</v>
      </c>
      <c r="G69">
        <v>0</v>
      </c>
      <c r="H69">
        <v>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f>SUM(E69:X69)</f>
        <v>5.5</v>
      </c>
      <c r="Z69" s="11" t="s">
        <v>93</v>
      </c>
      <c r="AA69">
        <f>E69*$B$67</f>
        <v>1543</v>
      </c>
      <c r="AB69">
        <f t="shared" ref="AB69:AT69" si="102">F69*$B$67</f>
        <v>3857.5</v>
      </c>
      <c r="AC69">
        <f t="shared" si="102"/>
        <v>0</v>
      </c>
      <c r="AD69">
        <f t="shared" si="102"/>
        <v>3086</v>
      </c>
      <c r="AE69">
        <f t="shared" si="102"/>
        <v>0</v>
      </c>
      <c r="AF69">
        <f t="shared" si="102"/>
        <v>0</v>
      </c>
      <c r="AG69">
        <f t="shared" si="102"/>
        <v>0</v>
      </c>
      <c r="AH69">
        <f t="shared" si="102"/>
        <v>0</v>
      </c>
      <c r="AI69">
        <f t="shared" si="102"/>
        <v>0</v>
      </c>
      <c r="AJ69">
        <f t="shared" si="102"/>
        <v>0</v>
      </c>
      <c r="AK69">
        <f t="shared" si="102"/>
        <v>0</v>
      </c>
      <c r="AL69">
        <f t="shared" si="102"/>
        <v>0</v>
      </c>
      <c r="AM69">
        <f t="shared" si="102"/>
        <v>0</v>
      </c>
      <c r="AN69">
        <f t="shared" si="102"/>
        <v>0</v>
      </c>
      <c r="AO69">
        <f t="shared" si="102"/>
        <v>0</v>
      </c>
      <c r="AP69">
        <f t="shared" si="102"/>
        <v>0</v>
      </c>
      <c r="AQ69">
        <f t="shared" si="102"/>
        <v>0</v>
      </c>
      <c r="AR69">
        <f t="shared" si="102"/>
        <v>0</v>
      </c>
      <c r="AS69">
        <f t="shared" si="102"/>
        <v>0</v>
      </c>
      <c r="AT69">
        <f t="shared" si="102"/>
        <v>0</v>
      </c>
      <c r="AU69">
        <f>SUM(AA69:AT69)</f>
        <v>8486.5</v>
      </c>
      <c r="AV69" s="9">
        <f>AU69/(16*5*60*6)</f>
        <v>0.29467013888888888</v>
      </c>
    </row>
    <row r="70" spans="1:48" x14ac:dyDescent="0.3">
      <c r="D70" t="s">
        <v>94</v>
      </c>
      <c r="E70">
        <v>5</v>
      </c>
      <c r="F70">
        <v>0</v>
      </c>
      <c r="G70">
        <v>7</v>
      </c>
      <c r="H70">
        <v>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f t="shared" ref="Y70:Y82" si="103">SUM(E70:X70)</f>
        <v>16</v>
      </c>
      <c r="Z70" s="11" t="s">
        <v>94</v>
      </c>
      <c r="AA70">
        <f t="shared" ref="AA70:AA82" si="104">E70*$B$67</f>
        <v>7715</v>
      </c>
      <c r="AB70">
        <f t="shared" ref="AB70:AB82" si="105">F70*$B$67</f>
        <v>0</v>
      </c>
      <c r="AC70">
        <f t="shared" ref="AC70:AC82" si="106">G70*$B$67</f>
        <v>10801</v>
      </c>
      <c r="AD70">
        <f t="shared" ref="AD70:AD82" si="107">H70*$B$67</f>
        <v>6172</v>
      </c>
      <c r="AE70">
        <f t="shared" ref="AE70:AE82" si="108">I70*$B$67</f>
        <v>0</v>
      </c>
      <c r="AF70">
        <f t="shared" ref="AF70:AF82" si="109">J70*$B$67</f>
        <v>0</v>
      </c>
      <c r="AG70">
        <f t="shared" ref="AG70:AG82" si="110">K70*$B$67</f>
        <v>0</v>
      </c>
      <c r="AH70">
        <f t="shared" ref="AH70:AH82" si="111">L70*$B$67</f>
        <v>0</v>
      </c>
      <c r="AI70">
        <f t="shared" ref="AI70:AI82" si="112">M70*$B$67</f>
        <v>0</v>
      </c>
      <c r="AJ70">
        <f t="shared" ref="AJ70:AJ82" si="113">N70*$B$67</f>
        <v>0</v>
      </c>
      <c r="AK70">
        <f t="shared" ref="AK70:AK82" si="114">O70*$B$67</f>
        <v>0</v>
      </c>
      <c r="AL70">
        <f t="shared" ref="AL70:AL82" si="115">P70*$B$67</f>
        <v>0</v>
      </c>
      <c r="AM70">
        <f t="shared" ref="AM70:AM82" si="116">Q70*$B$67</f>
        <v>0</v>
      </c>
      <c r="AN70">
        <f t="shared" ref="AN70:AN82" si="117">R70*$B$67</f>
        <v>0</v>
      </c>
      <c r="AO70">
        <f t="shared" ref="AO70:AO82" si="118">S70*$B$67</f>
        <v>0</v>
      </c>
      <c r="AP70">
        <f t="shared" ref="AP70:AP82" si="119">T70*$B$67</f>
        <v>0</v>
      </c>
      <c r="AQ70">
        <f t="shared" ref="AQ70:AQ82" si="120">U70*$B$67</f>
        <v>0</v>
      </c>
      <c r="AR70">
        <f t="shared" ref="AR70:AR82" si="121">V70*$B$67</f>
        <v>0</v>
      </c>
      <c r="AS70">
        <f t="shared" ref="AS70:AS82" si="122">W70*$B$67</f>
        <v>0</v>
      </c>
      <c r="AT70">
        <f t="shared" ref="AT70:AT82" si="123">X70*$B$67</f>
        <v>0</v>
      </c>
      <c r="AU70">
        <f t="shared" ref="AU70:AU82" si="124">SUM(AA70:AT70)</f>
        <v>24688</v>
      </c>
      <c r="AV70" s="9">
        <f>AU70/(16*5*60*6)</f>
        <v>0.85722222222222222</v>
      </c>
    </row>
    <row r="71" spans="1:48" x14ac:dyDescent="0.3">
      <c r="D71" t="s">
        <v>95</v>
      </c>
      <c r="E71">
        <v>0.5</v>
      </c>
      <c r="F71">
        <v>1</v>
      </c>
      <c r="G71">
        <v>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f t="shared" si="103"/>
        <v>4.5</v>
      </c>
      <c r="Z71" s="11" t="s">
        <v>95</v>
      </c>
      <c r="AA71">
        <f t="shared" si="104"/>
        <v>771.5</v>
      </c>
      <c r="AB71">
        <f t="shared" si="105"/>
        <v>1543</v>
      </c>
      <c r="AC71">
        <f t="shared" si="106"/>
        <v>4629</v>
      </c>
      <c r="AD71">
        <f t="shared" si="107"/>
        <v>0</v>
      </c>
      <c r="AE71">
        <f t="shared" si="108"/>
        <v>0</v>
      </c>
      <c r="AF71">
        <f t="shared" si="109"/>
        <v>0</v>
      </c>
      <c r="AG71">
        <f t="shared" si="110"/>
        <v>0</v>
      </c>
      <c r="AH71">
        <f t="shared" si="111"/>
        <v>0</v>
      </c>
      <c r="AI71">
        <f t="shared" si="112"/>
        <v>0</v>
      </c>
      <c r="AJ71">
        <f t="shared" si="113"/>
        <v>0</v>
      </c>
      <c r="AK71">
        <f t="shared" si="114"/>
        <v>0</v>
      </c>
      <c r="AL71">
        <f t="shared" si="115"/>
        <v>0</v>
      </c>
      <c r="AM71">
        <f t="shared" si="116"/>
        <v>0</v>
      </c>
      <c r="AN71">
        <f t="shared" si="117"/>
        <v>0</v>
      </c>
      <c r="AO71">
        <f t="shared" si="118"/>
        <v>0</v>
      </c>
      <c r="AP71">
        <f t="shared" si="119"/>
        <v>0</v>
      </c>
      <c r="AQ71">
        <f t="shared" si="120"/>
        <v>0</v>
      </c>
      <c r="AR71">
        <f t="shared" si="121"/>
        <v>0</v>
      </c>
      <c r="AS71">
        <f t="shared" si="122"/>
        <v>0</v>
      </c>
      <c r="AT71">
        <f t="shared" si="123"/>
        <v>0</v>
      </c>
      <c r="AU71">
        <f t="shared" si="124"/>
        <v>6943.5</v>
      </c>
      <c r="AV71" s="9">
        <f>AU71/(16*5*60*6)</f>
        <v>0.24109375</v>
      </c>
    </row>
    <row r="72" spans="1:48" x14ac:dyDescent="0.3">
      <c r="D72" t="s">
        <v>96</v>
      </c>
      <c r="E72">
        <v>2.5</v>
      </c>
      <c r="F72">
        <v>5</v>
      </c>
      <c r="G72">
        <v>12</v>
      </c>
      <c r="H72">
        <v>6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f t="shared" si="103"/>
        <v>25.5</v>
      </c>
      <c r="Z72" s="11" t="s">
        <v>96</v>
      </c>
      <c r="AA72">
        <f t="shared" si="104"/>
        <v>3857.5</v>
      </c>
      <c r="AB72">
        <f t="shared" si="105"/>
        <v>7715</v>
      </c>
      <c r="AC72">
        <f t="shared" si="106"/>
        <v>18516</v>
      </c>
      <c r="AD72">
        <f t="shared" si="107"/>
        <v>9258</v>
      </c>
      <c r="AE72">
        <f t="shared" si="108"/>
        <v>0</v>
      </c>
      <c r="AF72">
        <f t="shared" si="109"/>
        <v>0</v>
      </c>
      <c r="AG72">
        <f t="shared" si="110"/>
        <v>0</v>
      </c>
      <c r="AH72">
        <f t="shared" si="111"/>
        <v>0</v>
      </c>
      <c r="AI72">
        <f t="shared" si="112"/>
        <v>0</v>
      </c>
      <c r="AJ72">
        <f t="shared" si="113"/>
        <v>0</v>
      </c>
      <c r="AK72">
        <f t="shared" si="114"/>
        <v>0</v>
      </c>
      <c r="AL72">
        <f t="shared" si="115"/>
        <v>0</v>
      </c>
      <c r="AM72">
        <f t="shared" si="116"/>
        <v>0</v>
      </c>
      <c r="AN72">
        <f t="shared" si="117"/>
        <v>0</v>
      </c>
      <c r="AO72">
        <f t="shared" si="118"/>
        <v>0</v>
      </c>
      <c r="AP72">
        <f t="shared" si="119"/>
        <v>0</v>
      </c>
      <c r="AQ72">
        <f t="shared" si="120"/>
        <v>0</v>
      </c>
      <c r="AR72">
        <f t="shared" si="121"/>
        <v>0</v>
      </c>
      <c r="AS72">
        <f t="shared" si="122"/>
        <v>0</v>
      </c>
      <c r="AT72">
        <f t="shared" si="123"/>
        <v>0</v>
      </c>
      <c r="AU72">
        <f t="shared" si="124"/>
        <v>39346.5</v>
      </c>
      <c r="AV72" s="9">
        <f>AU72/(16*5*60*9)</f>
        <v>0.91079861111111116</v>
      </c>
    </row>
    <row r="73" spans="1:48" x14ac:dyDescent="0.3">
      <c r="D73" t="s">
        <v>97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5</v>
      </c>
      <c r="M73">
        <v>0</v>
      </c>
      <c r="N73">
        <v>1.5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f t="shared" si="103"/>
        <v>6.5</v>
      </c>
      <c r="Z73" s="11" t="s">
        <v>97</v>
      </c>
      <c r="AA73">
        <f t="shared" si="104"/>
        <v>0</v>
      </c>
      <c r="AB73">
        <f t="shared" si="105"/>
        <v>0</v>
      </c>
      <c r="AC73">
        <f t="shared" si="106"/>
        <v>0</v>
      </c>
      <c r="AD73">
        <f t="shared" si="107"/>
        <v>0</v>
      </c>
      <c r="AE73">
        <f t="shared" si="108"/>
        <v>0</v>
      </c>
      <c r="AF73">
        <f t="shared" si="109"/>
        <v>0</v>
      </c>
      <c r="AG73">
        <f t="shared" si="110"/>
        <v>0</v>
      </c>
      <c r="AH73">
        <f t="shared" si="111"/>
        <v>7715</v>
      </c>
      <c r="AI73">
        <f t="shared" si="112"/>
        <v>0</v>
      </c>
      <c r="AJ73">
        <f t="shared" si="113"/>
        <v>2314.5</v>
      </c>
      <c r="AK73">
        <f t="shared" si="114"/>
        <v>0</v>
      </c>
      <c r="AL73">
        <f t="shared" si="115"/>
        <v>0</v>
      </c>
      <c r="AM73">
        <f t="shared" si="116"/>
        <v>0</v>
      </c>
      <c r="AN73">
        <f t="shared" si="117"/>
        <v>0</v>
      </c>
      <c r="AO73">
        <f t="shared" si="118"/>
        <v>0</v>
      </c>
      <c r="AP73">
        <f t="shared" si="119"/>
        <v>0</v>
      </c>
      <c r="AQ73">
        <f t="shared" si="120"/>
        <v>0</v>
      </c>
      <c r="AR73">
        <f t="shared" si="121"/>
        <v>0</v>
      </c>
      <c r="AS73">
        <f t="shared" si="122"/>
        <v>0</v>
      </c>
      <c r="AT73">
        <f t="shared" si="123"/>
        <v>0</v>
      </c>
      <c r="AU73">
        <f t="shared" si="124"/>
        <v>10029.5</v>
      </c>
      <c r="AV73" s="9">
        <f>AU73/(16*5*60*3)</f>
        <v>0.69649305555555552</v>
      </c>
    </row>
    <row r="74" spans="1:48" x14ac:dyDescent="0.3">
      <c r="D74" t="s">
        <v>98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1.75</v>
      </c>
      <c r="O74">
        <v>0</v>
      </c>
      <c r="P74">
        <v>0</v>
      </c>
      <c r="Q74">
        <v>0</v>
      </c>
      <c r="R74">
        <v>0</v>
      </c>
      <c r="S74">
        <v>2.5</v>
      </c>
      <c r="T74">
        <v>0</v>
      </c>
      <c r="U74">
        <v>0</v>
      </c>
      <c r="V74">
        <v>0</v>
      </c>
      <c r="W74">
        <v>0</v>
      </c>
      <c r="X74">
        <v>0</v>
      </c>
      <c r="Y74">
        <f t="shared" si="103"/>
        <v>4.25</v>
      </c>
      <c r="Z74" s="11" t="s">
        <v>98</v>
      </c>
      <c r="AA74">
        <f t="shared" si="104"/>
        <v>0</v>
      </c>
      <c r="AB74">
        <f t="shared" si="105"/>
        <v>0</v>
      </c>
      <c r="AC74">
        <f t="shared" si="106"/>
        <v>0</v>
      </c>
      <c r="AD74">
        <f t="shared" si="107"/>
        <v>0</v>
      </c>
      <c r="AE74">
        <f t="shared" si="108"/>
        <v>0</v>
      </c>
      <c r="AF74">
        <f t="shared" si="109"/>
        <v>0</v>
      </c>
      <c r="AG74">
        <f t="shared" si="110"/>
        <v>0</v>
      </c>
      <c r="AH74">
        <f t="shared" si="111"/>
        <v>0</v>
      </c>
      <c r="AI74">
        <f t="shared" si="112"/>
        <v>0</v>
      </c>
      <c r="AJ74">
        <f t="shared" si="113"/>
        <v>2700.25</v>
      </c>
      <c r="AK74">
        <f t="shared" si="114"/>
        <v>0</v>
      </c>
      <c r="AL74">
        <f t="shared" si="115"/>
        <v>0</v>
      </c>
      <c r="AM74">
        <f t="shared" si="116"/>
        <v>0</v>
      </c>
      <c r="AN74">
        <f t="shared" si="117"/>
        <v>0</v>
      </c>
      <c r="AO74">
        <f t="shared" si="118"/>
        <v>3857.5</v>
      </c>
      <c r="AP74">
        <f t="shared" si="119"/>
        <v>0</v>
      </c>
      <c r="AQ74">
        <f t="shared" si="120"/>
        <v>0</v>
      </c>
      <c r="AR74">
        <f t="shared" si="121"/>
        <v>0</v>
      </c>
      <c r="AS74">
        <f t="shared" si="122"/>
        <v>0</v>
      </c>
      <c r="AT74">
        <f t="shared" si="123"/>
        <v>0</v>
      </c>
      <c r="AU74">
        <f t="shared" si="124"/>
        <v>6557.75</v>
      </c>
      <c r="AV74" s="9">
        <f>AU74/(16*5*60*2)</f>
        <v>0.68309895833333334</v>
      </c>
    </row>
    <row r="75" spans="1:48" x14ac:dyDescent="0.3">
      <c r="D75" t="s">
        <v>99</v>
      </c>
      <c r="E75">
        <v>0</v>
      </c>
      <c r="F75">
        <v>0</v>
      </c>
      <c r="G75">
        <v>0</v>
      </c>
      <c r="H75">
        <v>0.5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f t="shared" si="103"/>
        <v>0.5</v>
      </c>
      <c r="Z75" s="11" t="s">
        <v>99</v>
      </c>
      <c r="AA75">
        <f t="shared" si="104"/>
        <v>0</v>
      </c>
      <c r="AB75">
        <f t="shared" si="105"/>
        <v>0</v>
      </c>
      <c r="AC75">
        <f t="shared" si="106"/>
        <v>0</v>
      </c>
      <c r="AD75">
        <f t="shared" si="107"/>
        <v>771.5</v>
      </c>
      <c r="AE75">
        <f t="shared" si="108"/>
        <v>0</v>
      </c>
      <c r="AF75">
        <f t="shared" si="109"/>
        <v>0</v>
      </c>
      <c r="AG75">
        <f t="shared" si="110"/>
        <v>0</v>
      </c>
      <c r="AH75">
        <f t="shared" si="111"/>
        <v>0</v>
      </c>
      <c r="AI75">
        <f t="shared" si="112"/>
        <v>0</v>
      </c>
      <c r="AJ75">
        <f t="shared" si="113"/>
        <v>0</v>
      </c>
      <c r="AK75">
        <f t="shared" si="114"/>
        <v>0</v>
      </c>
      <c r="AL75">
        <f t="shared" si="115"/>
        <v>0</v>
      </c>
      <c r="AM75">
        <f t="shared" si="116"/>
        <v>0</v>
      </c>
      <c r="AN75">
        <f t="shared" si="117"/>
        <v>0</v>
      </c>
      <c r="AO75">
        <f t="shared" si="118"/>
        <v>0</v>
      </c>
      <c r="AP75">
        <f t="shared" si="119"/>
        <v>0</v>
      </c>
      <c r="AQ75">
        <f t="shared" si="120"/>
        <v>0</v>
      </c>
      <c r="AR75">
        <f t="shared" si="121"/>
        <v>0</v>
      </c>
      <c r="AS75">
        <f t="shared" si="122"/>
        <v>0</v>
      </c>
      <c r="AT75">
        <f t="shared" si="123"/>
        <v>0</v>
      </c>
      <c r="AU75">
        <f t="shared" si="124"/>
        <v>771.5</v>
      </c>
      <c r="AV75" s="9">
        <f t="shared" ref="AV75:AV76" si="125">AU75/(16*5*60)</f>
        <v>0.16072916666666667</v>
      </c>
    </row>
    <row r="76" spans="1:48" x14ac:dyDescent="0.3">
      <c r="D76" t="s">
        <v>106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2.5</v>
      </c>
      <c r="T76">
        <v>0</v>
      </c>
      <c r="U76">
        <v>0</v>
      </c>
      <c r="V76">
        <v>0</v>
      </c>
      <c r="W76">
        <v>0</v>
      </c>
      <c r="X76">
        <v>0</v>
      </c>
      <c r="Y76">
        <f t="shared" si="103"/>
        <v>2.5</v>
      </c>
      <c r="Z76" s="11" t="s">
        <v>106</v>
      </c>
      <c r="AA76">
        <f t="shared" si="104"/>
        <v>0</v>
      </c>
      <c r="AB76">
        <f t="shared" si="105"/>
        <v>0</v>
      </c>
      <c r="AC76">
        <f t="shared" si="106"/>
        <v>0</v>
      </c>
      <c r="AD76">
        <f t="shared" si="107"/>
        <v>0</v>
      </c>
      <c r="AE76">
        <f t="shared" si="108"/>
        <v>0</v>
      </c>
      <c r="AF76">
        <f t="shared" si="109"/>
        <v>0</v>
      </c>
      <c r="AG76">
        <f t="shared" si="110"/>
        <v>0</v>
      </c>
      <c r="AH76">
        <f t="shared" si="111"/>
        <v>0</v>
      </c>
      <c r="AI76">
        <f t="shared" si="112"/>
        <v>0</v>
      </c>
      <c r="AJ76">
        <f t="shared" si="113"/>
        <v>0</v>
      </c>
      <c r="AK76">
        <f t="shared" si="114"/>
        <v>0</v>
      </c>
      <c r="AL76">
        <f t="shared" si="115"/>
        <v>0</v>
      </c>
      <c r="AM76">
        <f t="shared" si="116"/>
        <v>0</v>
      </c>
      <c r="AN76">
        <f t="shared" si="117"/>
        <v>0</v>
      </c>
      <c r="AO76">
        <f t="shared" si="118"/>
        <v>3857.5</v>
      </c>
      <c r="AP76">
        <f t="shared" si="119"/>
        <v>0</v>
      </c>
      <c r="AQ76">
        <f t="shared" si="120"/>
        <v>0</v>
      </c>
      <c r="AR76">
        <f t="shared" si="121"/>
        <v>0</v>
      </c>
      <c r="AS76">
        <f t="shared" si="122"/>
        <v>0</v>
      </c>
      <c r="AT76">
        <f t="shared" si="123"/>
        <v>0</v>
      </c>
      <c r="AU76">
        <f t="shared" si="124"/>
        <v>3857.5</v>
      </c>
      <c r="AV76" s="9">
        <f t="shared" si="125"/>
        <v>0.80364583333333328</v>
      </c>
    </row>
    <row r="77" spans="1:48" x14ac:dyDescent="0.3">
      <c r="D77" t="s">
        <v>105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f t="shared" si="103"/>
        <v>6</v>
      </c>
      <c r="Z77" s="11" t="s">
        <v>105</v>
      </c>
      <c r="AA77">
        <f t="shared" si="104"/>
        <v>0</v>
      </c>
      <c r="AB77">
        <f t="shared" si="105"/>
        <v>0</v>
      </c>
      <c r="AC77">
        <f t="shared" si="106"/>
        <v>0</v>
      </c>
      <c r="AD77">
        <f t="shared" si="107"/>
        <v>0</v>
      </c>
      <c r="AE77">
        <f t="shared" si="108"/>
        <v>0</v>
      </c>
      <c r="AF77">
        <f t="shared" si="109"/>
        <v>0</v>
      </c>
      <c r="AG77">
        <f t="shared" si="110"/>
        <v>0</v>
      </c>
      <c r="AH77">
        <f t="shared" si="111"/>
        <v>0</v>
      </c>
      <c r="AI77">
        <f t="shared" si="112"/>
        <v>0</v>
      </c>
      <c r="AJ77">
        <f t="shared" si="113"/>
        <v>0</v>
      </c>
      <c r="AK77">
        <f t="shared" si="114"/>
        <v>0</v>
      </c>
      <c r="AL77">
        <f t="shared" si="115"/>
        <v>0</v>
      </c>
      <c r="AM77">
        <f t="shared" si="116"/>
        <v>0</v>
      </c>
      <c r="AN77">
        <f t="shared" si="117"/>
        <v>9258</v>
      </c>
      <c r="AO77">
        <f t="shared" si="118"/>
        <v>0</v>
      </c>
      <c r="AP77">
        <f t="shared" si="119"/>
        <v>0</v>
      </c>
      <c r="AQ77">
        <f t="shared" si="120"/>
        <v>0</v>
      </c>
      <c r="AR77">
        <f t="shared" si="121"/>
        <v>0</v>
      </c>
      <c r="AS77">
        <f t="shared" si="122"/>
        <v>0</v>
      </c>
      <c r="AT77">
        <f t="shared" si="123"/>
        <v>0</v>
      </c>
      <c r="AU77">
        <f t="shared" si="124"/>
        <v>9258</v>
      </c>
      <c r="AV77" s="9">
        <f>AU77/(16*5*60*2)</f>
        <v>0.96437499999999998</v>
      </c>
    </row>
    <row r="78" spans="1:48" x14ac:dyDescent="0.3">
      <c r="D78" t="s">
        <v>100</v>
      </c>
      <c r="E78">
        <v>0</v>
      </c>
      <c r="F78">
        <v>2</v>
      </c>
      <c r="G78">
        <v>0</v>
      </c>
      <c r="H78">
        <v>2.5</v>
      </c>
      <c r="I78">
        <v>0</v>
      </c>
      <c r="J78">
        <v>0</v>
      </c>
      <c r="K78">
        <v>0</v>
      </c>
      <c r="L78">
        <v>8</v>
      </c>
      <c r="M78">
        <v>0</v>
      </c>
      <c r="N78">
        <v>0</v>
      </c>
      <c r="O78">
        <v>0</v>
      </c>
      <c r="P78">
        <v>0</v>
      </c>
      <c r="Q78">
        <v>0</v>
      </c>
      <c r="R78">
        <v>3.5</v>
      </c>
      <c r="S78">
        <v>5</v>
      </c>
      <c r="T78">
        <v>0</v>
      </c>
      <c r="U78">
        <v>0</v>
      </c>
      <c r="V78">
        <v>0</v>
      </c>
      <c r="W78">
        <v>0</v>
      </c>
      <c r="X78">
        <v>0</v>
      </c>
      <c r="Y78">
        <f t="shared" si="103"/>
        <v>21</v>
      </c>
      <c r="Z78" s="11" t="s">
        <v>100</v>
      </c>
      <c r="AA78">
        <f t="shared" si="104"/>
        <v>0</v>
      </c>
      <c r="AB78">
        <f t="shared" si="105"/>
        <v>3086</v>
      </c>
      <c r="AC78">
        <f t="shared" si="106"/>
        <v>0</v>
      </c>
      <c r="AD78">
        <f t="shared" si="107"/>
        <v>3857.5</v>
      </c>
      <c r="AE78">
        <f t="shared" si="108"/>
        <v>0</v>
      </c>
      <c r="AF78">
        <f t="shared" si="109"/>
        <v>0</v>
      </c>
      <c r="AG78">
        <f t="shared" si="110"/>
        <v>0</v>
      </c>
      <c r="AH78">
        <f t="shared" si="111"/>
        <v>12344</v>
      </c>
      <c r="AI78">
        <f t="shared" si="112"/>
        <v>0</v>
      </c>
      <c r="AJ78">
        <f t="shared" si="113"/>
        <v>0</v>
      </c>
      <c r="AK78">
        <f t="shared" si="114"/>
        <v>0</v>
      </c>
      <c r="AL78">
        <f t="shared" si="115"/>
        <v>0</v>
      </c>
      <c r="AM78">
        <f t="shared" si="116"/>
        <v>0</v>
      </c>
      <c r="AN78">
        <f t="shared" si="117"/>
        <v>5400.5</v>
      </c>
      <c r="AO78">
        <f t="shared" si="118"/>
        <v>7715</v>
      </c>
      <c r="AP78">
        <f t="shared" si="119"/>
        <v>0</v>
      </c>
      <c r="AQ78">
        <f t="shared" si="120"/>
        <v>0</v>
      </c>
      <c r="AR78">
        <f t="shared" si="121"/>
        <v>0</v>
      </c>
      <c r="AS78">
        <f t="shared" si="122"/>
        <v>0</v>
      </c>
      <c r="AT78">
        <f t="shared" si="123"/>
        <v>0</v>
      </c>
      <c r="AU78">
        <f t="shared" si="124"/>
        <v>32403</v>
      </c>
      <c r="AV78" s="9">
        <f>AU78/(16*5*60*7)</f>
        <v>0.96437499999999998</v>
      </c>
    </row>
    <row r="79" spans="1:48" x14ac:dyDescent="0.3">
      <c r="D79" t="s">
        <v>101</v>
      </c>
      <c r="E79">
        <v>1.25</v>
      </c>
      <c r="F79">
        <v>0</v>
      </c>
      <c r="G79">
        <v>6</v>
      </c>
      <c r="H79">
        <v>0</v>
      </c>
      <c r="I79">
        <v>0</v>
      </c>
      <c r="J79">
        <v>0</v>
      </c>
      <c r="K79">
        <v>0</v>
      </c>
      <c r="L79">
        <v>4</v>
      </c>
      <c r="M79">
        <v>0</v>
      </c>
      <c r="N79">
        <v>1.25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f t="shared" si="103"/>
        <v>12.5</v>
      </c>
      <c r="Z79" s="11" t="s">
        <v>101</v>
      </c>
      <c r="AA79">
        <f t="shared" si="104"/>
        <v>1928.75</v>
      </c>
      <c r="AB79">
        <f t="shared" si="105"/>
        <v>0</v>
      </c>
      <c r="AC79">
        <f t="shared" si="106"/>
        <v>9258</v>
      </c>
      <c r="AD79">
        <f t="shared" si="107"/>
        <v>0</v>
      </c>
      <c r="AE79">
        <f t="shared" si="108"/>
        <v>0</v>
      </c>
      <c r="AF79">
        <f t="shared" si="109"/>
        <v>0</v>
      </c>
      <c r="AG79">
        <f t="shared" si="110"/>
        <v>0</v>
      </c>
      <c r="AH79">
        <f t="shared" si="111"/>
        <v>6172</v>
      </c>
      <c r="AI79">
        <f t="shared" si="112"/>
        <v>0</v>
      </c>
      <c r="AJ79">
        <f t="shared" si="113"/>
        <v>1928.75</v>
      </c>
      <c r="AK79">
        <f t="shared" si="114"/>
        <v>0</v>
      </c>
      <c r="AL79">
        <f t="shared" si="115"/>
        <v>0</v>
      </c>
      <c r="AM79">
        <f t="shared" si="116"/>
        <v>0</v>
      </c>
      <c r="AN79">
        <f t="shared" si="117"/>
        <v>0</v>
      </c>
      <c r="AO79">
        <f t="shared" si="118"/>
        <v>0</v>
      </c>
      <c r="AP79">
        <f t="shared" si="119"/>
        <v>0</v>
      </c>
      <c r="AQ79">
        <f t="shared" si="120"/>
        <v>0</v>
      </c>
      <c r="AR79">
        <f t="shared" si="121"/>
        <v>0</v>
      </c>
      <c r="AS79">
        <f t="shared" si="122"/>
        <v>0</v>
      </c>
      <c r="AT79">
        <f t="shared" si="123"/>
        <v>0</v>
      </c>
      <c r="AU79">
        <f t="shared" si="124"/>
        <v>19287.5</v>
      </c>
      <c r="AV79" s="9">
        <f>AU79/(16*5*60*7)</f>
        <v>0.57403273809523814</v>
      </c>
    </row>
    <row r="80" spans="1:48" x14ac:dyDescent="0.3">
      <c r="D80" t="s">
        <v>102</v>
      </c>
      <c r="E80">
        <v>2.5</v>
      </c>
      <c r="F80">
        <v>5</v>
      </c>
      <c r="G80">
        <v>10</v>
      </c>
      <c r="H80">
        <v>0</v>
      </c>
      <c r="I80">
        <v>0</v>
      </c>
      <c r="J80">
        <v>0</v>
      </c>
      <c r="K80">
        <v>0</v>
      </c>
      <c r="L80">
        <v>2</v>
      </c>
      <c r="M80">
        <v>0</v>
      </c>
      <c r="N80">
        <v>2</v>
      </c>
      <c r="O80">
        <v>0</v>
      </c>
      <c r="P80">
        <v>0</v>
      </c>
      <c r="Q80">
        <v>0</v>
      </c>
      <c r="R80">
        <v>0</v>
      </c>
      <c r="S80">
        <v>5</v>
      </c>
      <c r="T80">
        <v>0</v>
      </c>
      <c r="U80">
        <v>0</v>
      </c>
      <c r="V80">
        <v>0</v>
      </c>
      <c r="W80">
        <v>0</v>
      </c>
      <c r="X80">
        <v>0</v>
      </c>
      <c r="Y80">
        <f t="shared" si="103"/>
        <v>26.5</v>
      </c>
      <c r="Z80" s="11" t="s">
        <v>102</v>
      </c>
      <c r="AA80">
        <f t="shared" si="104"/>
        <v>3857.5</v>
      </c>
      <c r="AB80">
        <f t="shared" si="105"/>
        <v>7715</v>
      </c>
      <c r="AC80">
        <f t="shared" si="106"/>
        <v>15430</v>
      </c>
      <c r="AD80">
        <f t="shared" si="107"/>
        <v>0</v>
      </c>
      <c r="AE80">
        <f t="shared" si="108"/>
        <v>0</v>
      </c>
      <c r="AF80">
        <f t="shared" si="109"/>
        <v>0</v>
      </c>
      <c r="AG80">
        <f t="shared" si="110"/>
        <v>0</v>
      </c>
      <c r="AH80">
        <f t="shared" si="111"/>
        <v>3086</v>
      </c>
      <c r="AI80">
        <f t="shared" si="112"/>
        <v>0</v>
      </c>
      <c r="AJ80">
        <f t="shared" si="113"/>
        <v>3086</v>
      </c>
      <c r="AK80">
        <f t="shared" si="114"/>
        <v>0</v>
      </c>
      <c r="AL80">
        <f t="shared" si="115"/>
        <v>0</v>
      </c>
      <c r="AM80">
        <f t="shared" si="116"/>
        <v>0</v>
      </c>
      <c r="AN80">
        <f t="shared" si="117"/>
        <v>0</v>
      </c>
      <c r="AO80">
        <f t="shared" si="118"/>
        <v>7715</v>
      </c>
      <c r="AP80">
        <f t="shared" si="119"/>
        <v>0</v>
      </c>
      <c r="AQ80">
        <f t="shared" si="120"/>
        <v>0</v>
      </c>
      <c r="AR80">
        <f t="shared" si="121"/>
        <v>0</v>
      </c>
      <c r="AS80">
        <f t="shared" si="122"/>
        <v>0</v>
      </c>
      <c r="AT80">
        <f t="shared" si="123"/>
        <v>0</v>
      </c>
      <c r="AU80">
        <f t="shared" si="124"/>
        <v>40889.5</v>
      </c>
      <c r="AV80" s="9">
        <f>AU80/(16*5*60*9)</f>
        <v>0.94651620370370371</v>
      </c>
    </row>
    <row r="81" spans="4:48" x14ac:dyDescent="0.3">
      <c r="D81" t="s">
        <v>103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10.5</v>
      </c>
      <c r="X81">
        <v>0</v>
      </c>
      <c r="Y81">
        <f t="shared" si="103"/>
        <v>10.5</v>
      </c>
      <c r="Z81" s="11" t="s">
        <v>103</v>
      </c>
      <c r="AA81">
        <f t="shared" si="104"/>
        <v>0</v>
      </c>
      <c r="AB81">
        <f t="shared" si="105"/>
        <v>0</v>
      </c>
      <c r="AC81">
        <f t="shared" si="106"/>
        <v>0</v>
      </c>
      <c r="AD81">
        <f t="shared" si="107"/>
        <v>0</v>
      </c>
      <c r="AE81">
        <f t="shared" si="108"/>
        <v>0</v>
      </c>
      <c r="AF81">
        <f t="shared" si="109"/>
        <v>0</v>
      </c>
      <c r="AG81">
        <f t="shared" si="110"/>
        <v>0</v>
      </c>
      <c r="AH81">
        <f t="shared" si="111"/>
        <v>0</v>
      </c>
      <c r="AI81">
        <f t="shared" si="112"/>
        <v>0</v>
      </c>
      <c r="AJ81">
        <f t="shared" si="113"/>
        <v>0</v>
      </c>
      <c r="AK81">
        <f t="shared" si="114"/>
        <v>0</v>
      </c>
      <c r="AL81">
        <f t="shared" si="115"/>
        <v>0</v>
      </c>
      <c r="AM81">
        <f t="shared" si="116"/>
        <v>0</v>
      </c>
      <c r="AN81">
        <f t="shared" si="117"/>
        <v>0</v>
      </c>
      <c r="AO81">
        <f t="shared" si="118"/>
        <v>0</v>
      </c>
      <c r="AP81">
        <f t="shared" si="119"/>
        <v>0</v>
      </c>
      <c r="AQ81">
        <f t="shared" si="120"/>
        <v>0</v>
      </c>
      <c r="AR81">
        <f t="shared" si="121"/>
        <v>0</v>
      </c>
      <c r="AS81">
        <f t="shared" si="122"/>
        <v>16201.5</v>
      </c>
      <c r="AT81">
        <f t="shared" si="123"/>
        <v>0</v>
      </c>
      <c r="AU81">
        <f t="shared" si="124"/>
        <v>16201.5</v>
      </c>
      <c r="AV81" s="9">
        <f>AU81/(16*5*60*4)</f>
        <v>0.84382812500000004</v>
      </c>
    </row>
    <row r="82" spans="4:48" x14ac:dyDescent="0.3">
      <c r="D82" t="s">
        <v>104</v>
      </c>
      <c r="E82">
        <v>0</v>
      </c>
      <c r="F82">
        <v>0</v>
      </c>
      <c r="G82">
        <v>0</v>
      </c>
      <c r="H82">
        <v>0</v>
      </c>
      <c r="I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17.25</v>
      </c>
      <c r="Y82">
        <f t="shared" si="103"/>
        <v>17.25</v>
      </c>
      <c r="Z82" s="11" t="s">
        <v>104</v>
      </c>
      <c r="AA82">
        <f t="shared" si="104"/>
        <v>0</v>
      </c>
      <c r="AB82">
        <f t="shared" si="105"/>
        <v>0</v>
      </c>
      <c r="AC82">
        <f t="shared" si="106"/>
        <v>0</v>
      </c>
      <c r="AD82">
        <f t="shared" si="107"/>
        <v>0</v>
      </c>
      <c r="AE82">
        <f t="shared" si="108"/>
        <v>0</v>
      </c>
      <c r="AF82">
        <f t="shared" si="109"/>
        <v>0</v>
      </c>
      <c r="AG82">
        <f t="shared" si="110"/>
        <v>0</v>
      </c>
      <c r="AH82">
        <f t="shared" si="111"/>
        <v>0</v>
      </c>
      <c r="AI82">
        <f t="shared" si="112"/>
        <v>0</v>
      </c>
      <c r="AJ82">
        <f t="shared" si="113"/>
        <v>0</v>
      </c>
      <c r="AK82">
        <f t="shared" si="114"/>
        <v>0</v>
      </c>
      <c r="AL82">
        <f t="shared" si="115"/>
        <v>0</v>
      </c>
      <c r="AM82">
        <f t="shared" si="116"/>
        <v>0</v>
      </c>
      <c r="AN82">
        <f t="shared" si="117"/>
        <v>0</v>
      </c>
      <c r="AO82">
        <f t="shared" si="118"/>
        <v>0</v>
      </c>
      <c r="AP82">
        <f t="shared" si="119"/>
        <v>0</v>
      </c>
      <c r="AQ82">
        <f t="shared" si="120"/>
        <v>0</v>
      </c>
      <c r="AR82">
        <f t="shared" si="121"/>
        <v>0</v>
      </c>
      <c r="AS82">
        <f t="shared" si="122"/>
        <v>0</v>
      </c>
      <c r="AT82">
        <f t="shared" si="123"/>
        <v>26616.75</v>
      </c>
      <c r="AU82">
        <f t="shared" si="124"/>
        <v>26616.75</v>
      </c>
      <c r="AV82" s="9">
        <f>AU82/(16*5*60*6)</f>
        <v>0.92419270833333333</v>
      </c>
    </row>
  </sheetData>
  <phoneticPr fontId="1" type="noConversion"/>
  <pageMargins left="0.7" right="0.7" top="0.75" bottom="0.75" header="0.3" footer="0.3"/>
  <ignoredErrors>
    <ignoredError sqref="AV10:AV11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UTL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顏志軒</dc:creator>
  <cp:lastModifiedBy>志軒 顏</cp:lastModifiedBy>
  <dcterms:created xsi:type="dcterms:W3CDTF">2015-06-05T18:19:34Z</dcterms:created>
  <dcterms:modified xsi:type="dcterms:W3CDTF">2025-11-15T02:14:23Z</dcterms:modified>
</cp:coreProperties>
</file>
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60" windowHeight="14760" activeTab="3"/>
  </bookViews>
  <sheets>
    <sheet name="Year 1" sheetId="1" r:id="rId1"/>
    <sheet name="Year 2" sheetId="5" r:id="rId2"/>
    <sheet name="Year 3" sheetId="6" r:id="rId3"/>
    <sheet name="Year 4" sheetId="7" r:id="rId4"/>
    <sheet name="Year 5" sheetId="8" r:id="rId5"/>
  </sheets>
  <calcPr calcId="144525"/>
</workbook>
</file>

<file path=xl/sharedStrings.xml><?xml version="1.0" encoding="utf-8"?>
<sst xmlns="http://schemas.openxmlformats.org/spreadsheetml/2006/main" count="865" uniqueCount="70">
  <si>
    <t>Part</t>
  </si>
  <si>
    <t>Process Time (minutes/unit)</t>
  </si>
  <si>
    <t xml:space="preserve">Parts per Assembled Product Unit Demanded in Year +1 </t>
  </si>
  <si>
    <t>Step 1</t>
  </si>
  <si>
    <t>Step 2</t>
  </si>
  <si>
    <t>Step 3</t>
  </si>
  <si>
    <t>Step 4</t>
  </si>
  <si>
    <t>Step 5</t>
  </si>
  <si>
    <t>Step 6</t>
  </si>
  <si>
    <t>Step 7</t>
  </si>
  <si>
    <t>sum</t>
  </si>
  <si>
    <t>A1</t>
  </si>
  <si>
    <t>A2</t>
  </si>
  <si>
    <t>A3</t>
  </si>
  <si>
    <t>B1</t>
  </si>
  <si>
    <t>B2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</si>
  <si>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</si>
  <si>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</si>
  <si>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</si>
  <si>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</si>
  <si>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</si>
  <si>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</si>
  <si>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</si>
  <si>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</si>
  <si>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</si>
  <si>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</si>
  <si>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</si>
  <si>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</si>
  <si>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</si>
  <si>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</si>
  <si>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</si>
  <si>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</si>
  <si>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</si>
  <si>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</si>
  <si>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</si>
  <si>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</si>
  <si>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Year +1 Demand Forecast for Each Product of Clients A and B</t>
  </si>
  <si>
    <t>standard deviation annual</t>
  </si>
  <si>
    <t>week</t>
  </si>
  <si>
    <t>Year</t>
  </si>
  <si>
    <t>Total</t>
  </si>
  <si>
    <t>+1</t>
  </si>
  <si>
    <t>Standard Deviation on Year +1  Demand Forecast for Each Product of Clients A and B</t>
  </si>
  <si>
    <t>Overall</t>
  </si>
  <si>
    <t>Year +1  Weekly Demand Forecast for Each Product of Clients A and B</t>
  </si>
  <si>
    <t>Expected Coefficient of Variation of Weekly Year +1 Demand for Each Product of Clients A and B</t>
  </si>
  <si>
    <t>Average</t>
  </si>
  <si>
    <t>Parts</t>
  </si>
  <si>
    <t>Annual Avg Demand (units)</t>
  </si>
  <si>
    <t>Annual Avg Time (minutes)</t>
  </si>
  <si>
    <t>Annual Robust Demand (units)</t>
  </si>
  <si>
    <t>Annual Robust Time (minutes)</t>
  </si>
  <si>
    <t>Weekly Avg Demand (units)</t>
  </si>
  <si>
    <t>Weekly Avg Time (minutes)</t>
  </si>
  <si>
    <t>Weekly Robust Demand (units)</t>
  </si>
  <si>
    <t>Weekly Robust Time (minutes)</t>
  </si>
  <si>
    <t>Sum</t>
  </si>
  <si>
    <t>Number of Parts per Assembled Product Unit Planned to be Demanded in 2026-2029 by Clients A and B</t>
  </si>
  <si>
    <t>A4</t>
  </si>
  <si>
    <t>B3</t>
  </si>
  <si>
    <t>B4</t>
  </si>
  <si>
    <t>Yearly Demand Forecast for Each Product in the +2 to +5 Year Horizon</t>
  </si>
  <si>
    <t>+2</t>
  </si>
  <si>
    <t>+3</t>
  </si>
  <si>
    <t>+4</t>
  </si>
  <si>
    <t>+5</t>
  </si>
  <si>
    <t>Standard Deviation on Each Year's Demand Forecast for Each Product in the +2 to +5 Year Horizon</t>
  </si>
  <si>
    <t>Expected Average Weekly Demand for Each Product in the +2 to +5 Year Horizon</t>
  </si>
  <si>
    <t>Expected Coefficient of Variation of Weekly Demand for Each Product in the +2 to +5 Year Horizon</t>
  </si>
  <si>
    <t>Weekly Robust Time (minutes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</si>
</sst>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i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9" applyNumberFormat="0" applyAlignment="0" applyProtection="0">
      <alignment vertical="center"/>
    </xf>
    <xf numFmtId="0" fontId="14" fillId="8" borderId="20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6" fillId="9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3" borderId="7" xfId="0" applyFont="1" applyFill="1" applyBorder="1" applyAlignment="1">
      <alignment horizontal="center"/>
    </xf>
    <xf numFmtId="1" fontId="0" fillId="4" borderId="10" xfId="0" applyNumberFormat="1" applyFont="1" applyFill="1" applyBorder="1" applyAlignment="1">
      <alignment horizontal="center"/>
    </xf>
    <xf numFmtId="1" fontId="0" fillId="4" borderId="0" xfId="0" applyNumberFormat="1" applyFont="1" applyFill="1" applyAlignment="1">
      <alignment horizontal="center"/>
    </xf>
    <xf numFmtId="1" fontId="0" fillId="4" borderId="11" xfId="0" applyNumberFormat="1" applyFont="1" applyFill="1" applyBorder="1" applyAlignment="1">
      <alignment horizontal="center"/>
    </xf>
    <xf numFmtId="1" fontId="0" fillId="4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9" fontId="0" fillId="4" borderId="1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Alignment="1">
      <alignment horizontal="center"/>
    </xf>
    <xf numFmtId="9" fontId="0" fillId="4" borderId="11" xfId="0" applyNumberFormat="1" applyFont="1" applyFill="1" applyBorder="1" applyAlignment="1">
      <alignment horizontal="center"/>
    </xf>
    <xf numFmtId="9" fontId="0" fillId="4" borderId="5" xfId="0" applyNumberFormat="1" applyFont="1" applyFill="1" applyBorder="1" applyAlignment="1">
      <alignment horizontal="center"/>
    </xf>
    <xf numFmtId="2" fontId="0" fillId="0" borderId="0" xfId="0" applyNumberFormat="1"/>
    <xf numFmtId="0" fontId="1" fillId="2" borderId="12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15" xfId="0" applyFont="1" applyFill="1" applyBorder="1" applyAlignment="1">
      <alignment horizontal="center"/>
    </xf>
    <xf numFmtId="0" fontId="0" fillId="4" borderId="14" xfId="0" applyFont="1" applyFill="1" applyBorder="1" applyAlignment="1"/>
    <xf numFmtId="0" fontId="0" fillId="4" borderId="13" xfId="0" applyFont="1" applyFill="1" applyBorder="1" applyAlignment="1"/>
    <xf numFmtId="1" fontId="0" fillId="4" borderId="14" xfId="0" applyNumberFormat="1" applyFont="1" applyFill="1" applyBorder="1" applyAlignment="1">
      <alignment horizontal="center"/>
    </xf>
    <xf numFmtId="1" fontId="0" fillId="4" borderId="13" xfId="0" applyNumberFormat="1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9" fontId="0" fillId="4" borderId="14" xfId="0" applyNumberFormat="1" applyFont="1" applyFill="1" applyBorder="1" applyAlignment="1">
      <alignment horizontal="center"/>
    </xf>
    <xf numFmtId="9" fontId="0" fillId="4" borderId="13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1" fontId="0" fillId="4" borderId="7" xfId="0" applyNumberFormat="1" applyFont="1" applyFill="1" applyBorder="1" applyAlignment="1">
      <alignment horizontal="center"/>
    </xf>
    <xf numFmtId="1" fontId="0" fillId="4" borderId="8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9" fontId="0" fillId="4" borderId="7" xfId="0" applyNumberFormat="1" applyFont="1" applyFill="1" applyBorder="1" applyAlignment="1">
      <alignment horizontal="center"/>
    </xf>
    <xf numFmtId="9" fontId="0" fillId="4" borderId="8" xfId="0" applyNumberFormat="1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1" fontId="3" fillId="4" borderId="15" xfId="0" applyNumberFormat="1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3" borderId="9" xfId="0" applyFont="1" applyFill="1" applyBorder="1" applyAlignment="1" quotePrefix="1">
      <alignment horizontal="center"/>
    </xf>
    <xf numFmtId="0" fontId="0" fillId="3" borderId="4" xfId="0" applyFont="1" applyFill="1" applyBorder="1" applyAlignment="1" quotePrefix="1">
      <alignment horizontal="center"/>
    </xf>
    <xf numFmtId="0" fontId="0" fillId="3" borderId="6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Year_1_Annual Robust Demand (units)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1'!$C$83</c:f>
              <c:strCache>
                <c:ptCount val="1"/>
                <c:pt idx="0">
                  <c:v>Annual Robust Demand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1'!$B$84:$B$103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P14</c:v>
                </c:pt>
                <c:pt idx="3">
                  <c:v>P20</c:v>
                </c:pt>
                <c:pt idx="4">
                  <c:v>P7</c:v>
                </c:pt>
                <c:pt idx="5">
                  <c:v>P16</c:v>
                </c:pt>
                <c:pt idx="6">
                  <c:v>P18</c:v>
                </c:pt>
                <c:pt idx="7">
                  <c:v>P2</c:v>
                </c:pt>
                <c:pt idx="8">
                  <c:v>P12</c:v>
                </c:pt>
                <c:pt idx="9">
                  <c:v>P4</c:v>
                </c:pt>
                <c:pt idx="10">
                  <c:v>P9</c:v>
                </c:pt>
                <c:pt idx="11">
                  <c:v>P11</c:v>
                </c:pt>
                <c:pt idx="12">
                  <c:v>P5</c:v>
                </c:pt>
                <c:pt idx="13">
                  <c:v>P3</c:v>
                </c:pt>
                <c:pt idx="14">
                  <c:v>P13</c:v>
                </c:pt>
                <c:pt idx="15">
                  <c:v>P17</c:v>
                </c:pt>
                <c:pt idx="16">
                  <c:v>P8</c:v>
                </c:pt>
                <c:pt idx="17">
                  <c:v>P10</c:v>
                </c:pt>
                <c:pt idx="18">
                  <c:v>P6</c:v>
                </c:pt>
                <c:pt idx="19">
                  <c:v>P15</c:v>
                </c:pt>
              </c:strCache>
            </c:strRef>
          </c:cat>
          <c:val>
            <c:numRef>
              <c:f>'Year 1'!$C$84:$C$103</c:f>
              <c:numCache>
                <c:formatCode>General</c:formatCode>
                <c:ptCount val="20"/>
                <c:pt idx="0">
                  <c:v>3897840</c:v>
                </c:pt>
                <c:pt idx="1">
                  <c:v>3719040</c:v>
                </c:pt>
                <c:pt idx="2">
                  <c:v>3361440</c:v>
                </c:pt>
                <c:pt idx="3">
                  <c:v>2753520</c:v>
                </c:pt>
                <c:pt idx="4">
                  <c:v>2574720</c:v>
                </c:pt>
                <c:pt idx="5">
                  <c:v>2217120</c:v>
                </c:pt>
                <c:pt idx="6">
                  <c:v>2217120</c:v>
                </c:pt>
                <c:pt idx="7">
                  <c:v>2074080</c:v>
                </c:pt>
                <c:pt idx="8">
                  <c:v>1859520</c:v>
                </c:pt>
                <c:pt idx="9">
                  <c:v>1716480</c:v>
                </c:pt>
                <c:pt idx="10">
                  <c:v>1644960</c:v>
                </c:pt>
                <c:pt idx="11">
                  <c:v>1501920</c:v>
                </c:pt>
                <c:pt idx="12">
                  <c:v>1287360</c:v>
                </c:pt>
                <c:pt idx="13">
                  <c:v>1144320</c:v>
                </c:pt>
                <c:pt idx="14">
                  <c:v>929760</c:v>
                </c:pt>
                <c:pt idx="15">
                  <c:v>929760</c:v>
                </c:pt>
                <c:pt idx="16">
                  <c:v>858240</c:v>
                </c:pt>
                <c:pt idx="17">
                  <c:v>858240</c:v>
                </c:pt>
                <c:pt idx="18">
                  <c:v>750960</c:v>
                </c:pt>
                <c:pt idx="19">
                  <c:v>429120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41141"/>
        <c:axId val="76702936"/>
      </c:barChart>
      <c:catAx>
        <c:axId val="974041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2936"/>
        <c:crosses val="autoZero"/>
        <c:auto val="1"/>
        <c:lblAlgn val="ctr"/>
        <c:lblOffset val="100"/>
        <c:noMultiLvlLbl val="0"/>
      </c:catAx>
      <c:valAx>
        <c:axId val="7670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41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Year_!_Annual Robust Time (minutes)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1'!$F$83</c:f>
              <c:strCache>
                <c:ptCount val="1"/>
                <c:pt idx="0">
                  <c:v>Annual Robust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1'!$E$84:$E$103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P7</c:v>
                </c:pt>
                <c:pt idx="3">
                  <c:v>P16</c:v>
                </c:pt>
                <c:pt idx="4">
                  <c:v>P2</c:v>
                </c:pt>
                <c:pt idx="5">
                  <c:v>P14</c:v>
                </c:pt>
                <c:pt idx="6">
                  <c:v>P20</c:v>
                </c:pt>
                <c:pt idx="7">
                  <c:v>P9</c:v>
                </c:pt>
                <c:pt idx="8">
                  <c:v>P18</c:v>
                </c:pt>
                <c:pt idx="9">
                  <c:v>P4</c:v>
                </c:pt>
                <c:pt idx="10">
                  <c:v>P12</c:v>
                </c:pt>
                <c:pt idx="11">
                  <c:v>P3</c:v>
                </c:pt>
                <c:pt idx="12">
                  <c:v>P5</c:v>
                </c:pt>
                <c:pt idx="13">
                  <c:v>P6</c:v>
                </c:pt>
                <c:pt idx="14">
                  <c:v>P13</c:v>
                </c:pt>
                <c:pt idx="15">
                  <c:v>P17</c:v>
                </c:pt>
                <c:pt idx="16">
                  <c:v>P11</c:v>
                </c:pt>
                <c:pt idx="17">
                  <c:v>P10</c:v>
                </c:pt>
                <c:pt idx="18">
                  <c:v>P8</c:v>
                </c:pt>
                <c:pt idx="19">
                  <c:v>P15</c:v>
                </c:pt>
              </c:strCache>
            </c:strRef>
          </c:cat>
          <c:val>
            <c:numRef>
              <c:f>'Year 1'!$F$84:$F$103</c:f>
              <c:numCache>
                <c:formatCode>General</c:formatCode>
                <c:ptCount val="20"/>
                <c:pt idx="0">
                  <c:v>56346326.5306122</c:v>
                </c:pt>
                <c:pt idx="1">
                  <c:v>44274285.7142857</c:v>
                </c:pt>
                <c:pt idx="2">
                  <c:v>29191836.7346939</c:v>
                </c:pt>
                <c:pt idx="3">
                  <c:v>25137414.9659864</c:v>
                </c:pt>
                <c:pt idx="4">
                  <c:v>18224625.8503401</c:v>
                </c:pt>
                <c:pt idx="5">
                  <c:v>18102993.1972789</c:v>
                </c:pt>
                <c:pt idx="6">
                  <c:v>17950952.3809524</c:v>
                </c:pt>
                <c:pt idx="7">
                  <c:v>15852789.1156463</c:v>
                </c:pt>
                <c:pt idx="8">
                  <c:v>15710884.3537415</c:v>
                </c:pt>
                <c:pt idx="9">
                  <c:v>14595918.3673469</c:v>
                </c:pt>
                <c:pt idx="10">
                  <c:v>12649795.9183673</c:v>
                </c:pt>
                <c:pt idx="11">
                  <c:v>12325442.1768707</c:v>
                </c:pt>
                <c:pt idx="12">
                  <c:v>10946938.7755102</c:v>
                </c:pt>
                <c:pt idx="13">
                  <c:v>8940000</c:v>
                </c:pt>
                <c:pt idx="14">
                  <c:v>7906122.44897959</c:v>
                </c:pt>
                <c:pt idx="15">
                  <c:v>7642585.03401361</c:v>
                </c:pt>
                <c:pt idx="16">
                  <c:v>6811428.57142857</c:v>
                </c:pt>
                <c:pt idx="17">
                  <c:v>6324897.95918367</c:v>
                </c:pt>
                <c:pt idx="18">
                  <c:v>4622040.81632653</c:v>
                </c:pt>
                <c:pt idx="19">
                  <c:v>3648979.59183673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28597"/>
        <c:axId val="558624696"/>
      </c:barChart>
      <c:catAx>
        <c:axId val="8248285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624696"/>
        <c:crosses val="autoZero"/>
        <c:auto val="1"/>
        <c:lblAlgn val="ctr"/>
        <c:lblOffset val="100"/>
        <c:noMultiLvlLbl val="0"/>
      </c:catAx>
      <c:valAx>
        <c:axId val="5586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285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Year_1_Annual Robust Demand (units)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2'!$C$85</c:f>
              <c:strCache>
                <c:ptCount val="1"/>
                <c:pt idx="0">
                  <c:v>Annual Robust Demand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2'!$B$86:$B$105</c:f>
              <c:strCache>
                <c:ptCount val="2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'Year 2'!$C$86:$C$105</c:f>
              <c:numCache>
                <c:formatCode>General</c:formatCode>
                <c:ptCount val="20"/>
                <c:pt idx="0">
                  <c:v>1422215.30059917</c:v>
                </c:pt>
                <c:pt idx="1">
                  <c:v>841202.365372339</c:v>
                </c:pt>
                <c:pt idx="2">
                  <c:v>692815.995346661</c:v>
                </c:pt>
                <c:pt idx="3">
                  <c:v>558263.700256786</c:v>
                </c:pt>
                <c:pt idx="4">
                  <c:v>486948.540222548</c:v>
                </c:pt>
                <c:pt idx="5">
                  <c:v>465867.455124113</c:v>
                </c:pt>
                <c:pt idx="6">
                  <c:v>908056.885269625</c:v>
                </c:pt>
                <c:pt idx="7">
                  <c:v>668300.835312423</c:v>
                </c:pt>
                <c:pt idx="8">
                  <c:v>622521.280273905</c:v>
                </c:pt>
                <c:pt idx="9">
                  <c:v>370782.615158351</c:v>
                </c:pt>
                <c:pt idx="10">
                  <c:v>827551.600342381</c:v>
                </c:pt>
                <c:pt idx="11">
                  <c:v>990981.920410857</c:v>
                </c:pt>
                <c:pt idx="12">
                  <c:v>495490.960205429</c:v>
                </c:pt>
                <c:pt idx="13">
                  <c:v>1329354.66046221</c:v>
                </c:pt>
                <c:pt idx="14">
                  <c:v>330111.405166911</c:v>
                </c:pt>
                <c:pt idx="15">
                  <c:v>699036.440308143</c:v>
                </c:pt>
                <c:pt idx="16">
                  <c:v>587141.725235387</c:v>
                </c:pt>
                <c:pt idx="17">
                  <c:v>959409.1803595</c:v>
                </c:pt>
                <c:pt idx="18">
                  <c:v>1404293.32557777</c:v>
                </c:pt>
                <c:pt idx="19">
                  <c:v>1146425.87045365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41141"/>
        <c:axId val="76702936"/>
      </c:barChart>
      <c:catAx>
        <c:axId val="974041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2936"/>
        <c:crosses val="autoZero"/>
        <c:auto val="1"/>
        <c:lblAlgn val="ctr"/>
        <c:lblOffset val="100"/>
        <c:noMultiLvlLbl val="0"/>
      </c:catAx>
      <c:valAx>
        <c:axId val="7670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41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Year_!_Annual Robust Time (minutes)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2'!$F$85</c:f>
              <c:strCache>
                <c:ptCount val="1"/>
                <c:pt idx="0">
                  <c:v>Annual Robust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2'!$E$86:$E$105</c:f>
              <c:strCache>
                <c:ptCount val="2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'Year 2'!$F$86:$F$105</c:f>
              <c:numCache>
                <c:formatCode>General</c:formatCode>
                <c:ptCount val="20"/>
                <c:pt idx="0">
                  <c:v>20559234.787573</c:v>
                </c:pt>
                <c:pt idx="1">
                  <c:v>7391517.38280684</c:v>
                </c:pt>
                <c:pt idx="2">
                  <c:v>7462303.80475428</c:v>
                </c:pt>
                <c:pt idx="3">
                  <c:v>4747140.308306</c:v>
                </c:pt>
                <c:pt idx="4">
                  <c:v>4140718.87944343</c:v>
                </c:pt>
                <c:pt idx="5">
                  <c:v>5546041.13242992</c:v>
                </c:pt>
                <c:pt idx="6">
                  <c:v>10295429.5382044</c:v>
                </c:pt>
                <c:pt idx="7">
                  <c:v>3599125.81375738</c:v>
                </c:pt>
                <c:pt idx="8">
                  <c:v>5999354.7418687</c:v>
                </c:pt>
                <c:pt idx="9">
                  <c:v>2732524.94164318</c:v>
                </c:pt>
                <c:pt idx="10">
                  <c:v>3753068.48227837</c:v>
                </c:pt>
                <c:pt idx="11">
                  <c:v>6741373.60823712</c:v>
                </c:pt>
                <c:pt idx="12">
                  <c:v>4213358.5051482</c:v>
                </c:pt>
                <c:pt idx="13">
                  <c:v>7159222.94466612</c:v>
                </c:pt>
                <c:pt idx="14">
                  <c:v>2807069.77182747</c:v>
                </c:pt>
                <c:pt idx="15">
                  <c:v>7925583.22344833</c:v>
                </c:pt>
                <c:pt idx="16">
                  <c:v>4826278.35369224</c:v>
                </c:pt>
                <c:pt idx="17">
                  <c:v>6798534.44132299</c:v>
                </c:pt>
                <c:pt idx="18">
                  <c:v>16717777.6854496</c:v>
                </c:pt>
                <c:pt idx="19">
                  <c:v>7473864.80171033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28597"/>
        <c:axId val="558624696"/>
      </c:barChart>
      <c:catAx>
        <c:axId val="8248285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624696"/>
        <c:crosses val="autoZero"/>
        <c:auto val="1"/>
        <c:lblAlgn val="ctr"/>
        <c:lblOffset val="100"/>
        <c:noMultiLvlLbl val="0"/>
      </c:catAx>
      <c:valAx>
        <c:axId val="5586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285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Year_1_Annual Robust Demand (units)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3'!$C$85</c:f>
              <c:strCache>
                <c:ptCount val="1"/>
                <c:pt idx="0">
                  <c:v>Annual Robust Demand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3'!$B$86:$B$105</c:f>
              <c:strCache>
                <c:ptCount val="2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'Year 3'!$C$86:$C$105</c:f>
              <c:numCache>
                <c:formatCode>General</c:formatCode>
                <c:ptCount val="20"/>
                <c:pt idx="0">
                  <c:v>1494274.71668819</c:v>
                </c:pt>
                <c:pt idx="1">
                  <c:v>836002.365372339</c:v>
                </c:pt>
                <c:pt idx="2">
                  <c:v>921615.995346661</c:v>
                </c:pt>
                <c:pt idx="3">
                  <c:v>573863.700256786</c:v>
                </c:pt>
                <c:pt idx="4">
                  <c:v>533748.540222548</c:v>
                </c:pt>
                <c:pt idx="5">
                  <c:v>528267.455124113</c:v>
                </c:pt>
                <c:pt idx="6">
                  <c:v>908056.885269625</c:v>
                </c:pt>
                <c:pt idx="7">
                  <c:v>860700.835312423</c:v>
                </c:pt>
                <c:pt idx="8">
                  <c:v>669321.280273905</c:v>
                </c:pt>
                <c:pt idx="9">
                  <c:v>391582.615158351</c:v>
                </c:pt>
                <c:pt idx="10">
                  <c:v>1014751.60034238</c:v>
                </c:pt>
                <c:pt idx="11">
                  <c:v>1172981.92041086</c:v>
                </c:pt>
                <c:pt idx="12">
                  <c:v>573490.960205429</c:v>
                </c:pt>
                <c:pt idx="13">
                  <c:v>1360554.66046221</c:v>
                </c:pt>
                <c:pt idx="14">
                  <c:v>418511.405166911</c:v>
                </c:pt>
                <c:pt idx="15">
                  <c:v>714636.440308143</c:v>
                </c:pt>
                <c:pt idx="16">
                  <c:v>706741.725235387</c:v>
                </c:pt>
                <c:pt idx="17">
                  <c:v>1037409.1803595</c:v>
                </c:pt>
                <c:pt idx="18">
                  <c:v>1497893.32557777</c:v>
                </c:pt>
                <c:pt idx="19">
                  <c:v>1219225.87045365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41141"/>
        <c:axId val="76702936"/>
      </c:barChart>
      <c:catAx>
        <c:axId val="974041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2936"/>
        <c:crosses val="autoZero"/>
        <c:auto val="1"/>
        <c:lblAlgn val="ctr"/>
        <c:lblOffset val="100"/>
        <c:noMultiLvlLbl val="0"/>
      </c:catAx>
      <c:valAx>
        <c:axId val="7670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41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Year_!_Annual Robust Time (minutes)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3'!$F$85</c:f>
              <c:strCache>
                <c:ptCount val="1"/>
                <c:pt idx="0">
                  <c:v>Annual Robust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3'!$E$86:$E$105</c:f>
              <c:strCache>
                <c:ptCount val="2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'Year 3'!$F$86:$F$105</c:f>
              <c:numCache>
                <c:formatCode>General</c:formatCode>
                <c:ptCount val="20"/>
                <c:pt idx="0">
                  <c:v>21600910.0201523</c:v>
                </c:pt>
                <c:pt idx="1">
                  <c:v>7345825.77282951</c:v>
                </c:pt>
                <c:pt idx="2">
                  <c:v>9926702.8977248</c:v>
                </c:pt>
                <c:pt idx="3">
                  <c:v>4879793.36953049</c:v>
                </c:pt>
                <c:pt idx="4">
                  <c:v>4538678.0631169</c:v>
                </c:pt>
                <c:pt idx="5">
                  <c:v>6288898.27528706</c:v>
                </c:pt>
                <c:pt idx="6">
                  <c:v>10295429.5382044</c:v>
                </c:pt>
                <c:pt idx="7">
                  <c:v>4635293.61421089</c:v>
                </c:pt>
                <c:pt idx="8">
                  <c:v>6450375.15003196</c:v>
                </c:pt>
                <c:pt idx="9">
                  <c:v>2885812.92350259</c:v>
                </c:pt>
                <c:pt idx="10">
                  <c:v>4602048.07411511</c:v>
                </c:pt>
                <c:pt idx="11">
                  <c:v>7979468.84633236</c:v>
                </c:pt>
                <c:pt idx="12">
                  <c:v>4876623.81127065</c:v>
                </c:pt>
                <c:pt idx="13">
                  <c:v>7327250.15555047</c:v>
                </c:pt>
                <c:pt idx="14">
                  <c:v>3558770.45209958</c:v>
                </c:pt>
                <c:pt idx="15">
                  <c:v>8102453.97174765</c:v>
                </c:pt>
                <c:pt idx="16">
                  <c:v>5809384.92965596</c:v>
                </c:pt>
                <c:pt idx="17">
                  <c:v>7351255.52975836</c:v>
                </c:pt>
                <c:pt idx="18">
                  <c:v>17832063.3997353</c:v>
                </c:pt>
                <c:pt idx="19">
                  <c:v>7948467.97631351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28597"/>
        <c:axId val="558624696"/>
      </c:barChart>
      <c:catAx>
        <c:axId val="8248285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624696"/>
        <c:crosses val="autoZero"/>
        <c:auto val="1"/>
        <c:lblAlgn val="ctr"/>
        <c:lblOffset val="100"/>
        <c:noMultiLvlLbl val="0"/>
      </c:catAx>
      <c:valAx>
        <c:axId val="5586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285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Year_1_Annual Robust Demand (units)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4'!$C$85</c:f>
              <c:strCache>
                <c:ptCount val="1"/>
                <c:pt idx="0">
                  <c:v>Annual Robust Demand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4'!$B$86:$B$105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P14</c:v>
                </c:pt>
                <c:pt idx="3">
                  <c:v>P20</c:v>
                </c:pt>
                <c:pt idx="4">
                  <c:v>P7</c:v>
                </c:pt>
                <c:pt idx="5">
                  <c:v>P16</c:v>
                </c:pt>
                <c:pt idx="6">
                  <c:v>P18</c:v>
                </c:pt>
                <c:pt idx="7">
                  <c:v>P2</c:v>
                </c:pt>
                <c:pt idx="8">
                  <c:v>P12</c:v>
                </c:pt>
                <c:pt idx="9">
                  <c:v>P4</c:v>
                </c:pt>
                <c:pt idx="10">
                  <c:v>P9</c:v>
                </c:pt>
                <c:pt idx="11">
                  <c:v>P11</c:v>
                </c:pt>
                <c:pt idx="12">
                  <c:v>P5</c:v>
                </c:pt>
                <c:pt idx="13">
                  <c:v>P3</c:v>
                </c:pt>
                <c:pt idx="14">
                  <c:v>P13</c:v>
                </c:pt>
                <c:pt idx="15">
                  <c:v>P17</c:v>
                </c:pt>
                <c:pt idx="16">
                  <c:v>P8</c:v>
                </c:pt>
                <c:pt idx="17">
                  <c:v>P10</c:v>
                </c:pt>
                <c:pt idx="18">
                  <c:v>P6</c:v>
                </c:pt>
                <c:pt idx="19">
                  <c:v>P15</c:v>
                </c:pt>
              </c:strCache>
            </c:strRef>
          </c:cat>
          <c:val>
            <c:numRef>
              <c:f>'Year 4'!$C$86:$C$105</c:f>
              <c:numCache>
                <c:formatCode>General</c:formatCode>
                <c:ptCount val="20"/>
                <c:pt idx="0">
                  <c:v>3897840</c:v>
                </c:pt>
                <c:pt idx="1">
                  <c:v>3719040</c:v>
                </c:pt>
                <c:pt idx="2">
                  <c:v>3361440</c:v>
                </c:pt>
                <c:pt idx="3">
                  <c:v>2753520</c:v>
                </c:pt>
                <c:pt idx="4">
                  <c:v>2574720</c:v>
                </c:pt>
                <c:pt idx="5">
                  <c:v>2217120</c:v>
                </c:pt>
                <c:pt idx="6">
                  <c:v>2217120</c:v>
                </c:pt>
                <c:pt idx="7">
                  <c:v>2074080</c:v>
                </c:pt>
                <c:pt idx="8">
                  <c:v>1859520</c:v>
                </c:pt>
                <c:pt idx="9">
                  <c:v>1716480</c:v>
                </c:pt>
                <c:pt idx="10">
                  <c:v>1644960</c:v>
                </c:pt>
                <c:pt idx="11">
                  <c:v>1501920</c:v>
                </c:pt>
                <c:pt idx="12">
                  <c:v>1287360</c:v>
                </c:pt>
                <c:pt idx="13">
                  <c:v>1144320</c:v>
                </c:pt>
                <c:pt idx="14">
                  <c:v>929760</c:v>
                </c:pt>
                <c:pt idx="15">
                  <c:v>929760</c:v>
                </c:pt>
                <c:pt idx="16">
                  <c:v>858240</c:v>
                </c:pt>
                <c:pt idx="17">
                  <c:v>858240</c:v>
                </c:pt>
                <c:pt idx="18">
                  <c:v>750960</c:v>
                </c:pt>
                <c:pt idx="19">
                  <c:v>429120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41141"/>
        <c:axId val="76702936"/>
      </c:barChart>
      <c:catAx>
        <c:axId val="974041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2936"/>
        <c:crosses val="autoZero"/>
        <c:auto val="1"/>
        <c:lblAlgn val="ctr"/>
        <c:lblOffset val="100"/>
        <c:noMultiLvlLbl val="0"/>
      </c:catAx>
      <c:valAx>
        <c:axId val="7670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41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Year_!_Annual Robust Time (minutes)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4'!$F$85</c:f>
              <c:strCache>
                <c:ptCount val="1"/>
                <c:pt idx="0">
                  <c:v>Annual Robust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4'!$E$86:$E$105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P7</c:v>
                </c:pt>
                <c:pt idx="3">
                  <c:v>P16</c:v>
                </c:pt>
                <c:pt idx="4">
                  <c:v>P2</c:v>
                </c:pt>
                <c:pt idx="5">
                  <c:v>P14</c:v>
                </c:pt>
                <c:pt idx="6">
                  <c:v>P20</c:v>
                </c:pt>
                <c:pt idx="7">
                  <c:v>P9</c:v>
                </c:pt>
                <c:pt idx="8">
                  <c:v>P18</c:v>
                </c:pt>
                <c:pt idx="9">
                  <c:v>P4</c:v>
                </c:pt>
                <c:pt idx="10">
                  <c:v>P12</c:v>
                </c:pt>
                <c:pt idx="11">
                  <c:v>P3</c:v>
                </c:pt>
                <c:pt idx="12">
                  <c:v>P5</c:v>
                </c:pt>
                <c:pt idx="13">
                  <c:v>P6</c:v>
                </c:pt>
                <c:pt idx="14">
                  <c:v>P13</c:v>
                </c:pt>
                <c:pt idx="15">
                  <c:v>P17</c:v>
                </c:pt>
                <c:pt idx="16">
                  <c:v>P11</c:v>
                </c:pt>
                <c:pt idx="17">
                  <c:v>P10</c:v>
                </c:pt>
                <c:pt idx="18">
                  <c:v>P8</c:v>
                </c:pt>
                <c:pt idx="19">
                  <c:v>P15</c:v>
                </c:pt>
              </c:strCache>
            </c:strRef>
          </c:cat>
          <c:val>
            <c:numRef>
              <c:f>'Year 4'!$F$86:$F$105</c:f>
              <c:numCache>
                <c:formatCode>General</c:formatCode>
                <c:ptCount val="20"/>
                <c:pt idx="0">
                  <c:v>56346326.5306122</c:v>
                </c:pt>
                <c:pt idx="1">
                  <c:v>44274285.7142857</c:v>
                </c:pt>
                <c:pt idx="2">
                  <c:v>29191836.7346939</c:v>
                </c:pt>
                <c:pt idx="3">
                  <c:v>25137414.9659864</c:v>
                </c:pt>
                <c:pt idx="4">
                  <c:v>18224625.8503401</c:v>
                </c:pt>
                <c:pt idx="5">
                  <c:v>18102993.1972789</c:v>
                </c:pt>
                <c:pt idx="6">
                  <c:v>17950952.3809524</c:v>
                </c:pt>
                <c:pt idx="7">
                  <c:v>15852789.1156463</c:v>
                </c:pt>
                <c:pt idx="8">
                  <c:v>15710884.3537415</c:v>
                </c:pt>
                <c:pt idx="9">
                  <c:v>14595918.3673469</c:v>
                </c:pt>
                <c:pt idx="10">
                  <c:v>12649795.9183673</c:v>
                </c:pt>
                <c:pt idx="11">
                  <c:v>12325442.1768707</c:v>
                </c:pt>
                <c:pt idx="12">
                  <c:v>10946938.7755102</c:v>
                </c:pt>
                <c:pt idx="13">
                  <c:v>8940000</c:v>
                </c:pt>
                <c:pt idx="14">
                  <c:v>7906122.44897959</c:v>
                </c:pt>
                <c:pt idx="15">
                  <c:v>7642585.03401361</c:v>
                </c:pt>
                <c:pt idx="16">
                  <c:v>6811428.57142857</c:v>
                </c:pt>
                <c:pt idx="17">
                  <c:v>6324897.95918367</c:v>
                </c:pt>
                <c:pt idx="18">
                  <c:v>4622040.81632653</c:v>
                </c:pt>
                <c:pt idx="19">
                  <c:v>3648979.59183673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28597"/>
        <c:axId val="558624696"/>
      </c:barChart>
      <c:catAx>
        <c:axId val="8248285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624696"/>
        <c:crosses val="autoZero"/>
        <c:auto val="1"/>
        <c:lblAlgn val="ctr"/>
        <c:lblOffset val="100"/>
        <c:noMultiLvlLbl val="0"/>
      </c:catAx>
      <c:valAx>
        <c:axId val="5586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285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Year_1_Annual Robust Demand (units)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5'!$C$85</c:f>
              <c:strCache>
                <c:ptCount val="1"/>
                <c:pt idx="0">
                  <c:v>Annual Robust Demand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5'!$B$86:$B$105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P14</c:v>
                </c:pt>
                <c:pt idx="3">
                  <c:v>P20</c:v>
                </c:pt>
                <c:pt idx="4">
                  <c:v>P7</c:v>
                </c:pt>
                <c:pt idx="5">
                  <c:v>P16</c:v>
                </c:pt>
                <c:pt idx="6">
                  <c:v>P18</c:v>
                </c:pt>
                <c:pt idx="7">
                  <c:v>P2</c:v>
                </c:pt>
                <c:pt idx="8">
                  <c:v>P12</c:v>
                </c:pt>
                <c:pt idx="9">
                  <c:v>P4</c:v>
                </c:pt>
                <c:pt idx="10">
                  <c:v>P9</c:v>
                </c:pt>
                <c:pt idx="11">
                  <c:v>P11</c:v>
                </c:pt>
                <c:pt idx="12">
                  <c:v>P5</c:v>
                </c:pt>
                <c:pt idx="13">
                  <c:v>P3</c:v>
                </c:pt>
                <c:pt idx="14">
                  <c:v>P13</c:v>
                </c:pt>
                <c:pt idx="15">
                  <c:v>P17</c:v>
                </c:pt>
                <c:pt idx="16">
                  <c:v>P8</c:v>
                </c:pt>
                <c:pt idx="17">
                  <c:v>P10</c:v>
                </c:pt>
                <c:pt idx="18">
                  <c:v>P6</c:v>
                </c:pt>
                <c:pt idx="19">
                  <c:v>P15</c:v>
                </c:pt>
              </c:strCache>
            </c:strRef>
          </c:cat>
          <c:val>
            <c:numRef>
              <c:f>'Year 5'!$C$86:$C$105</c:f>
              <c:numCache>
                <c:formatCode>General</c:formatCode>
                <c:ptCount val="20"/>
                <c:pt idx="0">
                  <c:v>3897840</c:v>
                </c:pt>
                <c:pt idx="1">
                  <c:v>3719040</c:v>
                </c:pt>
                <c:pt idx="2">
                  <c:v>3361440</c:v>
                </c:pt>
                <c:pt idx="3">
                  <c:v>2753520</c:v>
                </c:pt>
                <c:pt idx="4">
                  <c:v>2574720</c:v>
                </c:pt>
                <c:pt idx="5">
                  <c:v>2217120</c:v>
                </c:pt>
                <c:pt idx="6">
                  <c:v>2217120</c:v>
                </c:pt>
                <c:pt idx="7">
                  <c:v>2074080</c:v>
                </c:pt>
                <c:pt idx="8">
                  <c:v>1859520</c:v>
                </c:pt>
                <c:pt idx="9">
                  <c:v>1716480</c:v>
                </c:pt>
                <c:pt idx="10">
                  <c:v>1644960</c:v>
                </c:pt>
                <c:pt idx="11">
                  <c:v>1501920</c:v>
                </c:pt>
                <c:pt idx="12">
                  <c:v>1287360</c:v>
                </c:pt>
                <c:pt idx="13">
                  <c:v>1144320</c:v>
                </c:pt>
                <c:pt idx="14">
                  <c:v>929760</c:v>
                </c:pt>
                <c:pt idx="15">
                  <c:v>929760</c:v>
                </c:pt>
                <c:pt idx="16">
                  <c:v>858240</c:v>
                </c:pt>
                <c:pt idx="17">
                  <c:v>858240</c:v>
                </c:pt>
                <c:pt idx="18">
                  <c:v>750960</c:v>
                </c:pt>
                <c:pt idx="19">
                  <c:v>429120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41141"/>
        <c:axId val="76702936"/>
      </c:barChart>
      <c:catAx>
        <c:axId val="974041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2936"/>
        <c:crosses val="autoZero"/>
        <c:auto val="1"/>
        <c:lblAlgn val="ctr"/>
        <c:lblOffset val="100"/>
        <c:noMultiLvlLbl val="0"/>
      </c:catAx>
      <c:valAx>
        <c:axId val="7670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41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Year_!_Annual Robust Time (minutes)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5'!$F$85</c:f>
              <c:strCache>
                <c:ptCount val="1"/>
                <c:pt idx="0">
                  <c:v>Annual Robust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 5'!$E$86:$E$105</c:f>
              <c:strCache>
                <c:ptCount val="20"/>
                <c:pt idx="0">
                  <c:v>P1</c:v>
                </c:pt>
                <c:pt idx="1">
                  <c:v>P19</c:v>
                </c:pt>
                <c:pt idx="2">
                  <c:v>P7</c:v>
                </c:pt>
                <c:pt idx="3">
                  <c:v>P16</c:v>
                </c:pt>
                <c:pt idx="4">
                  <c:v>P2</c:v>
                </c:pt>
                <c:pt idx="5">
                  <c:v>P14</c:v>
                </c:pt>
                <c:pt idx="6">
                  <c:v>P20</c:v>
                </c:pt>
                <c:pt idx="7">
                  <c:v>P9</c:v>
                </c:pt>
                <c:pt idx="8">
                  <c:v>P18</c:v>
                </c:pt>
                <c:pt idx="9">
                  <c:v>P4</c:v>
                </c:pt>
                <c:pt idx="10">
                  <c:v>P12</c:v>
                </c:pt>
                <c:pt idx="11">
                  <c:v>P3</c:v>
                </c:pt>
                <c:pt idx="12">
                  <c:v>P5</c:v>
                </c:pt>
                <c:pt idx="13">
                  <c:v>P6</c:v>
                </c:pt>
                <c:pt idx="14">
                  <c:v>P13</c:v>
                </c:pt>
                <c:pt idx="15">
                  <c:v>P17</c:v>
                </c:pt>
                <c:pt idx="16">
                  <c:v>P11</c:v>
                </c:pt>
                <c:pt idx="17">
                  <c:v>P10</c:v>
                </c:pt>
                <c:pt idx="18">
                  <c:v>P8</c:v>
                </c:pt>
                <c:pt idx="19">
                  <c:v>P15</c:v>
                </c:pt>
              </c:strCache>
            </c:strRef>
          </c:cat>
          <c:val>
            <c:numRef>
              <c:f>'Year 5'!$F$86:$F$105</c:f>
              <c:numCache>
                <c:formatCode>General</c:formatCode>
                <c:ptCount val="20"/>
                <c:pt idx="0">
                  <c:v>56346326.5306122</c:v>
                </c:pt>
                <c:pt idx="1">
                  <c:v>44274285.7142857</c:v>
                </c:pt>
                <c:pt idx="2">
                  <c:v>29191836.7346939</c:v>
                </c:pt>
                <c:pt idx="3">
                  <c:v>25137414.9659864</c:v>
                </c:pt>
                <c:pt idx="4">
                  <c:v>18224625.8503401</c:v>
                </c:pt>
                <c:pt idx="5">
                  <c:v>18102993.1972789</c:v>
                </c:pt>
                <c:pt idx="6">
                  <c:v>17950952.3809524</c:v>
                </c:pt>
                <c:pt idx="7">
                  <c:v>15852789.1156463</c:v>
                </c:pt>
                <c:pt idx="8">
                  <c:v>15710884.3537415</c:v>
                </c:pt>
                <c:pt idx="9">
                  <c:v>14595918.3673469</c:v>
                </c:pt>
                <c:pt idx="10">
                  <c:v>12649795.9183673</c:v>
                </c:pt>
                <c:pt idx="11">
                  <c:v>12325442.1768707</c:v>
                </c:pt>
                <c:pt idx="12">
                  <c:v>10946938.7755102</c:v>
                </c:pt>
                <c:pt idx="13">
                  <c:v>8940000</c:v>
                </c:pt>
                <c:pt idx="14">
                  <c:v>7906122.44897959</c:v>
                </c:pt>
                <c:pt idx="15">
                  <c:v>7642585.03401361</c:v>
                </c:pt>
                <c:pt idx="16">
                  <c:v>6811428.57142857</c:v>
                </c:pt>
                <c:pt idx="17">
                  <c:v>6324897.95918367</c:v>
                </c:pt>
                <c:pt idx="18">
                  <c:v>4622040.81632653</c:v>
                </c:pt>
                <c:pt idx="19">
                  <c:v>3648979.59183673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28597"/>
        <c:axId val="558624696"/>
      </c:barChart>
      <c:catAx>
        <c:axId val="8248285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624696"/>
        <c:crosses val="autoZero"/>
        <c:auto val="1"/>
        <c:lblAlgn val="ctr"/>
        <c:lblOffset val="100"/>
        <c:noMultiLvlLbl val="0"/>
      </c:catAx>
      <c:valAx>
        <c:axId val="5586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285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971550</xdr:colOff>
      <xdr:row>108</xdr:row>
      <xdr:rowOff>111760</xdr:rowOff>
    </xdr:from>
    <xdr:to>
      <xdr:col>3</xdr:col>
      <xdr:colOff>3281680</xdr:colOff>
      <xdr:row>121</xdr:row>
      <xdr:rowOff>145415</xdr:rowOff>
    </xdr:to>
    <xdr:graphicFrame>
      <xdr:nvGraphicFramePr>
        <xdr:cNvPr id="2" name="Chart 1"/>
        <xdr:cNvGraphicFramePr/>
      </xdr:nvGraphicFramePr>
      <xdr:xfrm>
        <a:off x="971550" y="24251920"/>
        <a:ext cx="5046345" cy="293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174625</xdr:colOff>
      <xdr:row>108</xdr:row>
      <xdr:rowOff>188595</xdr:rowOff>
    </xdr:from>
    <xdr:to>
      <xdr:col>9</xdr:col>
      <xdr:colOff>1755140</xdr:colOff>
      <xdr:row>121</xdr:row>
      <xdr:rowOff>60325</xdr:rowOff>
    </xdr:to>
    <xdr:graphicFrame>
      <xdr:nvGraphicFramePr>
        <xdr:cNvPr id="3" name="Chart 2"/>
        <xdr:cNvGraphicFramePr/>
      </xdr:nvGraphicFramePr>
      <xdr:xfrm>
        <a:off x="6192520" y="24328755"/>
        <a:ext cx="1264602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971550</xdr:colOff>
      <xdr:row>108</xdr:row>
      <xdr:rowOff>111760</xdr:rowOff>
    </xdr:from>
    <xdr:to>
      <xdr:col>3</xdr:col>
      <xdr:colOff>3281680</xdr:colOff>
      <xdr:row>121</xdr:row>
      <xdr:rowOff>145415</xdr:rowOff>
    </xdr:to>
    <xdr:graphicFrame>
      <xdr:nvGraphicFramePr>
        <xdr:cNvPr id="2" name="Chart 1"/>
        <xdr:cNvGraphicFramePr/>
      </xdr:nvGraphicFramePr>
      <xdr:xfrm>
        <a:off x="971550" y="24251920"/>
        <a:ext cx="5046345" cy="293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174625</xdr:colOff>
      <xdr:row>108</xdr:row>
      <xdr:rowOff>188595</xdr:rowOff>
    </xdr:from>
    <xdr:to>
      <xdr:col>9</xdr:col>
      <xdr:colOff>1755140</xdr:colOff>
      <xdr:row>121</xdr:row>
      <xdr:rowOff>60325</xdr:rowOff>
    </xdr:to>
    <xdr:graphicFrame>
      <xdr:nvGraphicFramePr>
        <xdr:cNvPr id="3" name="Chart 2"/>
        <xdr:cNvGraphicFramePr/>
      </xdr:nvGraphicFramePr>
      <xdr:xfrm>
        <a:off x="6192520" y="24328755"/>
        <a:ext cx="1264602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971550</xdr:colOff>
      <xdr:row>108</xdr:row>
      <xdr:rowOff>111760</xdr:rowOff>
    </xdr:from>
    <xdr:to>
      <xdr:col>3</xdr:col>
      <xdr:colOff>3281680</xdr:colOff>
      <xdr:row>121</xdr:row>
      <xdr:rowOff>145415</xdr:rowOff>
    </xdr:to>
    <xdr:graphicFrame>
      <xdr:nvGraphicFramePr>
        <xdr:cNvPr id="2" name="Chart 1"/>
        <xdr:cNvGraphicFramePr/>
      </xdr:nvGraphicFramePr>
      <xdr:xfrm>
        <a:off x="971550" y="24251920"/>
        <a:ext cx="5046345" cy="293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174625</xdr:colOff>
      <xdr:row>108</xdr:row>
      <xdr:rowOff>188595</xdr:rowOff>
    </xdr:from>
    <xdr:to>
      <xdr:col>9</xdr:col>
      <xdr:colOff>1755140</xdr:colOff>
      <xdr:row>121</xdr:row>
      <xdr:rowOff>60325</xdr:rowOff>
    </xdr:to>
    <xdr:graphicFrame>
      <xdr:nvGraphicFramePr>
        <xdr:cNvPr id="3" name="Chart 2"/>
        <xdr:cNvGraphicFramePr/>
      </xdr:nvGraphicFramePr>
      <xdr:xfrm>
        <a:off x="6192520" y="24328755"/>
        <a:ext cx="1264602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971550</xdr:colOff>
      <xdr:row>108</xdr:row>
      <xdr:rowOff>111760</xdr:rowOff>
    </xdr:from>
    <xdr:to>
      <xdr:col>3</xdr:col>
      <xdr:colOff>3281680</xdr:colOff>
      <xdr:row>121</xdr:row>
      <xdr:rowOff>145415</xdr:rowOff>
    </xdr:to>
    <xdr:graphicFrame>
      <xdr:nvGraphicFramePr>
        <xdr:cNvPr id="2" name="Chart 1"/>
        <xdr:cNvGraphicFramePr/>
      </xdr:nvGraphicFramePr>
      <xdr:xfrm>
        <a:off x="971550" y="24251920"/>
        <a:ext cx="5046345" cy="293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174625</xdr:colOff>
      <xdr:row>108</xdr:row>
      <xdr:rowOff>188595</xdr:rowOff>
    </xdr:from>
    <xdr:to>
      <xdr:col>9</xdr:col>
      <xdr:colOff>1755140</xdr:colOff>
      <xdr:row>121</xdr:row>
      <xdr:rowOff>60325</xdr:rowOff>
    </xdr:to>
    <xdr:graphicFrame>
      <xdr:nvGraphicFramePr>
        <xdr:cNvPr id="3" name="Chart 2"/>
        <xdr:cNvGraphicFramePr/>
      </xdr:nvGraphicFramePr>
      <xdr:xfrm>
        <a:off x="6192520" y="24328755"/>
        <a:ext cx="1264602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971550</xdr:colOff>
      <xdr:row>108</xdr:row>
      <xdr:rowOff>111760</xdr:rowOff>
    </xdr:from>
    <xdr:to>
      <xdr:col>3</xdr:col>
      <xdr:colOff>3281680</xdr:colOff>
      <xdr:row>121</xdr:row>
      <xdr:rowOff>145415</xdr:rowOff>
    </xdr:to>
    <xdr:graphicFrame>
      <xdr:nvGraphicFramePr>
        <xdr:cNvPr id="2" name="Chart 1"/>
        <xdr:cNvGraphicFramePr/>
      </xdr:nvGraphicFramePr>
      <xdr:xfrm>
        <a:off x="971550" y="24251920"/>
        <a:ext cx="5046345" cy="2939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174625</xdr:colOff>
      <xdr:row>108</xdr:row>
      <xdr:rowOff>188595</xdr:rowOff>
    </xdr:from>
    <xdr:to>
      <xdr:col>9</xdr:col>
      <xdr:colOff>1755140</xdr:colOff>
      <xdr:row>121</xdr:row>
      <xdr:rowOff>60325</xdr:rowOff>
    </xdr:to>
    <xdr:graphicFrame>
      <xdr:nvGraphicFramePr>
        <xdr:cNvPr id="3" name="Chart 2"/>
        <xdr:cNvGraphicFramePr/>
      </xdr:nvGraphicFramePr>
      <xdr:xfrm>
        <a:off x="6192520" y="24328755"/>
        <a:ext cx="1264602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103"/>
  <sheetViews>
    <sheetView zoomScale="70" zoomScaleNormal="70" topLeftCell="B74" workbookViewId="0">
      <selection activeCell="L83" sqref="L83:L103"/>
    </sheetView>
  </sheetViews>
  <sheetFormatPr defaultColWidth="11" defaultRowHeight="17.6"/>
  <cols>
    <col min="3" max="3" width="22.1527777777778" customWidth="1"/>
    <col min="4" max="4" width="21.6597222222222" customWidth="1"/>
    <col min="5" max="5" width="24.7986111111111" customWidth="1"/>
    <col min="6" max="6" width="25.6180555555556" customWidth="1"/>
    <col min="7" max="7" width="22.1597222222222" customWidth="1"/>
    <col min="8" max="8" width="22.1527777777778" customWidth="1"/>
    <col min="9" max="9" width="26.2847222222222" customWidth="1"/>
    <col min="10" max="10" width="25.9583333333333" customWidth="1"/>
    <col min="11" max="11" width="12.5555555555556"/>
    <col min="12" max="12" width="20.5" customWidth="1"/>
    <col min="13" max="15" width="12.5555555555556"/>
  </cols>
  <sheetData>
    <row r="3" spans="2:17">
      <c r="B3" s="1" t="s">
        <v>0</v>
      </c>
      <c r="C3" s="2" t="s">
        <v>1</v>
      </c>
      <c r="D3" s="3"/>
      <c r="E3" s="3"/>
      <c r="F3" s="3"/>
      <c r="G3" s="3"/>
      <c r="H3" s="3"/>
      <c r="I3" s="32"/>
      <c r="L3" s="65" t="s">
        <v>0</v>
      </c>
      <c r="M3" s="2" t="s">
        <v>2</v>
      </c>
      <c r="N3" s="3"/>
      <c r="O3" s="3"/>
      <c r="P3" s="3"/>
      <c r="Q3" s="32"/>
    </row>
    <row r="4" spans="2:17"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3" t="s">
        <v>9</v>
      </c>
      <c r="J4" t="s">
        <v>10</v>
      </c>
      <c r="L4" s="66"/>
      <c r="M4" s="67" t="s">
        <v>11</v>
      </c>
      <c r="N4" s="68" t="s">
        <v>12</v>
      </c>
      <c r="O4" s="68" t="s">
        <v>13</v>
      </c>
      <c r="P4" s="68" t="s">
        <v>14</v>
      </c>
      <c r="Q4" s="69" t="s">
        <v>15</v>
      </c>
    </row>
    <row r="5" spans="2:17">
      <c r="B5" s="4" t="s">
        <v>16</v>
      </c>
      <c r="C5" s="6">
        <v>2.5</v>
      </c>
      <c r="D5" s="6">
        <v>1</v>
      </c>
      <c r="E5" s="6">
        <v>2.5</v>
      </c>
      <c r="F5" s="6">
        <v>0.5</v>
      </c>
      <c r="G5" s="6">
        <v>2.5</v>
      </c>
      <c r="H5" s="6">
        <v>1.25</v>
      </c>
      <c r="I5" s="34">
        <v>2.5</v>
      </c>
      <c r="J5">
        <f>SUM(C5:I5)</f>
        <v>12.75</v>
      </c>
      <c r="L5" s="13" t="s">
        <v>16</v>
      </c>
      <c r="M5" s="48">
        <v>1</v>
      </c>
      <c r="N5" s="49">
        <v>2</v>
      </c>
      <c r="O5" s="49">
        <v>4</v>
      </c>
      <c r="P5" s="49">
        <v>4</v>
      </c>
      <c r="Q5" s="51">
        <v>1</v>
      </c>
    </row>
    <row r="6" spans="2:17">
      <c r="B6" s="4" t="s">
        <v>17</v>
      </c>
      <c r="C6" s="6">
        <v>1.25</v>
      </c>
      <c r="D6" s="6">
        <v>0.5</v>
      </c>
      <c r="E6" s="6">
        <v>2.5</v>
      </c>
      <c r="F6" s="6">
        <v>1</v>
      </c>
      <c r="G6" s="6">
        <v>2.5</v>
      </c>
      <c r="H6" s="6"/>
      <c r="I6" s="34"/>
      <c r="J6">
        <f t="shared" ref="J6:J24" si="0">SUM(C6:I6)</f>
        <v>7.75</v>
      </c>
      <c r="L6" s="13" t="s">
        <v>17</v>
      </c>
      <c r="M6" s="14">
        <v>4</v>
      </c>
      <c r="N6" s="15"/>
      <c r="O6" s="15">
        <v>2</v>
      </c>
      <c r="P6" s="15">
        <v>2</v>
      </c>
      <c r="Q6" s="42"/>
    </row>
    <row r="7" spans="2:17">
      <c r="B7" s="4" t="s">
        <v>18</v>
      </c>
      <c r="C7" s="6">
        <v>1.75</v>
      </c>
      <c r="D7" s="6">
        <v>3</v>
      </c>
      <c r="E7" s="6">
        <v>0.75</v>
      </c>
      <c r="F7" s="6">
        <v>1.5</v>
      </c>
      <c r="G7" s="6">
        <v>2.5</v>
      </c>
      <c r="H7" s="6"/>
      <c r="I7" s="34"/>
      <c r="J7">
        <f t="shared" si="0"/>
        <v>9.5</v>
      </c>
      <c r="L7" s="13" t="s">
        <v>18</v>
      </c>
      <c r="M7" s="14"/>
      <c r="N7" s="15"/>
      <c r="O7" s="15"/>
      <c r="P7" s="15">
        <v>4</v>
      </c>
      <c r="Q7" s="42">
        <v>1</v>
      </c>
    </row>
    <row r="8" spans="2:17">
      <c r="B8" s="4" t="s">
        <v>19</v>
      </c>
      <c r="C8" s="6">
        <v>1</v>
      </c>
      <c r="D8" s="6">
        <v>2</v>
      </c>
      <c r="E8" s="6">
        <v>3</v>
      </c>
      <c r="F8" s="6">
        <v>0.25</v>
      </c>
      <c r="G8" s="6">
        <v>1.25</v>
      </c>
      <c r="H8" s="6"/>
      <c r="I8" s="34"/>
      <c r="J8">
        <f t="shared" si="0"/>
        <v>7.5</v>
      </c>
      <c r="L8" s="13" t="s">
        <v>19</v>
      </c>
      <c r="M8" s="14"/>
      <c r="N8" s="15">
        <v>1</v>
      </c>
      <c r="O8" s="15">
        <v>2</v>
      </c>
      <c r="P8" s="15">
        <v>2</v>
      </c>
      <c r="Q8" s="42"/>
    </row>
    <row r="9" spans="2:17">
      <c r="B9" s="4" t="s">
        <v>20</v>
      </c>
      <c r="C9" s="6">
        <v>1.5</v>
      </c>
      <c r="D9" s="6">
        <v>0.75</v>
      </c>
      <c r="E9" s="6">
        <v>3.5</v>
      </c>
      <c r="F9" s="6">
        <v>1.75</v>
      </c>
      <c r="G9" s="6"/>
      <c r="H9" s="6"/>
      <c r="I9" s="34"/>
      <c r="J9">
        <f t="shared" si="0"/>
        <v>7.5</v>
      </c>
      <c r="L9" s="13" t="s">
        <v>20</v>
      </c>
      <c r="M9" s="14"/>
      <c r="N9" s="15">
        <v>1</v>
      </c>
      <c r="O9" s="15">
        <v>2</v>
      </c>
      <c r="P9" s="15"/>
      <c r="Q9" s="42"/>
    </row>
    <row r="10" spans="2:17">
      <c r="B10" s="4" t="s">
        <v>21</v>
      </c>
      <c r="C10" s="6">
        <v>0.75</v>
      </c>
      <c r="D10" s="6">
        <v>1.25</v>
      </c>
      <c r="E10" s="6">
        <v>0.5</v>
      </c>
      <c r="F10" s="6">
        <v>3</v>
      </c>
      <c r="G10" s="6">
        <v>1</v>
      </c>
      <c r="H10" s="6">
        <v>1.25</v>
      </c>
      <c r="I10" s="34">
        <v>2.75</v>
      </c>
      <c r="J10">
        <f t="shared" si="0"/>
        <v>10.5</v>
      </c>
      <c r="L10" s="13" t="s">
        <v>21</v>
      </c>
      <c r="M10" s="14">
        <v>1</v>
      </c>
      <c r="N10" s="15"/>
      <c r="O10" s="15"/>
      <c r="P10" s="15"/>
      <c r="Q10" s="42">
        <v>2</v>
      </c>
    </row>
    <row r="11" spans="2:17">
      <c r="B11" s="4" t="s">
        <v>22</v>
      </c>
      <c r="C11" s="6">
        <v>1</v>
      </c>
      <c r="D11" s="6">
        <v>1.5</v>
      </c>
      <c r="E11" s="6">
        <v>0.75</v>
      </c>
      <c r="F11" s="6">
        <v>3.5</v>
      </c>
      <c r="G11" s="6">
        <v>1.25</v>
      </c>
      <c r="H11" s="6">
        <v>2</v>
      </c>
      <c r="I11" s="34"/>
      <c r="J11">
        <f t="shared" si="0"/>
        <v>10</v>
      </c>
      <c r="L11" s="13" t="s">
        <v>22</v>
      </c>
      <c r="M11" s="14"/>
      <c r="N11" s="15">
        <v>4</v>
      </c>
      <c r="O11" s="15"/>
      <c r="P11" s="15"/>
      <c r="Q11" s="42">
        <v>4</v>
      </c>
    </row>
    <row r="12" spans="2:17">
      <c r="B12" s="4" t="s">
        <v>23</v>
      </c>
      <c r="C12" s="6">
        <v>1.25</v>
      </c>
      <c r="D12" s="6">
        <v>2</v>
      </c>
      <c r="E12" s="6">
        <v>0.5</v>
      </c>
      <c r="F12" s="6">
        <v>1</v>
      </c>
      <c r="G12" s="6"/>
      <c r="H12" s="6"/>
      <c r="I12" s="34"/>
      <c r="J12">
        <f t="shared" si="0"/>
        <v>4.75</v>
      </c>
      <c r="L12" s="13" t="s">
        <v>23</v>
      </c>
      <c r="M12" s="14"/>
      <c r="N12" s="15"/>
      <c r="O12" s="15"/>
      <c r="P12" s="15">
        <v>4</v>
      </c>
      <c r="Q12" s="42"/>
    </row>
    <row r="13" spans="2:17">
      <c r="B13" s="4" t="s">
        <v>24</v>
      </c>
      <c r="C13" s="6">
        <v>1.75</v>
      </c>
      <c r="D13" s="6">
        <v>0.75</v>
      </c>
      <c r="E13" s="6">
        <v>1.25</v>
      </c>
      <c r="F13" s="6">
        <v>0.5</v>
      </c>
      <c r="G13" s="6">
        <v>1.25</v>
      </c>
      <c r="H13" s="6">
        <v>3</v>
      </c>
      <c r="I13" s="34"/>
      <c r="J13">
        <f t="shared" si="0"/>
        <v>8.5</v>
      </c>
      <c r="L13" s="13" t="s">
        <v>24</v>
      </c>
      <c r="M13" s="14"/>
      <c r="N13" s="15">
        <v>2</v>
      </c>
      <c r="O13" s="15">
        <v>2</v>
      </c>
      <c r="P13" s="15"/>
      <c r="Q13" s="42"/>
    </row>
    <row r="14" spans="2:17">
      <c r="B14" s="4" t="s">
        <v>25</v>
      </c>
      <c r="C14" s="6">
        <v>1.5</v>
      </c>
      <c r="D14" s="6">
        <v>1.75</v>
      </c>
      <c r="E14" s="6">
        <v>1.25</v>
      </c>
      <c r="F14" s="6">
        <v>2</v>
      </c>
      <c r="G14" s="6"/>
      <c r="H14" s="6"/>
      <c r="I14" s="34"/>
      <c r="J14">
        <f t="shared" si="0"/>
        <v>6.5</v>
      </c>
      <c r="L14" s="13" t="s">
        <v>25</v>
      </c>
      <c r="M14" s="14">
        <v>1</v>
      </c>
      <c r="N14" s="15"/>
      <c r="O14" s="15">
        <v>1</v>
      </c>
      <c r="P14" s="15">
        <v>1</v>
      </c>
      <c r="Q14" s="42"/>
    </row>
    <row r="15" spans="2:17">
      <c r="B15" s="4" t="s">
        <v>26</v>
      </c>
      <c r="C15" s="6">
        <v>1.25</v>
      </c>
      <c r="D15" s="6">
        <v>0.5</v>
      </c>
      <c r="E15" s="6">
        <v>1.25</v>
      </c>
      <c r="F15" s="6">
        <v>0.25</v>
      </c>
      <c r="G15" s="6">
        <v>0.75</v>
      </c>
      <c r="H15" s="6"/>
      <c r="I15" s="34"/>
      <c r="J15">
        <f t="shared" si="0"/>
        <v>4</v>
      </c>
      <c r="L15" s="13" t="s">
        <v>26</v>
      </c>
      <c r="M15" s="14">
        <v>2</v>
      </c>
      <c r="N15" s="15"/>
      <c r="O15" s="15"/>
      <c r="P15" s="15"/>
      <c r="Q15" s="42">
        <v>4</v>
      </c>
    </row>
    <row r="16" spans="2:17">
      <c r="B16" s="4" t="s">
        <v>27</v>
      </c>
      <c r="C16" s="6">
        <v>1</v>
      </c>
      <c r="D16" s="6">
        <v>0.5</v>
      </c>
      <c r="E16" s="6">
        <v>1</v>
      </c>
      <c r="F16" s="6">
        <v>1.25</v>
      </c>
      <c r="G16" s="6">
        <v>2.25</v>
      </c>
      <c r="H16" s="6"/>
      <c r="I16" s="34"/>
      <c r="J16">
        <f t="shared" si="0"/>
        <v>6</v>
      </c>
      <c r="L16" s="13" t="s">
        <v>27</v>
      </c>
      <c r="M16" s="14">
        <v>4</v>
      </c>
      <c r="N16" s="15"/>
      <c r="O16" s="15"/>
      <c r="P16" s="15"/>
      <c r="Q16" s="42">
        <v>4</v>
      </c>
    </row>
    <row r="17" spans="2:17">
      <c r="B17" s="4" t="s">
        <v>28</v>
      </c>
      <c r="C17" s="6">
        <v>1.25</v>
      </c>
      <c r="D17" s="6">
        <v>1.25</v>
      </c>
      <c r="E17" s="6">
        <v>0.5</v>
      </c>
      <c r="F17" s="6">
        <v>1</v>
      </c>
      <c r="G17" s="6">
        <v>0.25</v>
      </c>
      <c r="H17" s="6">
        <v>2</v>
      </c>
      <c r="I17" s="34">
        <v>1.25</v>
      </c>
      <c r="J17">
        <f t="shared" si="0"/>
        <v>7.5</v>
      </c>
      <c r="L17" s="13" t="s">
        <v>28</v>
      </c>
      <c r="M17" s="14">
        <v>2</v>
      </c>
      <c r="N17" s="15"/>
      <c r="O17" s="15"/>
      <c r="P17" s="15"/>
      <c r="Q17" s="42">
        <v>2</v>
      </c>
    </row>
    <row r="18" spans="2:17">
      <c r="B18" s="4" t="s">
        <v>29</v>
      </c>
      <c r="C18" s="6">
        <v>1</v>
      </c>
      <c r="D18" s="6">
        <v>1.5</v>
      </c>
      <c r="E18" s="6">
        <v>0.5</v>
      </c>
      <c r="F18" s="6">
        <v>1.75</v>
      </c>
      <c r="G18" s="6"/>
      <c r="H18" s="6"/>
      <c r="I18" s="34"/>
      <c r="J18">
        <f t="shared" si="0"/>
        <v>4.75</v>
      </c>
      <c r="L18" s="13" t="s">
        <v>29</v>
      </c>
      <c r="M18" s="14"/>
      <c r="N18" s="15">
        <v>4</v>
      </c>
      <c r="O18" s="15">
        <v>2</v>
      </c>
      <c r="P18" s="15">
        <v>2</v>
      </c>
      <c r="Q18" s="42">
        <v>2</v>
      </c>
    </row>
    <row r="19" spans="2:17">
      <c r="B19" s="4" t="s">
        <v>30</v>
      </c>
      <c r="C19" s="6">
        <v>0.75</v>
      </c>
      <c r="D19" s="6">
        <v>0.5</v>
      </c>
      <c r="E19" s="6">
        <v>1.25</v>
      </c>
      <c r="F19" s="6">
        <v>2.5</v>
      </c>
      <c r="G19" s="6">
        <v>2.5</v>
      </c>
      <c r="H19" s="6"/>
      <c r="I19" s="34"/>
      <c r="J19">
        <f t="shared" si="0"/>
        <v>7.5</v>
      </c>
      <c r="L19" s="13" t="s">
        <v>30</v>
      </c>
      <c r="M19" s="14"/>
      <c r="N19" s="15"/>
      <c r="O19" s="15"/>
      <c r="P19" s="15">
        <v>2</v>
      </c>
      <c r="Q19" s="42"/>
    </row>
    <row r="20" spans="2:17">
      <c r="B20" s="4" t="s">
        <v>31</v>
      </c>
      <c r="C20" s="6">
        <v>1.25</v>
      </c>
      <c r="D20" s="6">
        <v>5</v>
      </c>
      <c r="E20" s="6">
        <v>1.25</v>
      </c>
      <c r="F20" s="6">
        <v>2.5</v>
      </c>
      <c r="G20" s="6"/>
      <c r="H20" s="6"/>
      <c r="I20" s="34"/>
      <c r="J20">
        <f t="shared" si="0"/>
        <v>10</v>
      </c>
      <c r="L20" s="13" t="s">
        <v>31</v>
      </c>
      <c r="M20" s="14"/>
      <c r="N20" s="15">
        <v>1</v>
      </c>
      <c r="O20" s="15">
        <v>4</v>
      </c>
      <c r="P20" s="15"/>
      <c r="Q20" s="42"/>
    </row>
    <row r="21" spans="2:17">
      <c r="B21" s="4" t="s">
        <v>32</v>
      </c>
      <c r="C21" s="6">
        <v>0.75</v>
      </c>
      <c r="D21" s="6">
        <v>3</v>
      </c>
      <c r="E21" s="6">
        <v>3.5</v>
      </c>
      <c r="F21" s="6"/>
      <c r="G21" s="6"/>
      <c r="H21" s="6"/>
      <c r="I21" s="34"/>
      <c r="J21">
        <f t="shared" si="0"/>
        <v>7.25</v>
      </c>
      <c r="L21" s="13" t="s">
        <v>32</v>
      </c>
      <c r="M21" s="14">
        <v>2</v>
      </c>
      <c r="N21" s="15"/>
      <c r="O21" s="15"/>
      <c r="P21" s="15"/>
      <c r="Q21" s="42">
        <v>2</v>
      </c>
    </row>
    <row r="22" spans="2:17">
      <c r="B22" s="4" t="s">
        <v>33</v>
      </c>
      <c r="C22" s="6">
        <v>0.75</v>
      </c>
      <c r="D22" s="6">
        <v>1.25</v>
      </c>
      <c r="E22" s="6">
        <v>0.5</v>
      </c>
      <c r="F22" s="6">
        <v>3.75</v>
      </c>
      <c r="G22" s="6"/>
      <c r="H22" s="6"/>
      <c r="I22" s="34"/>
      <c r="J22">
        <f t="shared" si="0"/>
        <v>6.25</v>
      </c>
      <c r="L22" s="13" t="s">
        <v>33</v>
      </c>
      <c r="M22" s="14">
        <v>4</v>
      </c>
      <c r="N22" s="15">
        <v>1</v>
      </c>
      <c r="O22" s="15"/>
      <c r="P22" s="15"/>
      <c r="Q22" s="42">
        <v>4</v>
      </c>
    </row>
    <row r="23" spans="2:17">
      <c r="B23" s="4" t="s">
        <v>34</v>
      </c>
      <c r="C23" s="6">
        <v>2.25</v>
      </c>
      <c r="D23" s="6">
        <v>2.5</v>
      </c>
      <c r="E23" s="6">
        <v>2</v>
      </c>
      <c r="F23" s="6">
        <v>3.75</v>
      </c>
      <c r="G23" s="6"/>
      <c r="H23" s="6"/>
      <c r="I23" s="34"/>
      <c r="J23">
        <f t="shared" si="0"/>
        <v>10.5</v>
      </c>
      <c r="L23" s="13" t="s">
        <v>34</v>
      </c>
      <c r="M23" s="14"/>
      <c r="N23" s="15">
        <v>2</v>
      </c>
      <c r="O23" s="15">
        <v>4</v>
      </c>
      <c r="P23" s="15">
        <v>4</v>
      </c>
      <c r="Q23" s="42">
        <v>1</v>
      </c>
    </row>
    <row r="24" spans="2:17">
      <c r="B24" s="7" t="s">
        <v>35</v>
      </c>
      <c r="C24" s="8">
        <v>2</v>
      </c>
      <c r="D24" s="8">
        <v>0.75</v>
      </c>
      <c r="E24" s="8">
        <v>3</v>
      </c>
      <c r="F24" s="8"/>
      <c r="G24" s="8"/>
      <c r="H24" s="8"/>
      <c r="I24" s="35"/>
      <c r="J24">
        <f t="shared" si="0"/>
        <v>5.75</v>
      </c>
      <c r="L24" s="16" t="s">
        <v>35</v>
      </c>
      <c r="M24" s="17"/>
      <c r="N24" s="18">
        <v>2</v>
      </c>
      <c r="O24" s="18">
        <v>3</v>
      </c>
      <c r="P24" s="18">
        <v>3</v>
      </c>
      <c r="Q24" s="43"/>
    </row>
    <row r="29" spans="2:14">
      <c r="B29" s="9" t="s">
        <v>36</v>
      </c>
      <c r="C29" s="10"/>
      <c r="D29" s="10"/>
      <c r="E29" s="10"/>
      <c r="F29" s="10"/>
      <c r="G29" s="10"/>
      <c r="H29" s="36"/>
      <c r="L29" t="s">
        <v>37</v>
      </c>
      <c r="N29" t="s">
        <v>38</v>
      </c>
    </row>
    <row r="30" spans="2:14">
      <c r="B30" s="52" t="s">
        <v>39</v>
      </c>
      <c r="C30" s="53" t="s">
        <v>11</v>
      </c>
      <c r="D30" s="53" t="s">
        <v>12</v>
      </c>
      <c r="E30" s="53" t="s">
        <v>13</v>
      </c>
      <c r="F30" s="53" t="s">
        <v>14</v>
      </c>
      <c r="G30" s="53" t="s">
        <v>15</v>
      </c>
      <c r="H30" s="61" t="s">
        <v>40</v>
      </c>
      <c r="K30">
        <v>1</v>
      </c>
      <c r="L30">
        <f>SQRT(SUMPRODUCT($C$31:$G$31*M5:Q5)^2)</f>
        <v>1090000</v>
      </c>
      <c r="N30">
        <f>SQRT(SUMPRODUCT(M5:Q5*$C$47:$G$47)^2)</f>
        <v>3744.23076923077</v>
      </c>
    </row>
    <row r="31" spans="2:14">
      <c r="B31" s="70" t="s">
        <v>41</v>
      </c>
      <c r="C31" s="54">
        <v>50000</v>
      </c>
      <c r="D31" s="55">
        <v>100000</v>
      </c>
      <c r="E31" s="55">
        <v>130000</v>
      </c>
      <c r="F31" s="55">
        <v>60000</v>
      </c>
      <c r="G31" s="55">
        <v>80000</v>
      </c>
      <c r="H31" s="62">
        <f>SUM(C31:G31)</f>
        <v>420000</v>
      </c>
      <c r="K31">
        <v>2</v>
      </c>
      <c r="L31">
        <f t="shared" ref="L31:L54" si="1">SQRT(SUMPRODUCT($C$31:$G$31*M6:Q6)^2)</f>
        <v>580000</v>
      </c>
      <c r="N31">
        <f t="shared" ref="N31:N49" si="2">SQRT(SUMPRODUCT(M6:Q6*$C$47:$G$47)^2)</f>
        <v>1853.84615384615</v>
      </c>
    </row>
    <row r="32" spans="2:14">
      <c r="B32" s="19"/>
      <c r="C32" s="19"/>
      <c r="D32" s="19"/>
      <c r="E32" s="19"/>
      <c r="F32" s="19"/>
      <c r="G32" s="19"/>
      <c r="H32" s="25"/>
      <c r="K32">
        <v>3</v>
      </c>
      <c r="L32">
        <f t="shared" si="1"/>
        <v>320000</v>
      </c>
      <c r="N32">
        <f t="shared" si="2"/>
        <v>830.769230769231</v>
      </c>
    </row>
    <row r="33" spans="2:14">
      <c r="B33" s="19"/>
      <c r="C33" s="19"/>
      <c r="D33" s="19"/>
      <c r="E33" s="19"/>
      <c r="F33" s="19"/>
      <c r="G33" s="19"/>
      <c r="H33" s="25"/>
      <c r="K33">
        <v>4</v>
      </c>
      <c r="L33">
        <f t="shared" si="1"/>
        <v>480000</v>
      </c>
      <c r="N33">
        <f t="shared" si="2"/>
        <v>1661.53846153846</v>
      </c>
    </row>
    <row r="34" spans="2:14">
      <c r="B34" s="9" t="s">
        <v>42</v>
      </c>
      <c r="C34" s="10"/>
      <c r="D34" s="10"/>
      <c r="E34" s="10"/>
      <c r="F34" s="10"/>
      <c r="G34" s="10"/>
      <c r="H34" s="36"/>
      <c r="K34">
        <v>5</v>
      </c>
      <c r="L34">
        <f t="shared" si="1"/>
        <v>360000</v>
      </c>
      <c r="N34">
        <f t="shared" si="2"/>
        <v>1384.61538461538</v>
      </c>
    </row>
    <row r="35" spans="2:14">
      <c r="B35" s="52" t="s">
        <v>39</v>
      </c>
      <c r="C35" s="20" t="s">
        <v>11</v>
      </c>
      <c r="D35" s="12" t="s">
        <v>12</v>
      </c>
      <c r="E35" s="12" t="s">
        <v>13</v>
      </c>
      <c r="F35" s="53" t="s">
        <v>14</v>
      </c>
      <c r="G35" s="53" t="s">
        <v>15</v>
      </c>
      <c r="H35" s="37" t="s">
        <v>43</v>
      </c>
      <c r="K35">
        <v>6</v>
      </c>
      <c r="L35">
        <f t="shared" si="1"/>
        <v>210000</v>
      </c>
      <c r="N35">
        <f t="shared" si="2"/>
        <v>698.076923076923</v>
      </c>
    </row>
    <row r="36" spans="2:14">
      <c r="B36" s="70" t="s">
        <v>41</v>
      </c>
      <c r="C36" s="56">
        <v>721.110255092798</v>
      </c>
      <c r="D36" s="57">
        <v>1442.2205101856</v>
      </c>
      <c r="E36" s="57">
        <v>2163.33076527839</v>
      </c>
      <c r="F36" s="57">
        <v>1442.2205101856</v>
      </c>
      <c r="G36" s="57">
        <v>721.110255092798</v>
      </c>
      <c r="H36" s="62">
        <v>447</v>
      </c>
      <c r="K36">
        <v>7</v>
      </c>
      <c r="L36">
        <f t="shared" si="1"/>
        <v>720000</v>
      </c>
      <c r="N36">
        <f t="shared" si="2"/>
        <v>2646.15384615385</v>
      </c>
    </row>
    <row r="37" spans="11:14">
      <c r="K37">
        <v>8</v>
      </c>
      <c r="L37">
        <f t="shared" si="1"/>
        <v>240000</v>
      </c>
      <c r="N37">
        <f t="shared" si="2"/>
        <v>553.846153846154</v>
      </c>
    </row>
    <row r="38" spans="11:14">
      <c r="K38">
        <v>9</v>
      </c>
      <c r="L38">
        <f t="shared" si="1"/>
        <v>460000</v>
      </c>
      <c r="N38">
        <f t="shared" si="2"/>
        <v>1769.23076923077</v>
      </c>
    </row>
    <row r="39" spans="2:14">
      <c r="B39" s="9" t="s">
        <v>44</v>
      </c>
      <c r="C39" s="10"/>
      <c r="D39" s="10"/>
      <c r="E39" s="10"/>
      <c r="F39" s="10"/>
      <c r="G39" s="10"/>
      <c r="H39" s="36"/>
      <c r="K39">
        <v>10</v>
      </c>
      <c r="L39">
        <f t="shared" si="1"/>
        <v>240000</v>
      </c>
      <c r="N39">
        <f t="shared" si="2"/>
        <v>782.692307692308</v>
      </c>
    </row>
    <row r="40" spans="2:14">
      <c r="B40" s="52" t="s">
        <v>39</v>
      </c>
      <c r="C40" s="53" t="s">
        <v>11</v>
      </c>
      <c r="D40" s="53" t="s">
        <v>12</v>
      </c>
      <c r="E40" s="53" t="s">
        <v>13</v>
      </c>
      <c r="F40" s="53" t="s">
        <v>14</v>
      </c>
      <c r="G40" s="53" t="s">
        <v>15</v>
      </c>
      <c r="H40" s="61" t="s">
        <v>40</v>
      </c>
      <c r="K40">
        <v>11</v>
      </c>
      <c r="L40">
        <f t="shared" si="1"/>
        <v>420000</v>
      </c>
      <c r="N40">
        <f t="shared" si="2"/>
        <v>1396.15384615385</v>
      </c>
    </row>
    <row r="41" spans="2:14">
      <c r="B41" s="70" t="s">
        <v>41</v>
      </c>
      <c r="C41" s="56">
        <v>961.538461538462</v>
      </c>
      <c r="D41" s="57">
        <v>1923.07692307692</v>
      </c>
      <c r="E41" s="57">
        <v>2500</v>
      </c>
      <c r="F41" s="57">
        <v>1153.84615384615</v>
      </c>
      <c r="G41" s="57">
        <v>1538.46153846154</v>
      </c>
      <c r="H41" s="63">
        <v>8076.92307692308</v>
      </c>
      <c r="K41">
        <v>12</v>
      </c>
      <c r="L41">
        <f t="shared" si="1"/>
        <v>520000</v>
      </c>
      <c r="N41">
        <f t="shared" si="2"/>
        <v>1684.61538461538</v>
      </c>
    </row>
    <row r="42" spans="2:14">
      <c r="B42" s="19"/>
      <c r="C42" s="19"/>
      <c r="D42" s="19"/>
      <c r="E42" s="19"/>
      <c r="F42" s="19"/>
      <c r="G42" s="19"/>
      <c r="H42" s="25"/>
      <c r="K42">
        <v>13</v>
      </c>
      <c r="L42">
        <f t="shared" si="1"/>
        <v>260000</v>
      </c>
      <c r="N42">
        <f t="shared" si="2"/>
        <v>842.307692307692</v>
      </c>
    </row>
    <row r="43" spans="2:14">
      <c r="B43" s="9" t="s">
        <v>45</v>
      </c>
      <c r="C43" s="10"/>
      <c r="D43" s="10"/>
      <c r="E43" s="10"/>
      <c r="F43" s="10"/>
      <c r="G43" s="10"/>
      <c r="H43" s="36"/>
      <c r="K43">
        <v>14</v>
      </c>
      <c r="L43">
        <f t="shared" si="1"/>
        <v>940000</v>
      </c>
      <c r="N43">
        <f t="shared" si="2"/>
        <v>3369.23076923077</v>
      </c>
    </row>
    <row r="44" spans="2:14">
      <c r="B44" s="52" t="s">
        <v>39</v>
      </c>
      <c r="C44" s="58" t="s">
        <v>11</v>
      </c>
      <c r="D44" s="53" t="s">
        <v>12</v>
      </c>
      <c r="E44" s="53" t="s">
        <v>13</v>
      </c>
      <c r="F44" s="53" t="s">
        <v>14</v>
      </c>
      <c r="G44" s="53" t="s">
        <v>15</v>
      </c>
      <c r="H44" s="61" t="s">
        <v>46</v>
      </c>
      <c r="K44">
        <v>15</v>
      </c>
      <c r="L44">
        <f t="shared" si="1"/>
        <v>120000</v>
      </c>
      <c r="N44">
        <f t="shared" si="2"/>
        <v>276.923076923077</v>
      </c>
    </row>
    <row r="45" spans="2:14">
      <c r="B45" s="70" t="s">
        <v>41</v>
      </c>
      <c r="C45" s="59">
        <v>0.15</v>
      </c>
      <c r="D45" s="60">
        <v>0.2</v>
      </c>
      <c r="E45" s="60">
        <v>0.2</v>
      </c>
      <c r="F45" s="60">
        <v>0.12</v>
      </c>
      <c r="G45" s="60">
        <v>0.18</v>
      </c>
      <c r="H45" s="64">
        <f>AVERAGE(C45:G45)</f>
        <v>0.17</v>
      </c>
      <c r="K45">
        <v>16</v>
      </c>
      <c r="L45">
        <f t="shared" si="1"/>
        <v>620000</v>
      </c>
      <c r="N45">
        <f t="shared" si="2"/>
        <v>2384.61538461538</v>
      </c>
    </row>
    <row r="46" spans="11:14">
      <c r="K46">
        <v>17</v>
      </c>
      <c r="L46">
        <f t="shared" si="1"/>
        <v>260000</v>
      </c>
      <c r="N46">
        <f t="shared" si="2"/>
        <v>842.307692307692</v>
      </c>
    </row>
    <row r="47" spans="3:14">
      <c r="C47">
        <f>C45*C41</f>
        <v>144.230769230769</v>
      </c>
      <c r="D47">
        <f>D45*D41</f>
        <v>384.615384615385</v>
      </c>
      <c r="E47">
        <f>E45*E41</f>
        <v>500</v>
      </c>
      <c r="F47">
        <f>F45*F41</f>
        <v>138.461538461538</v>
      </c>
      <c r="G47">
        <f>G45*G41</f>
        <v>276.923076923077</v>
      </c>
      <c r="K47">
        <v>18</v>
      </c>
      <c r="L47">
        <f t="shared" si="1"/>
        <v>620000</v>
      </c>
      <c r="N47">
        <f t="shared" si="2"/>
        <v>2069.23076923077</v>
      </c>
    </row>
    <row r="48" spans="11:14">
      <c r="K48">
        <v>19</v>
      </c>
      <c r="L48">
        <f t="shared" si="1"/>
        <v>1040000</v>
      </c>
      <c r="N48">
        <f t="shared" si="2"/>
        <v>3600</v>
      </c>
    </row>
    <row r="49" spans="11:14">
      <c r="K49">
        <v>20</v>
      </c>
      <c r="L49">
        <f t="shared" si="1"/>
        <v>770000</v>
      </c>
      <c r="N49">
        <f t="shared" si="2"/>
        <v>2684.61538461538</v>
      </c>
    </row>
    <row r="56" spans="2:10"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54</v>
      </c>
      <c r="J56" t="s">
        <v>55</v>
      </c>
    </row>
    <row r="57" spans="2:10">
      <c r="B57" t="s">
        <v>16</v>
      </c>
      <c r="C57" s="31">
        <f>SUMPRODUCT($C$31:$G$31,M5:Q5)</f>
        <v>1090000</v>
      </c>
      <c r="D57">
        <f>C57*J5/0.9/0.98</f>
        <v>15756802.7210884</v>
      </c>
      <c r="E57">
        <f>C57+2.576*L30</f>
        <v>3897840</v>
      </c>
      <c r="F57">
        <f>E57*J5/0.9/0.98</f>
        <v>56346326.5306122</v>
      </c>
      <c r="G57">
        <f>SUMPRODUCT($C$41:$G$41,M5:Q5)</f>
        <v>20961.5384615385</v>
      </c>
      <c r="H57">
        <f>G57*J5/0.9/0.95</f>
        <v>312584.345479082</v>
      </c>
      <c r="I57">
        <f>G57+2.576*N30</f>
        <v>30606.6769230769</v>
      </c>
      <c r="J57">
        <f>I57*J5/0.9/0.98</f>
        <v>442443.45892203</v>
      </c>
    </row>
    <row r="58" spans="2:10">
      <c r="B58" t="s">
        <v>17</v>
      </c>
      <c r="C58" s="31">
        <f t="shared" ref="C58:C76" si="3">SUMPRODUCT($C$31:$G$31,M6:Q6)</f>
        <v>580000</v>
      </c>
      <c r="D58">
        <f t="shared" ref="D58:D76" si="4">C58*J6/0.9/0.98</f>
        <v>5096371.88208617</v>
      </c>
      <c r="E58">
        <f t="shared" ref="E58:E77" si="5">C58+2.576*L31</f>
        <v>2074080</v>
      </c>
      <c r="F58">
        <f>E58*J6/0.9/0.98</f>
        <v>18224625.8503401</v>
      </c>
      <c r="G58">
        <f t="shared" ref="G58:G76" si="6">SUMPRODUCT($C$41:$G$41,M6:Q6)</f>
        <v>11153.8461538462</v>
      </c>
      <c r="H58">
        <f t="shared" ref="H58:H76" si="7">G58*J6/0.9/0.95</f>
        <v>101102.114260009</v>
      </c>
      <c r="I58">
        <f t="shared" ref="I58:I76" si="8">G58+2.576*N31</f>
        <v>15929.3538461538</v>
      </c>
      <c r="J58">
        <f t="shared" ref="J58:J77" si="9">I58*J6/0.9/0.98</f>
        <v>139968.812140241</v>
      </c>
    </row>
    <row r="59" spans="2:10">
      <c r="B59" t="s">
        <v>18</v>
      </c>
      <c r="C59" s="31">
        <f t="shared" si="3"/>
        <v>320000</v>
      </c>
      <c r="D59">
        <f t="shared" si="4"/>
        <v>3446712.01814059</v>
      </c>
      <c r="E59">
        <f t="shared" si="5"/>
        <v>1144320</v>
      </c>
      <c r="F59">
        <f>E59*J7/0.9/0.98</f>
        <v>12325442.1768707</v>
      </c>
      <c r="G59">
        <f t="shared" si="6"/>
        <v>6153.84615384615</v>
      </c>
      <c r="H59">
        <f t="shared" si="7"/>
        <v>68376.0683760684</v>
      </c>
      <c r="I59">
        <f t="shared" si="8"/>
        <v>8293.90769230769</v>
      </c>
      <c r="J59">
        <f t="shared" si="9"/>
        <v>89333.47287633</v>
      </c>
    </row>
    <row r="60" spans="2:10">
      <c r="B60" t="s">
        <v>19</v>
      </c>
      <c r="C60" s="31">
        <f t="shared" si="3"/>
        <v>480000</v>
      </c>
      <c r="D60">
        <f t="shared" si="4"/>
        <v>4081632.65306122</v>
      </c>
      <c r="E60">
        <f t="shared" si="5"/>
        <v>1716480</v>
      </c>
      <c r="F60">
        <f>E60*J8/0.9/0.98</f>
        <v>14595918.3673469</v>
      </c>
      <c r="G60">
        <f t="shared" si="6"/>
        <v>9230.76923076923</v>
      </c>
      <c r="H60">
        <f t="shared" si="7"/>
        <v>80971.6599190283</v>
      </c>
      <c r="I60">
        <f t="shared" si="8"/>
        <v>13510.8923076923</v>
      </c>
      <c r="J60">
        <f t="shared" si="9"/>
        <v>114888.540031397</v>
      </c>
    </row>
    <row r="61" spans="2:10">
      <c r="B61" t="s">
        <v>20</v>
      </c>
      <c r="C61" s="31">
        <f t="shared" si="3"/>
        <v>360000</v>
      </c>
      <c r="D61">
        <f t="shared" si="4"/>
        <v>3061224.48979592</v>
      </c>
      <c r="E61">
        <f t="shared" si="5"/>
        <v>1287360</v>
      </c>
      <c r="F61">
        <f>E61*J9/0.9/0.98</f>
        <v>10946938.7755102</v>
      </c>
      <c r="G61">
        <f t="shared" si="6"/>
        <v>6923.07692307692</v>
      </c>
      <c r="H61">
        <f t="shared" si="7"/>
        <v>60728.7449392713</v>
      </c>
      <c r="I61">
        <f t="shared" si="8"/>
        <v>10489.8461538462</v>
      </c>
      <c r="J61">
        <f t="shared" si="9"/>
        <v>89199.3720565149</v>
      </c>
    </row>
    <row r="62" spans="2:10">
      <c r="B62" t="s">
        <v>21</v>
      </c>
      <c r="C62" s="31">
        <f t="shared" si="3"/>
        <v>210000</v>
      </c>
      <c r="D62">
        <f t="shared" si="4"/>
        <v>2500000</v>
      </c>
      <c r="E62">
        <f t="shared" si="5"/>
        <v>750960</v>
      </c>
      <c r="F62">
        <f>E62*J10/0.9/0.98</f>
        <v>8940000</v>
      </c>
      <c r="G62">
        <f t="shared" si="6"/>
        <v>4038.46153846154</v>
      </c>
      <c r="H62">
        <f t="shared" si="7"/>
        <v>49595.1417004049</v>
      </c>
      <c r="I62">
        <f t="shared" si="8"/>
        <v>5836.70769230769</v>
      </c>
      <c r="J62">
        <f t="shared" si="9"/>
        <v>69484.6153846154</v>
      </c>
    </row>
    <row r="63" spans="2:10">
      <c r="B63" t="s">
        <v>22</v>
      </c>
      <c r="C63" s="31">
        <f t="shared" si="3"/>
        <v>720000</v>
      </c>
      <c r="D63">
        <f t="shared" si="4"/>
        <v>8163265.30612245</v>
      </c>
      <c r="E63">
        <f t="shared" si="5"/>
        <v>2574720</v>
      </c>
      <c r="F63">
        <f>E63*J11/0.9/0.98</f>
        <v>29191836.7346939</v>
      </c>
      <c r="G63">
        <f t="shared" si="6"/>
        <v>13846.1538461538</v>
      </c>
      <c r="H63">
        <f t="shared" si="7"/>
        <v>161943.319838057</v>
      </c>
      <c r="I63">
        <f t="shared" si="8"/>
        <v>20662.6461538462</v>
      </c>
      <c r="J63">
        <f t="shared" si="9"/>
        <v>234270.364556079</v>
      </c>
    </row>
    <row r="64" spans="2:10">
      <c r="B64" t="s">
        <v>23</v>
      </c>
      <c r="C64" s="31">
        <f t="shared" si="3"/>
        <v>240000</v>
      </c>
      <c r="D64">
        <f t="shared" si="4"/>
        <v>1292517.00680272</v>
      </c>
      <c r="E64">
        <f t="shared" si="5"/>
        <v>858240</v>
      </c>
      <c r="F64">
        <f>E64*J12/0.9/0.98</f>
        <v>4622040.81632653</v>
      </c>
      <c r="G64">
        <f t="shared" si="6"/>
        <v>4615.38461538462</v>
      </c>
      <c r="H64">
        <f t="shared" si="7"/>
        <v>25641.0256410256</v>
      </c>
      <c r="I64">
        <f t="shared" si="8"/>
        <v>6042.09230769231</v>
      </c>
      <c r="J64">
        <f t="shared" si="9"/>
        <v>32539.6127681842</v>
      </c>
    </row>
    <row r="65" spans="2:10">
      <c r="B65" t="s">
        <v>24</v>
      </c>
      <c r="C65" s="31">
        <f t="shared" si="3"/>
        <v>460000</v>
      </c>
      <c r="D65">
        <f t="shared" si="4"/>
        <v>4433106.57596372</v>
      </c>
      <c r="E65">
        <f t="shared" si="5"/>
        <v>1644960</v>
      </c>
      <c r="F65">
        <f>E65*J13/0.9/0.98</f>
        <v>15852789.1156463</v>
      </c>
      <c r="G65">
        <f t="shared" si="6"/>
        <v>8846.15384615385</v>
      </c>
      <c r="H65">
        <f t="shared" si="7"/>
        <v>87944.2195231669</v>
      </c>
      <c r="I65">
        <f t="shared" si="8"/>
        <v>13403.6923076923</v>
      </c>
      <c r="J65">
        <f t="shared" si="9"/>
        <v>129173.90545962</v>
      </c>
    </row>
    <row r="66" spans="2:10">
      <c r="B66" t="s">
        <v>25</v>
      </c>
      <c r="C66" s="31">
        <f t="shared" si="3"/>
        <v>240000</v>
      </c>
      <c r="D66">
        <f t="shared" si="4"/>
        <v>1768707.4829932</v>
      </c>
      <c r="E66">
        <f t="shared" si="5"/>
        <v>858240</v>
      </c>
      <c r="F66">
        <f>E66*J14/0.9/0.98</f>
        <v>6324897.95918367</v>
      </c>
      <c r="G66">
        <f t="shared" si="6"/>
        <v>4615.38461538462</v>
      </c>
      <c r="H66">
        <f t="shared" si="7"/>
        <v>35087.7192982456</v>
      </c>
      <c r="I66">
        <f t="shared" si="8"/>
        <v>6631.6</v>
      </c>
      <c r="J66">
        <f t="shared" si="9"/>
        <v>48872.335600907</v>
      </c>
    </row>
    <row r="67" spans="2:10">
      <c r="B67" t="s">
        <v>26</v>
      </c>
      <c r="C67" s="31">
        <f t="shared" si="3"/>
        <v>420000</v>
      </c>
      <c r="D67">
        <f t="shared" si="4"/>
        <v>1904761.9047619</v>
      </c>
      <c r="E67">
        <f t="shared" si="5"/>
        <v>1501920</v>
      </c>
      <c r="F67">
        <f>E67*J15/0.9/0.98</f>
        <v>6811428.57142857</v>
      </c>
      <c r="G67">
        <f t="shared" si="6"/>
        <v>8076.92307692308</v>
      </c>
      <c r="H67">
        <f t="shared" si="7"/>
        <v>37786.7746288799</v>
      </c>
      <c r="I67">
        <f t="shared" si="8"/>
        <v>11673.4153846154</v>
      </c>
      <c r="J67">
        <f t="shared" si="9"/>
        <v>52940.6593406593</v>
      </c>
    </row>
    <row r="68" spans="2:10">
      <c r="B68" t="s">
        <v>27</v>
      </c>
      <c r="C68" s="31">
        <f t="shared" si="3"/>
        <v>520000</v>
      </c>
      <c r="D68">
        <f t="shared" si="4"/>
        <v>3537414.96598639</v>
      </c>
      <c r="E68">
        <f t="shared" si="5"/>
        <v>1859520</v>
      </c>
      <c r="F68">
        <f>E68*J16/0.9/0.98</f>
        <v>12649795.9183673</v>
      </c>
      <c r="G68">
        <f t="shared" si="6"/>
        <v>10000</v>
      </c>
      <c r="H68">
        <f t="shared" si="7"/>
        <v>70175.4385964912</v>
      </c>
      <c r="I68">
        <f t="shared" si="8"/>
        <v>14339.5692307692</v>
      </c>
      <c r="J68">
        <f t="shared" si="9"/>
        <v>97548.0900052329</v>
      </c>
    </row>
    <row r="69" spans="2:10">
      <c r="B69" t="s">
        <v>28</v>
      </c>
      <c r="C69" s="31">
        <f t="shared" si="3"/>
        <v>260000</v>
      </c>
      <c r="D69">
        <f t="shared" si="4"/>
        <v>2210884.3537415</v>
      </c>
      <c r="E69">
        <f t="shared" si="5"/>
        <v>929760</v>
      </c>
      <c r="F69">
        <f>E69*J17/0.9/0.98</f>
        <v>7906122.44897959</v>
      </c>
      <c r="G69">
        <f t="shared" si="6"/>
        <v>5000</v>
      </c>
      <c r="H69">
        <f t="shared" si="7"/>
        <v>43859.649122807</v>
      </c>
      <c r="I69">
        <f t="shared" si="8"/>
        <v>7169.78461538461</v>
      </c>
      <c r="J69">
        <f t="shared" si="9"/>
        <v>60967.5562532705</v>
      </c>
    </row>
    <row r="70" spans="2:10">
      <c r="B70" t="s">
        <v>29</v>
      </c>
      <c r="C70" s="31">
        <f t="shared" si="3"/>
        <v>940000</v>
      </c>
      <c r="D70">
        <f t="shared" si="4"/>
        <v>5062358.27664399</v>
      </c>
      <c r="E70">
        <f t="shared" si="5"/>
        <v>3361440</v>
      </c>
      <c r="F70">
        <f>E70*J18/0.9/0.98</f>
        <v>18102993.1972789</v>
      </c>
      <c r="G70">
        <f t="shared" si="6"/>
        <v>18076.9230769231</v>
      </c>
      <c r="H70">
        <f t="shared" si="7"/>
        <v>100427.35042735</v>
      </c>
      <c r="I70">
        <f t="shared" si="8"/>
        <v>26756.0615384615</v>
      </c>
      <c r="J70">
        <f t="shared" si="9"/>
        <v>144094.435723007</v>
      </c>
    </row>
    <row r="71" spans="2:10">
      <c r="B71" t="s">
        <v>30</v>
      </c>
      <c r="C71" s="31">
        <f t="shared" si="3"/>
        <v>120000</v>
      </c>
      <c r="D71">
        <f t="shared" si="4"/>
        <v>1020408.16326531</v>
      </c>
      <c r="E71">
        <f t="shared" si="5"/>
        <v>429120</v>
      </c>
      <c r="F71">
        <f>E71*J19/0.9/0.98</f>
        <v>3648979.59183673</v>
      </c>
      <c r="G71">
        <f t="shared" si="6"/>
        <v>2307.69230769231</v>
      </c>
      <c r="H71">
        <f t="shared" si="7"/>
        <v>20242.9149797571</v>
      </c>
      <c r="I71">
        <f t="shared" si="8"/>
        <v>3021.04615384615</v>
      </c>
      <c r="J71">
        <f t="shared" si="9"/>
        <v>25689.1679748823</v>
      </c>
    </row>
    <row r="72" spans="2:10">
      <c r="B72" t="s">
        <v>31</v>
      </c>
      <c r="C72" s="31">
        <f t="shared" si="3"/>
        <v>620000</v>
      </c>
      <c r="D72">
        <f t="shared" si="4"/>
        <v>7029478.45804989</v>
      </c>
      <c r="E72">
        <f t="shared" si="5"/>
        <v>2217120</v>
      </c>
      <c r="F72">
        <f>E72*J20/0.9/0.98</f>
        <v>25137414.9659864</v>
      </c>
      <c r="G72">
        <f t="shared" si="6"/>
        <v>11923.0769230769</v>
      </c>
      <c r="H72">
        <f t="shared" si="7"/>
        <v>139451.192082771</v>
      </c>
      <c r="I72">
        <f t="shared" si="8"/>
        <v>18065.8461538462</v>
      </c>
      <c r="J72">
        <f t="shared" si="9"/>
        <v>204828.187685331</v>
      </c>
    </row>
    <row r="73" spans="2:10">
      <c r="B73" t="s">
        <v>32</v>
      </c>
      <c r="C73" s="31">
        <f t="shared" si="3"/>
        <v>260000</v>
      </c>
      <c r="D73">
        <f t="shared" si="4"/>
        <v>2137188.20861678</v>
      </c>
      <c r="E73">
        <f t="shared" si="5"/>
        <v>929760</v>
      </c>
      <c r="F73">
        <f>E73*J21/0.9/0.98</f>
        <v>7642585.03401361</v>
      </c>
      <c r="G73">
        <f t="shared" si="6"/>
        <v>5000</v>
      </c>
      <c r="H73">
        <f t="shared" si="7"/>
        <v>42397.6608187134</v>
      </c>
      <c r="I73">
        <f t="shared" si="8"/>
        <v>7169.78461538461</v>
      </c>
      <c r="J73">
        <f t="shared" si="9"/>
        <v>58935.3043781615</v>
      </c>
    </row>
    <row r="74" spans="2:10">
      <c r="B74" t="s">
        <v>33</v>
      </c>
      <c r="C74" s="31">
        <f t="shared" si="3"/>
        <v>620000</v>
      </c>
      <c r="D74">
        <f t="shared" si="4"/>
        <v>4393424.03628118</v>
      </c>
      <c r="E74">
        <f t="shared" si="5"/>
        <v>2217120</v>
      </c>
      <c r="F74">
        <f>E74*J22/0.9/0.98</f>
        <v>15710884.3537415</v>
      </c>
      <c r="G74">
        <f t="shared" si="6"/>
        <v>11923.0769230769</v>
      </c>
      <c r="H74">
        <f t="shared" si="7"/>
        <v>87156.9950517319</v>
      </c>
      <c r="I74">
        <f t="shared" si="8"/>
        <v>17253.4153846154</v>
      </c>
      <c r="J74">
        <f t="shared" si="9"/>
        <v>122260.596546311</v>
      </c>
    </row>
    <row r="75" spans="2:10">
      <c r="B75" t="s">
        <v>34</v>
      </c>
      <c r="C75" s="31">
        <f t="shared" si="3"/>
        <v>1040000</v>
      </c>
      <c r="D75">
        <f t="shared" si="4"/>
        <v>12380952.3809524</v>
      </c>
      <c r="E75">
        <f t="shared" si="5"/>
        <v>3719040</v>
      </c>
      <c r="F75">
        <f>E75*J23/0.9/0.98</f>
        <v>44274285.7142857</v>
      </c>
      <c r="G75">
        <f t="shared" si="6"/>
        <v>20000</v>
      </c>
      <c r="H75">
        <f t="shared" si="7"/>
        <v>245614.035087719</v>
      </c>
      <c r="I75">
        <f t="shared" si="8"/>
        <v>29273.6</v>
      </c>
      <c r="J75">
        <f t="shared" si="9"/>
        <v>348495.238095238</v>
      </c>
    </row>
    <row r="76" spans="2:10">
      <c r="B76" t="s">
        <v>35</v>
      </c>
      <c r="C76" s="31">
        <f t="shared" si="3"/>
        <v>770000</v>
      </c>
      <c r="D76">
        <f t="shared" si="4"/>
        <v>5019841.26984127</v>
      </c>
      <c r="E76">
        <f t="shared" si="5"/>
        <v>2753520</v>
      </c>
      <c r="F76">
        <f>E76*J24/0.9/0.98</f>
        <v>17950952.3809524</v>
      </c>
      <c r="G76">
        <f t="shared" si="6"/>
        <v>14807.6923076923</v>
      </c>
      <c r="H76">
        <f t="shared" si="7"/>
        <v>99583.8956365272</v>
      </c>
      <c r="I76">
        <f t="shared" si="8"/>
        <v>21723.2615384615</v>
      </c>
      <c r="J76">
        <f t="shared" si="9"/>
        <v>141619.902319902</v>
      </c>
    </row>
    <row r="77" spans="2:10">
      <c r="B77" t="s">
        <v>56</v>
      </c>
      <c r="C77">
        <f>SUM(C57:C76)</f>
        <v>10270000</v>
      </c>
      <c r="D77">
        <f>SUM(D57:D76)</f>
        <v>94297052.154195</v>
      </c>
      <c r="E77">
        <f t="shared" si="5"/>
        <v>10270000</v>
      </c>
      <c r="F77">
        <f>D77+2.576*M50</f>
        <v>94297052.154195</v>
      </c>
      <c r="G77">
        <f>E77+2.576*N50</f>
        <v>10270000</v>
      </c>
      <c r="H77">
        <f>F77+2.576*O50</f>
        <v>94297052.154195</v>
      </c>
      <c r="I77">
        <f>G77+2.576*P50</f>
        <v>10270000</v>
      </c>
      <c r="J77">
        <f t="shared" si="9"/>
        <v>0</v>
      </c>
    </row>
    <row r="83" spans="2:12">
      <c r="B83" t="s">
        <v>47</v>
      </c>
      <c r="C83" t="s">
        <v>50</v>
      </c>
      <c r="E83" t="s">
        <v>47</v>
      </c>
      <c r="F83" t="s">
        <v>51</v>
      </c>
      <c r="H83" t="str">
        <f>B56</f>
        <v>Parts</v>
      </c>
      <c r="I83" t="str">
        <f>I56</f>
        <v>Weekly Robust Demand (units)</v>
      </c>
      <c r="K83" t="str">
        <f>B56</f>
        <v>Parts</v>
      </c>
      <c r="L83" t="str">
        <f>J56</f>
        <v>Weekly Robust Time (minutes)</v>
      </c>
    </row>
    <row r="84" spans="2:12">
      <c r="B84" t="s">
        <v>16</v>
      </c>
      <c r="C84">
        <v>3897840</v>
      </c>
      <c r="E84" t="s">
        <v>16</v>
      </c>
      <c r="F84">
        <v>56346326.5306122</v>
      </c>
      <c r="H84" t="str">
        <f t="shared" ref="H84:H103" si="10">B57</f>
        <v>P1</v>
      </c>
      <c r="I84">
        <f t="shared" ref="I84:I103" si="11">I57</f>
        <v>30606.6769230769</v>
      </c>
      <c r="K84" t="str">
        <f t="shared" ref="K84:K103" si="12">B57</f>
        <v>P1</v>
      </c>
      <c r="L84">
        <f t="shared" ref="L84:L103" si="13">J57</f>
        <v>442443.45892203</v>
      </c>
    </row>
    <row r="85" spans="2:12">
      <c r="B85" t="s">
        <v>34</v>
      </c>
      <c r="C85">
        <v>3719040</v>
      </c>
      <c r="E85" t="s">
        <v>34</v>
      </c>
      <c r="F85">
        <v>44274285.7142857</v>
      </c>
      <c r="H85" t="str">
        <f t="shared" si="10"/>
        <v>P2</v>
      </c>
      <c r="I85">
        <f t="shared" si="11"/>
        <v>15929.3538461538</v>
      </c>
      <c r="K85" t="str">
        <f t="shared" si="12"/>
        <v>P2</v>
      </c>
      <c r="L85">
        <f t="shared" si="13"/>
        <v>139968.812140241</v>
      </c>
    </row>
    <row r="86" spans="2:12">
      <c r="B86" t="s">
        <v>29</v>
      </c>
      <c r="C86">
        <v>3361440</v>
      </c>
      <c r="E86" t="s">
        <v>22</v>
      </c>
      <c r="F86">
        <v>29191836.7346939</v>
      </c>
      <c r="H86" t="str">
        <f t="shared" si="10"/>
        <v>P3</v>
      </c>
      <c r="I86">
        <f t="shared" si="11"/>
        <v>8293.90769230769</v>
      </c>
      <c r="K86" t="str">
        <f t="shared" si="12"/>
        <v>P3</v>
      </c>
      <c r="L86">
        <f t="shared" si="13"/>
        <v>89333.47287633</v>
      </c>
    </row>
    <row r="87" spans="2:12">
      <c r="B87" t="s">
        <v>35</v>
      </c>
      <c r="C87">
        <v>2753520</v>
      </c>
      <c r="E87" t="s">
        <v>31</v>
      </c>
      <c r="F87">
        <v>25137414.9659864</v>
      </c>
      <c r="H87" t="str">
        <f t="shared" si="10"/>
        <v>P4</v>
      </c>
      <c r="I87">
        <f t="shared" si="11"/>
        <v>13510.8923076923</v>
      </c>
      <c r="K87" t="str">
        <f t="shared" si="12"/>
        <v>P4</v>
      </c>
      <c r="L87">
        <f t="shared" si="13"/>
        <v>114888.540031397</v>
      </c>
    </row>
    <row r="88" spans="2:12">
      <c r="B88" t="s">
        <v>22</v>
      </c>
      <c r="C88">
        <v>2574720</v>
      </c>
      <c r="E88" t="s">
        <v>17</v>
      </c>
      <c r="F88">
        <v>18224625.8503401</v>
      </c>
      <c r="H88" t="str">
        <f t="shared" si="10"/>
        <v>P5</v>
      </c>
      <c r="I88">
        <f t="shared" si="11"/>
        <v>10489.8461538462</v>
      </c>
      <c r="K88" t="str">
        <f t="shared" si="12"/>
        <v>P5</v>
      </c>
      <c r="L88">
        <f t="shared" si="13"/>
        <v>89199.3720565149</v>
      </c>
    </row>
    <row r="89" spans="2:12">
      <c r="B89" t="s">
        <v>31</v>
      </c>
      <c r="C89">
        <v>2217120</v>
      </c>
      <c r="E89" t="s">
        <v>29</v>
      </c>
      <c r="F89">
        <v>18102993.1972789</v>
      </c>
      <c r="H89" t="str">
        <f t="shared" si="10"/>
        <v>P6</v>
      </c>
      <c r="I89">
        <f t="shared" si="11"/>
        <v>5836.70769230769</v>
      </c>
      <c r="K89" t="str">
        <f t="shared" si="12"/>
        <v>P6</v>
      </c>
      <c r="L89">
        <f t="shared" si="13"/>
        <v>69484.6153846154</v>
      </c>
    </row>
    <row r="90" spans="2:12">
      <c r="B90" t="s">
        <v>33</v>
      </c>
      <c r="C90">
        <v>2217120</v>
      </c>
      <c r="E90" t="s">
        <v>35</v>
      </c>
      <c r="F90">
        <v>17950952.3809524</v>
      </c>
      <c r="H90" t="str">
        <f t="shared" si="10"/>
        <v>P7</v>
      </c>
      <c r="I90">
        <f t="shared" si="11"/>
        <v>20662.6461538462</v>
      </c>
      <c r="K90" t="str">
        <f t="shared" si="12"/>
        <v>P7</v>
      </c>
      <c r="L90">
        <f t="shared" si="13"/>
        <v>234270.364556079</v>
      </c>
    </row>
    <row r="91" spans="2:12">
      <c r="B91" t="s">
        <v>17</v>
      </c>
      <c r="C91">
        <v>2074080</v>
      </c>
      <c r="E91" t="s">
        <v>24</v>
      </c>
      <c r="F91">
        <v>15852789.1156463</v>
      </c>
      <c r="H91" t="str">
        <f t="shared" si="10"/>
        <v>P8</v>
      </c>
      <c r="I91">
        <f t="shared" si="11"/>
        <v>6042.09230769231</v>
      </c>
      <c r="K91" t="str">
        <f t="shared" si="12"/>
        <v>P8</v>
      </c>
      <c r="L91">
        <f t="shared" si="13"/>
        <v>32539.6127681842</v>
      </c>
    </row>
    <row r="92" spans="2:12">
      <c r="B92" t="s">
        <v>27</v>
      </c>
      <c r="C92">
        <v>1859520</v>
      </c>
      <c r="E92" t="s">
        <v>33</v>
      </c>
      <c r="F92">
        <v>15710884.3537415</v>
      </c>
      <c r="H92" t="str">
        <f t="shared" si="10"/>
        <v>P9</v>
      </c>
      <c r="I92">
        <f t="shared" si="11"/>
        <v>13403.6923076923</v>
      </c>
      <c r="K92" t="str">
        <f t="shared" si="12"/>
        <v>P9</v>
      </c>
      <c r="L92">
        <f t="shared" si="13"/>
        <v>129173.90545962</v>
      </c>
    </row>
    <row r="93" spans="2:12">
      <c r="B93" t="s">
        <v>19</v>
      </c>
      <c r="C93">
        <v>1716480</v>
      </c>
      <c r="E93" t="s">
        <v>19</v>
      </c>
      <c r="F93">
        <v>14595918.3673469</v>
      </c>
      <c r="H93" t="str">
        <f t="shared" si="10"/>
        <v>P10</v>
      </c>
      <c r="I93">
        <f t="shared" si="11"/>
        <v>6631.6</v>
      </c>
      <c r="K93" t="str">
        <f t="shared" si="12"/>
        <v>P10</v>
      </c>
      <c r="L93">
        <f t="shared" si="13"/>
        <v>48872.335600907</v>
      </c>
    </row>
    <row r="94" spans="2:12">
      <c r="B94" t="s">
        <v>24</v>
      </c>
      <c r="C94">
        <v>1644960</v>
      </c>
      <c r="E94" t="s">
        <v>27</v>
      </c>
      <c r="F94">
        <v>12649795.9183673</v>
      </c>
      <c r="H94" t="str">
        <f t="shared" si="10"/>
        <v>P11</v>
      </c>
      <c r="I94">
        <f t="shared" si="11"/>
        <v>11673.4153846154</v>
      </c>
      <c r="K94" t="str">
        <f t="shared" si="12"/>
        <v>P11</v>
      </c>
      <c r="L94">
        <f t="shared" si="13"/>
        <v>52940.6593406593</v>
      </c>
    </row>
    <row r="95" spans="2:12">
      <c r="B95" t="s">
        <v>26</v>
      </c>
      <c r="C95">
        <v>1501920</v>
      </c>
      <c r="E95" t="s">
        <v>18</v>
      </c>
      <c r="F95">
        <v>12325442.1768707</v>
      </c>
      <c r="H95" t="str">
        <f t="shared" si="10"/>
        <v>P12</v>
      </c>
      <c r="I95">
        <f t="shared" si="11"/>
        <v>14339.5692307692</v>
      </c>
      <c r="K95" t="str">
        <f t="shared" si="12"/>
        <v>P12</v>
      </c>
      <c r="L95">
        <f t="shared" si="13"/>
        <v>97548.0900052329</v>
      </c>
    </row>
    <row r="96" spans="2:12">
      <c r="B96" t="s">
        <v>20</v>
      </c>
      <c r="C96">
        <v>1287360</v>
      </c>
      <c r="E96" t="s">
        <v>20</v>
      </c>
      <c r="F96">
        <v>10946938.7755102</v>
      </c>
      <c r="H96" t="str">
        <f t="shared" si="10"/>
        <v>P13</v>
      </c>
      <c r="I96">
        <f t="shared" si="11"/>
        <v>7169.78461538461</v>
      </c>
      <c r="K96" t="str">
        <f t="shared" si="12"/>
        <v>P13</v>
      </c>
      <c r="L96">
        <f t="shared" si="13"/>
        <v>60967.5562532705</v>
      </c>
    </row>
    <row r="97" spans="2:12">
      <c r="B97" t="s">
        <v>18</v>
      </c>
      <c r="C97">
        <v>1144320</v>
      </c>
      <c r="E97" t="s">
        <v>21</v>
      </c>
      <c r="F97">
        <v>8940000</v>
      </c>
      <c r="H97" t="str">
        <f t="shared" si="10"/>
        <v>P14</v>
      </c>
      <c r="I97">
        <f t="shared" si="11"/>
        <v>26756.0615384615</v>
      </c>
      <c r="K97" t="str">
        <f t="shared" si="12"/>
        <v>P14</v>
      </c>
      <c r="L97">
        <f t="shared" si="13"/>
        <v>144094.435723007</v>
      </c>
    </row>
    <row r="98" spans="2:12">
      <c r="B98" t="s">
        <v>28</v>
      </c>
      <c r="C98">
        <v>929760</v>
      </c>
      <c r="E98" t="s">
        <v>28</v>
      </c>
      <c r="F98">
        <v>7906122.44897959</v>
      </c>
      <c r="H98" t="str">
        <f t="shared" si="10"/>
        <v>P15</v>
      </c>
      <c r="I98">
        <f t="shared" si="11"/>
        <v>3021.04615384615</v>
      </c>
      <c r="K98" t="str">
        <f t="shared" si="12"/>
        <v>P15</v>
      </c>
      <c r="L98">
        <f t="shared" si="13"/>
        <v>25689.1679748823</v>
      </c>
    </row>
    <row r="99" spans="2:12">
      <c r="B99" t="s">
        <v>32</v>
      </c>
      <c r="C99">
        <v>929760</v>
      </c>
      <c r="E99" t="s">
        <v>32</v>
      </c>
      <c r="F99">
        <v>7642585.03401361</v>
      </c>
      <c r="H99" t="str">
        <f t="shared" si="10"/>
        <v>P16</v>
      </c>
      <c r="I99">
        <f t="shared" si="11"/>
        <v>18065.8461538462</v>
      </c>
      <c r="K99" t="str">
        <f t="shared" si="12"/>
        <v>P16</v>
      </c>
      <c r="L99">
        <f t="shared" si="13"/>
        <v>204828.187685331</v>
      </c>
    </row>
    <row r="100" spans="2:12">
      <c r="B100" t="s">
        <v>23</v>
      </c>
      <c r="C100">
        <v>858240</v>
      </c>
      <c r="E100" t="s">
        <v>26</v>
      </c>
      <c r="F100">
        <v>6811428.57142857</v>
      </c>
      <c r="H100" t="str">
        <f t="shared" si="10"/>
        <v>P17</v>
      </c>
      <c r="I100">
        <f t="shared" si="11"/>
        <v>7169.78461538461</v>
      </c>
      <c r="K100" t="str">
        <f t="shared" si="12"/>
        <v>P17</v>
      </c>
      <c r="L100">
        <f t="shared" si="13"/>
        <v>58935.3043781615</v>
      </c>
    </row>
    <row r="101" spans="2:12">
      <c r="B101" t="s">
        <v>25</v>
      </c>
      <c r="C101">
        <v>858240</v>
      </c>
      <c r="E101" t="s">
        <v>25</v>
      </c>
      <c r="F101">
        <v>6324897.95918367</v>
      </c>
      <c r="H101" t="str">
        <f t="shared" si="10"/>
        <v>P18</v>
      </c>
      <c r="I101">
        <f t="shared" si="11"/>
        <v>17253.4153846154</v>
      </c>
      <c r="K101" t="str">
        <f t="shared" si="12"/>
        <v>P18</v>
      </c>
      <c r="L101">
        <f t="shared" si="13"/>
        <v>122260.596546311</v>
      </c>
    </row>
    <row r="102" spans="2:12">
      <c r="B102" t="s">
        <v>21</v>
      </c>
      <c r="C102">
        <v>750960</v>
      </c>
      <c r="E102" t="s">
        <v>23</v>
      </c>
      <c r="F102">
        <v>4622040.81632653</v>
      </c>
      <c r="H102" t="str">
        <f t="shared" si="10"/>
        <v>P19</v>
      </c>
      <c r="I102">
        <f t="shared" si="11"/>
        <v>29273.6</v>
      </c>
      <c r="K102" t="str">
        <f t="shared" si="12"/>
        <v>P19</v>
      </c>
      <c r="L102">
        <f t="shared" si="13"/>
        <v>348495.238095238</v>
      </c>
    </row>
    <row r="103" spans="2:12">
      <c r="B103" t="s">
        <v>30</v>
      </c>
      <c r="C103">
        <v>429120</v>
      </c>
      <c r="E103" t="s">
        <v>30</v>
      </c>
      <c r="F103">
        <v>3648979.59183673</v>
      </c>
      <c r="H103" t="str">
        <f t="shared" si="10"/>
        <v>P20</v>
      </c>
      <c r="I103">
        <f t="shared" si="11"/>
        <v>21723.2615384615</v>
      </c>
      <c r="K103" t="str">
        <f t="shared" si="12"/>
        <v>P20</v>
      </c>
      <c r="L103">
        <f t="shared" si="13"/>
        <v>141619.902319902</v>
      </c>
    </row>
  </sheetData>
  <sortState ref="E72:F91">
    <sortCondition ref="F72" descending="1"/>
  </sortState>
  <mergeCells count="7">
    <mergeCell ref="C3:I3"/>
    <mergeCell ref="M3:Q3"/>
    <mergeCell ref="B29:H29"/>
    <mergeCell ref="B34:H34"/>
    <mergeCell ref="B39:H39"/>
    <mergeCell ref="B43:H43"/>
    <mergeCell ref="L3:L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105"/>
  <sheetViews>
    <sheetView zoomScale="50" zoomScaleNormal="50" topLeftCell="A60" workbookViewId="0">
      <selection activeCell="L85" sqref="L85:L105"/>
    </sheetView>
  </sheetViews>
  <sheetFormatPr defaultColWidth="11" defaultRowHeight="17.6"/>
  <cols>
    <col min="3" max="3" width="22.1527777777778" customWidth="1"/>
    <col min="4" max="4" width="21.6597222222222" customWidth="1"/>
    <col min="5" max="5" width="24.7986111111111" customWidth="1"/>
    <col min="6" max="6" width="25.6180555555556" customWidth="1"/>
    <col min="7" max="7" width="22.1597222222222" customWidth="1"/>
    <col min="8" max="8" width="22.1527777777778" customWidth="1"/>
    <col min="9" max="9" width="26.2847222222222" customWidth="1"/>
    <col min="10" max="10" width="25.9583333333333" customWidth="1"/>
    <col min="11" max="11" width="12.5555555555556"/>
    <col min="12" max="12" width="20.5" customWidth="1"/>
    <col min="13" max="13" width="21.9861111111111" customWidth="1"/>
    <col min="14" max="15" width="12.5555555555556"/>
  </cols>
  <sheetData>
    <row r="3" spans="2:20">
      <c r="B3" s="1" t="s">
        <v>0</v>
      </c>
      <c r="C3" s="2" t="s">
        <v>1</v>
      </c>
      <c r="D3" s="3"/>
      <c r="E3" s="3"/>
      <c r="F3" s="3"/>
      <c r="G3" s="3"/>
      <c r="H3" s="3"/>
      <c r="I3" s="32"/>
      <c r="L3" s="1" t="s">
        <v>0</v>
      </c>
      <c r="M3" s="2" t="s">
        <v>57</v>
      </c>
      <c r="N3" s="3"/>
      <c r="O3" s="3"/>
      <c r="P3" s="3"/>
      <c r="Q3" s="3"/>
      <c r="R3" s="3"/>
      <c r="S3" s="3"/>
      <c r="T3" s="32"/>
    </row>
    <row r="4" spans="2:20"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3" t="s">
        <v>9</v>
      </c>
      <c r="J4" t="s">
        <v>10</v>
      </c>
      <c r="L4" s="13"/>
      <c r="M4" s="46" t="s">
        <v>11</v>
      </c>
      <c r="N4" s="47" t="s">
        <v>12</v>
      </c>
      <c r="O4" s="47" t="s">
        <v>13</v>
      </c>
      <c r="P4" s="47" t="s">
        <v>14</v>
      </c>
      <c r="Q4" s="47" t="s">
        <v>15</v>
      </c>
      <c r="R4" s="47" t="s">
        <v>58</v>
      </c>
      <c r="S4" s="47" t="s">
        <v>59</v>
      </c>
      <c r="T4" s="50" t="s">
        <v>60</v>
      </c>
    </row>
    <row r="5" spans="2:20">
      <c r="B5" s="4" t="s">
        <v>16</v>
      </c>
      <c r="C5" s="6">
        <v>2.5</v>
      </c>
      <c r="D5" s="6">
        <v>1</v>
      </c>
      <c r="E5" s="6">
        <v>2.5</v>
      </c>
      <c r="F5" s="6">
        <v>0.5</v>
      </c>
      <c r="G5" s="6">
        <v>2.5</v>
      </c>
      <c r="H5" s="6">
        <v>1.25</v>
      </c>
      <c r="I5" s="34">
        <v>2.5</v>
      </c>
      <c r="J5">
        <f t="shared" ref="J5:J24" si="0">SUM(C5:I5)</f>
        <v>12.75</v>
      </c>
      <c r="L5" s="13" t="s">
        <v>16</v>
      </c>
      <c r="M5" s="48">
        <v>1</v>
      </c>
      <c r="N5" s="49">
        <v>2</v>
      </c>
      <c r="O5" s="49">
        <v>4</v>
      </c>
      <c r="P5" s="49">
        <v>4</v>
      </c>
      <c r="Q5" s="49">
        <v>1</v>
      </c>
      <c r="R5" s="49"/>
      <c r="S5" s="49"/>
      <c r="T5" s="51">
        <v>2</v>
      </c>
    </row>
    <row r="6" spans="2:20">
      <c r="B6" s="4" t="s">
        <v>17</v>
      </c>
      <c r="C6" s="6">
        <v>1.25</v>
      </c>
      <c r="D6" s="6">
        <v>0.5</v>
      </c>
      <c r="E6" s="6">
        <v>2.5</v>
      </c>
      <c r="F6" s="6">
        <v>1</v>
      </c>
      <c r="G6" s="6">
        <v>2.5</v>
      </c>
      <c r="H6" s="6"/>
      <c r="I6" s="34"/>
      <c r="J6">
        <f t="shared" si="0"/>
        <v>7.75</v>
      </c>
      <c r="L6" s="13" t="s">
        <v>17</v>
      </c>
      <c r="M6" s="14">
        <v>4</v>
      </c>
      <c r="N6" s="15"/>
      <c r="O6" s="15">
        <v>2</v>
      </c>
      <c r="P6" s="15">
        <v>2</v>
      </c>
      <c r="Q6" s="15"/>
      <c r="R6" s="15"/>
      <c r="S6" s="15"/>
      <c r="T6" s="42">
        <v>1</v>
      </c>
    </row>
    <row r="7" spans="2:20">
      <c r="B7" s="4" t="s">
        <v>18</v>
      </c>
      <c r="C7" s="6">
        <v>1.75</v>
      </c>
      <c r="D7" s="6">
        <v>3</v>
      </c>
      <c r="E7" s="6">
        <v>0.75</v>
      </c>
      <c r="F7" s="6">
        <v>1.5</v>
      </c>
      <c r="G7" s="6">
        <v>2.5</v>
      </c>
      <c r="H7" s="6"/>
      <c r="I7" s="34"/>
      <c r="J7">
        <f t="shared" si="0"/>
        <v>9.5</v>
      </c>
      <c r="L7" s="13" t="s">
        <v>18</v>
      </c>
      <c r="M7" s="14"/>
      <c r="N7" s="15"/>
      <c r="O7" s="15"/>
      <c r="P7" s="15">
        <v>4</v>
      </c>
      <c r="Q7" s="15">
        <v>1</v>
      </c>
      <c r="R7" s="15">
        <v>2</v>
      </c>
      <c r="S7" s="15">
        <v>4</v>
      </c>
      <c r="T7" s="42">
        <v>1</v>
      </c>
    </row>
    <row r="8" spans="2:20">
      <c r="B8" s="4" t="s">
        <v>19</v>
      </c>
      <c r="C8" s="6">
        <v>1</v>
      </c>
      <c r="D8" s="6">
        <v>2</v>
      </c>
      <c r="E8" s="6">
        <v>3</v>
      </c>
      <c r="F8" s="6">
        <v>0.25</v>
      </c>
      <c r="G8" s="6">
        <v>1.25</v>
      </c>
      <c r="H8" s="6"/>
      <c r="I8" s="34"/>
      <c r="J8">
        <f t="shared" si="0"/>
        <v>7.5</v>
      </c>
      <c r="L8" s="13" t="s">
        <v>19</v>
      </c>
      <c r="M8" s="14"/>
      <c r="N8" s="15">
        <v>1</v>
      </c>
      <c r="O8" s="15">
        <v>2</v>
      </c>
      <c r="P8" s="15">
        <v>2</v>
      </c>
      <c r="Q8" s="15"/>
      <c r="R8" s="15"/>
      <c r="S8" s="15"/>
      <c r="T8" s="42"/>
    </row>
    <row r="9" spans="2:20">
      <c r="B9" s="4" t="s">
        <v>20</v>
      </c>
      <c r="C9" s="6">
        <v>1.5</v>
      </c>
      <c r="D9" s="6">
        <v>0.75</v>
      </c>
      <c r="E9" s="6">
        <v>3.5</v>
      </c>
      <c r="F9" s="6">
        <v>1.75</v>
      </c>
      <c r="G9" s="6"/>
      <c r="H9" s="6"/>
      <c r="I9" s="34"/>
      <c r="J9">
        <f t="shared" si="0"/>
        <v>7.5</v>
      </c>
      <c r="L9" s="13" t="s">
        <v>20</v>
      </c>
      <c r="M9" s="14"/>
      <c r="N9" s="15">
        <v>1</v>
      </c>
      <c r="O9" s="15">
        <v>2</v>
      </c>
      <c r="P9" s="15"/>
      <c r="Q9" s="15"/>
      <c r="R9" s="15">
        <v>1</v>
      </c>
      <c r="S9" s="15">
        <v>1</v>
      </c>
      <c r="T9" s="42"/>
    </row>
    <row r="10" spans="2:20">
      <c r="B10" s="4" t="s">
        <v>21</v>
      </c>
      <c r="C10" s="6">
        <v>0.75</v>
      </c>
      <c r="D10" s="6">
        <v>1.25</v>
      </c>
      <c r="E10" s="6">
        <v>0.5</v>
      </c>
      <c r="F10" s="6">
        <v>3</v>
      </c>
      <c r="G10" s="6">
        <v>1</v>
      </c>
      <c r="H10" s="6">
        <v>1.25</v>
      </c>
      <c r="I10" s="34">
        <v>2.75</v>
      </c>
      <c r="J10">
        <f t="shared" si="0"/>
        <v>10.5</v>
      </c>
      <c r="L10" s="13" t="s">
        <v>21</v>
      </c>
      <c r="M10" s="14">
        <v>1</v>
      </c>
      <c r="N10" s="15"/>
      <c r="O10" s="15"/>
      <c r="P10" s="15"/>
      <c r="Q10" s="15">
        <v>2</v>
      </c>
      <c r="R10" s="15"/>
      <c r="S10" s="15"/>
      <c r="T10" s="42">
        <v>3</v>
      </c>
    </row>
    <row r="11" spans="2:20">
      <c r="B11" s="4" t="s">
        <v>22</v>
      </c>
      <c r="C11" s="6">
        <v>1</v>
      </c>
      <c r="D11" s="6">
        <v>1.5</v>
      </c>
      <c r="E11" s="6">
        <v>0.75</v>
      </c>
      <c r="F11" s="6">
        <v>3.5</v>
      </c>
      <c r="G11" s="6">
        <v>1.25</v>
      </c>
      <c r="H11" s="6">
        <v>2</v>
      </c>
      <c r="I11" s="34"/>
      <c r="J11">
        <f t="shared" si="0"/>
        <v>10</v>
      </c>
      <c r="L11" s="13" t="s">
        <v>22</v>
      </c>
      <c r="M11" s="14"/>
      <c r="N11" s="15">
        <v>4</v>
      </c>
      <c r="O11" s="15"/>
      <c r="P11" s="15"/>
      <c r="Q11" s="15">
        <v>4</v>
      </c>
      <c r="R11" s="15"/>
      <c r="S11" s="15">
        <v>1</v>
      </c>
      <c r="T11" s="42">
        <v>1</v>
      </c>
    </row>
    <row r="12" spans="2:20">
      <c r="B12" s="4" t="s">
        <v>23</v>
      </c>
      <c r="C12" s="6">
        <v>1.25</v>
      </c>
      <c r="D12" s="6">
        <v>2</v>
      </c>
      <c r="E12" s="6">
        <v>0.5</v>
      </c>
      <c r="F12" s="6">
        <v>1</v>
      </c>
      <c r="G12" s="6"/>
      <c r="H12" s="6"/>
      <c r="I12" s="34"/>
      <c r="J12">
        <f t="shared" si="0"/>
        <v>4.75</v>
      </c>
      <c r="L12" s="13" t="s">
        <v>23</v>
      </c>
      <c r="M12" s="14"/>
      <c r="N12" s="15"/>
      <c r="O12" s="15"/>
      <c r="P12" s="15">
        <v>4</v>
      </c>
      <c r="Q12" s="15"/>
      <c r="R12" s="15">
        <v>2</v>
      </c>
      <c r="S12" s="15">
        <v>2</v>
      </c>
      <c r="T12" s="42">
        <v>3</v>
      </c>
    </row>
    <row r="13" spans="2:20">
      <c r="B13" s="4" t="s">
        <v>24</v>
      </c>
      <c r="C13" s="6">
        <v>1.75</v>
      </c>
      <c r="D13" s="6">
        <v>0.75</v>
      </c>
      <c r="E13" s="6">
        <v>1.25</v>
      </c>
      <c r="F13" s="6">
        <v>0.5</v>
      </c>
      <c r="G13" s="6">
        <v>1.25</v>
      </c>
      <c r="H13" s="6">
        <v>3</v>
      </c>
      <c r="I13" s="34"/>
      <c r="J13">
        <f t="shared" si="0"/>
        <v>8.5</v>
      </c>
      <c r="L13" s="13" t="s">
        <v>24</v>
      </c>
      <c r="M13" s="14"/>
      <c r="N13" s="15">
        <v>2</v>
      </c>
      <c r="O13" s="15">
        <v>2</v>
      </c>
      <c r="P13" s="15"/>
      <c r="Q13" s="15"/>
      <c r="R13" s="15">
        <v>1</v>
      </c>
      <c r="S13" s="15">
        <v>2</v>
      </c>
      <c r="T13" s="42"/>
    </row>
    <row r="14" spans="2:20">
      <c r="B14" s="4" t="s">
        <v>25</v>
      </c>
      <c r="C14" s="6">
        <v>1.5</v>
      </c>
      <c r="D14" s="6">
        <v>1.75</v>
      </c>
      <c r="E14" s="6">
        <v>1.25</v>
      </c>
      <c r="F14" s="6">
        <v>2</v>
      </c>
      <c r="G14" s="6"/>
      <c r="H14" s="6"/>
      <c r="I14" s="34"/>
      <c r="J14">
        <f t="shared" si="0"/>
        <v>6.5</v>
      </c>
      <c r="L14" s="13" t="s">
        <v>25</v>
      </c>
      <c r="M14" s="14">
        <v>1</v>
      </c>
      <c r="N14" s="15"/>
      <c r="O14" s="15">
        <v>1</v>
      </c>
      <c r="P14" s="15">
        <v>1</v>
      </c>
      <c r="Q14" s="15"/>
      <c r="R14" s="15"/>
      <c r="S14" s="15"/>
      <c r="T14" s="42">
        <v>1</v>
      </c>
    </row>
    <row r="15" spans="2:20">
      <c r="B15" s="4" t="s">
        <v>26</v>
      </c>
      <c r="C15" s="6">
        <v>1.25</v>
      </c>
      <c r="D15" s="6">
        <v>0.5</v>
      </c>
      <c r="E15" s="6">
        <v>1.25</v>
      </c>
      <c r="F15" s="6">
        <v>0.25</v>
      </c>
      <c r="G15" s="6">
        <v>0.75</v>
      </c>
      <c r="H15" s="6"/>
      <c r="I15" s="34"/>
      <c r="J15">
        <f t="shared" si="0"/>
        <v>4</v>
      </c>
      <c r="L15" s="13" t="s">
        <v>26</v>
      </c>
      <c r="M15" s="14">
        <v>2</v>
      </c>
      <c r="N15" s="15"/>
      <c r="O15" s="15"/>
      <c r="P15" s="15"/>
      <c r="Q15" s="15">
        <v>4</v>
      </c>
      <c r="R15" s="15">
        <v>4</v>
      </c>
      <c r="S15" s="15">
        <v>2</v>
      </c>
      <c r="T15" s="42"/>
    </row>
    <row r="16" spans="2:20">
      <c r="B16" s="4" t="s">
        <v>27</v>
      </c>
      <c r="C16" s="6">
        <v>1</v>
      </c>
      <c r="D16" s="6">
        <v>0.5</v>
      </c>
      <c r="E16" s="6">
        <v>1</v>
      </c>
      <c r="F16" s="6">
        <v>1.25</v>
      </c>
      <c r="G16" s="6">
        <v>2.25</v>
      </c>
      <c r="H16" s="6"/>
      <c r="I16" s="34"/>
      <c r="J16">
        <f t="shared" si="0"/>
        <v>6</v>
      </c>
      <c r="L16" s="13" t="s">
        <v>27</v>
      </c>
      <c r="M16" s="14">
        <v>4</v>
      </c>
      <c r="N16" s="15"/>
      <c r="O16" s="15"/>
      <c r="P16" s="15"/>
      <c r="Q16" s="15">
        <v>4</v>
      </c>
      <c r="R16" s="15">
        <v>3</v>
      </c>
      <c r="S16" s="15">
        <v>4</v>
      </c>
      <c r="T16" s="42"/>
    </row>
    <row r="17" spans="2:20">
      <c r="B17" s="4" t="s">
        <v>28</v>
      </c>
      <c r="C17" s="6">
        <v>1.25</v>
      </c>
      <c r="D17" s="6">
        <v>1.25</v>
      </c>
      <c r="E17" s="6">
        <v>0.5</v>
      </c>
      <c r="F17" s="6">
        <v>1</v>
      </c>
      <c r="G17" s="6">
        <v>0.25</v>
      </c>
      <c r="H17" s="6">
        <v>2</v>
      </c>
      <c r="I17" s="34">
        <v>1.25</v>
      </c>
      <c r="J17">
        <f t="shared" si="0"/>
        <v>7.5</v>
      </c>
      <c r="L17" s="13" t="s">
        <v>28</v>
      </c>
      <c r="M17" s="14">
        <v>2</v>
      </c>
      <c r="N17" s="15"/>
      <c r="O17" s="15"/>
      <c r="P17" s="15"/>
      <c r="Q17" s="15">
        <v>2</v>
      </c>
      <c r="R17" s="15">
        <v>2</v>
      </c>
      <c r="S17" s="15">
        <v>1</v>
      </c>
      <c r="T17" s="42"/>
    </row>
    <row r="18" spans="2:20">
      <c r="B18" s="4" t="s">
        <v>29</v>
      </c>
      <c r="C18" s="6">
        <v>1</v>
      </c>
      <c r="D18" s="6">
        <v>1.5</v>
      </c>
      <c r="E18" s="6">
        <v>0.5</v>
      </c>
      <c r="F18" s="6">
        <v>1.75</v>
      </c>
      <c r="G18" s="6"/>
      <c r="H18" s="6"/>
      <c r="I18" s="34"/>
      <c r="J18">
        <f t="shared" si="0"/>
        <v>4.75</v>
      </c>
      <c r="L18" s="13" t="s">
        <v>29</v>
      </c>
      <c r="M18" s="14"/>
      <c r="N18" s="15">
        <v>4</v>
      </c>
      <c r="O18" s="15">
        <v>2</v>
      </c>
      <c r="P18" s="15">
        <v>2</v>
      </c>
      <c r="Q18" s="15">
        <v>2</v>
      </c>
      <c r="R18" s="15"/>
      <c r="S18" s="15"/>
      <c r="T18" s="42">
        <v>4</v>
      </c>
    </row>
    <row r="19" spans="2:20">
      <c r="B19" s="4" t="s">
        <v>30</v>
      </c>
      <c r="C19" s="6">
        <v>0.75</v>
      </c>
      <c r="D19" s="6">
        <v>0.5</v>
      </c>
      <c r="E19" s="6">
        <v>1.25</v>
      </c>
      <c r="F19" s="6">
        <v>2.5</v>
      </c>
      <c r="G19" s="6">
        <v>2.5</v>
      </c>
      <c r="H19" s="6"/>
      <c r="I19" s="34"/>
      <c r="J19">
        <f t="shared" si="0"/>
        <v>7.5</v>
      </c>
      <c r="L19" s="13" t="s">
        <v>30</v>
      </c>
      <c r="M19" s="14"/>
      <c r="N19" s="15"/>
      <c r="O19" s="15"/>
      <c r="P19" s="15">
        <v>2</v>
      </c>
      <c r="Q19" s="15"/>
      <c r="R19" s="15">
        <v>2</v>
      </c>
      <c r="S19" s="15"/>
      <c r="T19" s="42">
        <v>1</v>
      </c>
    </row>
    <row r="20" spans="2:20">
      <c r="B20" s="4" t="s">
        <v>31</v>
      </c>
      <c r="C20" s="6">
        <v>1.25</v>
      </c>
      <c r="D20" s="6">
        <v>5</v>
      </c>
      <c r="E20" s="6">
        <v>1.25</v>
      </c>
      <c r="F20" s="6">
        <v>2.5</v>
      </c>
      <c r="G20" s="6"/>
      <c r="H20" s="6"/>
      <c r="I20" s="34"/>
      <c r="J20">
        <f t="shared" si="0"/>
        <v>10</v>
      </c>
      <c r="L20" s="13" t="s">
        <v>31</v>
      </c>
      <c r="M20" s="14"/>
      <c r="N20" s="15">
        <v>1</v>
      </c>
      <c r="O20" s="15">
        <v>4</v>
      </c>
      <c r="P20" s="15"/>
      <c r="Q20" s="15"/>
      <c r="R20" s="15"/>
      <c r="S20" s="15"/>
      <c r="T20" s="42"/>
    </row>
    <row r="21" spans="2:20">
      <c r="B21" s="4" t="s">
        <v>32</v>
      </c>
      <c r="C21" s="6">
        <v>0.75</v>
      </c>
      <c r="D21" s="6">
        <v>3</v>
      </c>
      <c r="E21" s="6">
        <v>3.5</v>
      </c>
      <c r="F21" s="6"/>
      <c r="G21" s="6"/>
      <c r="H21" s="6"/>
      <c r="I21" s="34"/>
      <c r="J21">
        <f t="shared" si="0"/>
        <v>7.25</v>
      </c>
      <c r="L21" s="13" t="s">
        <v>32</v>
      </c>
      <c r="M21" s="14">
        <v>2</v>
      </c>
      <c r="N21" s="15"/>
      <c r="O21" s="15"/>
      <c r="P21" s="15"/>
      <c r="Q21" s="15">
        <v>2</v>
      </c>
      <c r="R21" s="15">
        <v>2</v>
      </c>
      <c r="S21" s="15">
        <v>2</v>
      </c>
      <c r="T21" s="42">
        <v>1</v>
      </c>
    </row>
    <row r="22" spans="2:20">
      <c r="B22" s="4" t="s">
        <v>33</v>
      </c>
      <c r="C22" s="6">
        <v>0.75</v>
      </c>
      <c r="D22" s="6">
        <v>1.25</v>
      </c>
      <c r="E22" s="6">
        <v>0.5</v>
      </c>
      <c r="F22" s="6">
        <v>3.75</v>
      </c>
      <c r="G22" s="6"/>
      <c r="H22" s="6"/>
      <c r="I22" s="34"/>
      <c r="J22">
        <f t="shared" si="0"/>
        <v>6.25</v>
      </c>
      <c r="L22" s="13" t="s">
        <v>33</v>
      </c>
      <c r="M22" s="14">
        <v>4</v>
      </c>
      <c r="N22" s="15">
        <v>1</v>
      </c>
      <c r="O22" s="15"/>
      <c r="P22" s="15"/>
      <c r="Q22" s="15">
        <v>4</v>
      </c>
      <c r="R22" s="15">
        <v>1</v>
      </c>
      <c r="S22" s="15">
        <v>3</v>
      </c>
      <c r="T22" s="42"/>
    </row>
    <row r="23" spans="2:20">
      <c r="B23" s="4" t="s">
        <v>34</v>
      </c>
      <c r="C23" s="6">
        <v>2.25</v>
      </c>
      <c r="D23" s="6">
        <v>2.5</v>
      </c>
      <c r="E23" s="6">
        <v>2</v>
      </c>
      <c r="F23" s="6">
        <v>3.75</v>
      </c>
      <c r="G23" s="6"/>
      <c r="H23" s="6"/>
      <c r="I23" s="34"/>
      <c r="J23">
        <f t="shared" si="0"/>
        <v>10.5</v>
      </c>
      <c r="L23" s="13" t="s">
        <v>34</v>
      </c>
      <c r="M23" s="14"/>
      <c r="N23" s="15">
        <v>2</v>
      </c>
      <c r="O23" s="15">
        <v>4</v>
      </c>
      <c r="P23" s="15">
        <v>4</v>
      </c>
      <c r="Q23" s="15">
        <v>1</v>
      </c>
      <c r="R23" s="15"/>
      <c r="S23" s="15"/>
      <c r="T23" s="42">
        <v>3</v>
      </c>
    </row>
    <row r="24" spans="2:20">
      <c r="B24" s="7" t="s">
        <v>35</v>
      </c>
      <c r="C24" s="8">
        <v>2</v>
      </c>
      <c r="D24" s="8">
        <v>0.75</v>
      </c>
      <c r="E24" s="8">
        <v>3</v>
      </c>
      <c r="F24" s="8"/>
      <c r="G24" s="8"/>
      <c r="H24" s="8"/>
      <c r="I24" s="35"/>
      <c r="J24">
        <f t="shared" si="0"/>
        <v>5.75</v>
      </c>
      <c r="L24" s="16" t="s">
        <v>35</v>
      </c>
      <c r="M24" s="17"/>
      <c r="N24" s="18">
        <v>2</v>
      </c>
      <c r="O24" s="18">
        <v>3</v>
      </c>
      <c r="P24" s="18">
        <v>3</v>
      </c>
      <c r="Q24" s="18"/>
      <c r="R24" s="18"/>
      <c r="S24" s="18"/>
      <c r="T24" s="43">
        <v>4</v>
      </c>
    </row>
    <row r="29" spans="2:11">
      <c r="B29" s="9" t="s">
        <v>61</v>
      </c>
      <c r="C29" s="10"/>
      <c r="D29" s="10"/>
      <c r="E29" s="10"/>
      <c r="F29" s="10"/>
      <c r="G29" s="10"/>
      <c r="H29" s="10"/>
      <c r="I29" s="10"/>
      <c r="J29" s="10"/>
      <c r="K29" s="36"/>
    </row>
    <row r="30" spans="2:11">
      <c r="B30" s="11" t="s">
        <v>39</v>
      </c>
      <c r="C30" s="12" t="s">
        <v>11</v>
      </c>
      <c r="D30" s="12" t="s">
        <v>12</v>
      </c>
      <c r="E30" s="12" t="s">
        <v>13</v>
      </c>
      <c r="F30" s="12" t="s">
        <v>14</v>
      </c>
      <c r="G30" s="12" t="s">
        <v>15</v>
      </c>
      <c r="H30" s="12" t="s">
        <v>58</v>
      </c>
      <c r="I30" s="12" t="s">
        <v>59</v>
      </c>
      <c r="J30" s="12" t="s">
        <v>60</v>
      </c>
      <c r="K30" s="37" t="s">
        <v>40</v>
      </c>
    </row>
    <row r="31" spans="2:11">
      <c r="B31" s="71" t="s">
        <v>62</v>
      </c>
      <c r="C31" s="14">
        <v>78000</v>
      </c>
      <c r="D31" s="15">
        <v>104000</v>
      </c>
      <c r="E31" s="15">
        <v>140400</v>
      </c>
      <c r="F31" s="15">
        <v>72800</v>
      </c>
      <c r="G31" s="15">
        <v>93600</v>
      </c>
      <c r="H31" s="15">
        <v>52000</v>
      </c>
      <c r="I31" s="15">
        <v>26000</v>
      </c>
      <c r="J31" s="15">
        <v>62400</v>
      </c>
      <c r="K31" s="38">
        <v>629200</v>
      </c>
    </row>
    <row r="32" spans="2:11">
      <c r="B32" s="71" t="s">
        <v>63</v>
      </c>
      <c r="C32" s="14">
        <v>62400</v>
      </c>
      <c r="D32" s="15">
        <v>78000</v>
      </c>
      <c r="E32" s="15">
        <v>150800</v>
      </c>
      <c r="F32" s="15">
        <v>83200</v>
      </c>
      <c r="G32" s="15">
        <v>109200</v>
      </c>
      <c r="H32" s="15">
        <v>78000</v>
      </c>
      <c r="I32" s="15">
        <v>52000</v>
      </c>
      <c r="J32" s="15">
        <v>78000</v>
      </c>
      <c r="K32" s="38">
        <v>691600</v>
      </c>
    </row>
    <row r="33" spans="2:11">
      <c r="B33" s="71" t="s">
        <v>64</v>
      </c>
      <c r="C33" s="14">
        <v>46800</v>
      </c>
      <c r="D33" s="15">
        <v>52000</v>
      </c>
      <c r="E33" s="15">
        <v>161200</v>
      </c>
      <c r="F33" s="15">
        <v>93600</v>
      </c>
      <c r="G33" s="15">
        <v>124800</v>
      </c>
      <c r="H33" s="15">
        <v>104000</v>
      </c>
      <c r="I33" s="15">
        <v>78000</v>
      </c>
      <c r="J33" s="15">
        <v>93600</v>
      </c>
      <c r="K33" s="38">
        <v>754000</v>
      </c>
    </row>
    <row r="34" spans="2:11">
      <c r="B34" s="72" t="s">
        <v>65</v>
      </c>
      <c r="C34" s="17">
        <v>26000</v>
      </c>
      <c r="D34" s="18">
        <v>26000</v>
      </c>
      <c r="E34" s="18">
        <v>171600</v>
      </c>
      <c r="F34" s="18">
        <v>104000</v>
      </c>
      <c r="G34" s="18">
        <v>140400</v>
      </c>
      <c r="H34" s="18">
        <v>156000</v>
      </c>
      <c r="I34" s="18">
        <v>104000</v>
      </c>
      <c r="J34" s="18">
        <v>114400</v>
      </c>
      <c r="K34" s="39">
        <v>842400</v>
      </c>
    </row>
    <row r="35" spans="2:11">
      <c r="B35" s="19"/>
      <c r="C35" s="19"/>
      <c r="D35" s="19"/>
      <c r="E35" s="19"/>
      <c r="F35" s="19"/>
      <c r="G35" s="19"/>
      <c r="H35" s="19"/>
      <c r="I35" s="19"/>
      <c r="J35" s="19"/>
      <c r="K35" s="25"/>
    </row>
    <row r="36" spans="2:11">
      <c r="B36" s="19"/>
      <c r="C36" s="19"/>
      <c r="D36" s="19"/>
      <c r="E36" s="19"/>
      <c r="F36" s="19"/>
      <c r="G36" s="19"/>
      <c r="H36" s="19"/>
      <c r="I36" s="19"/>
      <c r="J36" s="19"/>
      <c r="K36" s="25"/>
    </row>
    <row r="37" spans="2:11">
      <c r="B37" s="9" t="s">
        <v>66</v>
      </c>
      <c r="C37" s="10"/>
      <c r="D37" s="10"/>
      <c r="E37" s="10"/>
      <c r="F37" s="10"/>
      <c r="G37" s="10"/>
      <c r="H37" s="10"/>
      <c r="I37" s="10"/>
      <c r="J37" s="10"/>
      <c r="K37" s="36"/>
    </row>
    <row r="38" spans="2:11">
      <c r="B38" s="11" t="s">
        <v>39</v>
      </c>
      <c r="C38" s="20" t="s">
        <v>11</v>
      </c>
      <c r="D38" s="12" t="s">
        <v>12</v>
      </c>
      <c r="E38" s="12" t="s">
        <v>13</v>
      </c>
      <c r="F38" s="12" t="s">
        <v>14</v>
      </c>
      <c r="G38" s="12" t="s">
        <v>15</v>
      </c>
      <c r="H38" s="12" t="s">
        <v>58</v>
      </c>
      <c r="I38" s="12" t="s">
        <v>59</v>
      </c>
      <c r="J38" s="12" t="s">
        <v>60</v>
      </c>
      <c r="K38" s="37" t="s">
        <v>43</v>
      </c>
    </row>
    <row r="39" spans="2:11">
      <c r="B39" s="71" t="s">
        <v>62</v>
      </c>
      <c r="C39" s="21">
        <v>1442.2205101856</v>
      </c>
      <c r="D39" s="22">
        <v>1442.2205101856</v>
      </c>
      <c r="E39" s="22">
        <v>2884.44102037119</v>
      </c>
      <c r="F39" s="22">
        <v>1802.77563773199</v>
      </c>
      <c r="G39" s="22">
        <v>1081.6653826392</v>
      </c>
      <c r="H39" s="22">
        <v>1442.2205101856</v>
      </c>
      <c r="I39" s="22">
        <v>721.110255092798</v>
      </c>
      <c r="J39" s="22">
        <v>540.832691319598</v>
      </c>
      <c r="K39" s="40">
        <v>4448.87626260835</v>
      </c>
    </row>
    <row r="40" spans="2:11">
      <c r="B40" s="71" t="s">
        <v>63</v>
      </c>
      <c r="C40" s="21">
        <v>721.110255092798</v>
      </c>
      <c r="D40" s="22">
        <v>1081.6653826392</v>
      </c>
      <c r="E40" s="22">
        <v>3605.55127546399</v>
      </c>
      <c r="F40" s="22">
        <v>2163.33076527839</v>
      </c>
      <c r="G40" s="22">
        <v>1442.2205101856</v>
      </c>
      <c r="H40" s="22">
        <v>2163.33076527839</v>
      </c>
      <c r="I40" s="22">
        <v>1297.99845916704</v>
      </c>
      <c r="J40" s="22">
        <v>793.221280602078</v>
      </c>
      <c r="K40" s="40">
        <v>5333.29166650391</v>
      </c>
    </row>
    <row r="41" spans="2:11">
      <c r="B41" s="71" t="s">
        <v>64</v>
      </c>
      <c r="C41" s="21">
        <v>721.110255092798</v>
      </c>
      <c r="D41" s="22">
        <v>1081.6653826392</v>
      </c>
      <c r="E41" s="22">
        <v>4326.66153055679</v>
      </c>
      <c r="F41" s="22">
        <v>2884.44102037119</v>
      </c>
      <c r="G41" s="22">
        <v>1802.77563773199</v>
      </c>
      <c r="H41" s="22">
        <v>2884.44102037119</v>
      </c>
      <c r="I41" s="22">
        <v>1442.2205101856</v>
      </c>
      <c r="J41" s="22">
        <v>901.387818865997</v>
      </c>
      <c r="K41" s="40">
        <v>6572.1001209659</v>
      </c>
    </row>
    <row r="42" spans="2:11">
      <c r="B42" s="72" t="s">
        <v>65</v>
      </c>
      <c r="C42" s="23">
        <v>721.110255092798</v>
      </c>
      <c r="D42" s="24">
        <v>721.110255092798</v>
      </c>
      <c r="E42" s="24">
        <v>5047.77178564958</v>
      </c>
      <c r="F42" s="24">
        <v>3605.55127546399</v>
      </c>
      <c r="G42" s="24">
        <v>2163.33076527839</v>
      </c>
      <c r="H42" s="24">
        <v>3605.55127546399</v>
      </c>
      <c r="I42" s="24">
        <v>1586.44256120416</v>
      </c>
      <c r="J42" s="24">
        <v>1081.6653826392</v>
      </c>
      <c r="K42" s="41">
        <v>7802.99942329871</v>
      </c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25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25"/>
    </row>
    <row r="45" spans="2:11">
      <c r="B45" s="9" t="s">
        <v>67</v>
      </c>
      <c r="C45" s="10"/>
      <c r="D45" s="10"/>
      <c r="E45" s="10"/>
      <c r="F45" s="10"/>
      <c r="G45" s="10"/>
      <c r="H45" s="10"/>
      <c r="I45" s="10"/>
      <c r="J45" s="10"/>
      <c r="K45" s="36"/>
    </row>
    <row r="46" spans="2:11">
      <c r="B46" s="11" t="s">
        <v>39</v>
      </c>
      <c r="C46" s="20" t="s">
        <v>11</v>
      </c>
      <c r="D46" s="12" t="s">
        <v>12</v>
      </c>
      <c r="E46" s="12" t="s">
        <v>13</v>
      </c>
      <c r="F46" s="12" t="s">
        <v>14</v>
      </c>
      <c r="G46" s="12" t="s">
        <v>15</v>
      </c>
      <c r="H46" s="12" t="s">
        <v>58</v>
      </c>
      <c r="I46" s="12" t="s">
        <v>59</v>
      </c>
      <c r="J46" s="12" t="s">
        <v>60</v>
      </c>
      <c r="K46" s="37" t="s">
        <v>40</v>
      </c>
    </row>
    <row r="47" spans="2:11">
      <c r="B47" s="71" t="s">
        <v>62</v>
      </c>
      <c r="C47" s="14">
        <v>1500</v>
      </c>
      <c r="D47" s="15">
        <v>2000</v>
      </c>
      <c r="E47" s="15">
        <v>2700</v>
      </c>
      <c r="F47" s="15">
        <v>1400</v>
      </c>
      <c r="G47" s="15">
        <v>1800</v>
      </c>
      <c r="H47" s="15">
        <v>1000</v>
      </c>
      <c r="I47" s="15">
        <v>500</v>
      </c>
      <c r="J47" s="15">
        <v>1200</v>
      </c>
      <c r="K47" s="42">
        <v>12100</v>
      </c>
    </row>
    <row r="48" spans="2:11">
      <c r="B48" s="71" t="s">
        <v>63</v>
      </c>
      <c r="C48" s="14">
        <v>1200</v>
      </c>
      <c r="D48" s="15">
        <v>1500</v>
      </c>
      <c r="E48" s="15">
        <v>2900</v>
      </c>
      <c r="F48" s="15">
        <v>1600</v>
      </c>
      <c r="G48" s="15">
        <v>2100</v>
      </c>
      <c r="H48" s="15">
        <v>1500</v>
      </c>
      <c r="I48" s="15">
        <v>1000</v>
      </c>
      <c r="J48" s="15">
        <v>1500</v>
      </c>
      <c r="K48" s="42">
        <v>13300</v>
      </c>
    </row>
    <row r="49" spans="2:11">
      <c r="B49" s="71" t="s">
        <v>64</v>
      </c>
      <c r="C49" s="14">
        <v>900</v>
      </c>
      <c r="D49" s="15">
        <v>1000</v>
      </c>
      <c r="E49" s="15">
        <v>3100</v>
      </c>
      <c r="F49" s="15">
        <v>1800</v>
      </c>
      <c r="G49" s="15">
        <v>2400</v>
      </c>
      <c r="H49" s="15">
        <v>2000</v>
      </c>
      <c r="I49" s="15">
        <v>1500</v>
      </c>
      <c r="J49" s="15">
        <v>1800</v>
      </c>
      <c r="K49" s="42">
        <v>14500</v>
      </c>
    </row>
    <row r="50" spans="2:11">
      <c r="B50" s="72" t="s">
        <v>65</v>
      </c>
      <c r="C50" s="17">
        <v>500</v>
      </c>
      <c r="D50" s="18">
        <v>500</v>
      </c>
      <c r="E50" s="18">
        <v>3300</v>
      </c>
      <c r="F50" s="18">
        <v>2000</v>
      </c>
      <c r="G50" s="18">
        <v>2700</v>
      </c>
      <c r="H50" s="18">
        <v>3000</v>
      </c>
      <c r="I50" s="18">
        <v>2000</v>
      </c>
      <c r="J50" s="18">
        <v>2200</v>
      </c>
      <c r="K50" s="43">
        <v>16200</v>
      </c>
    </row>
    <row r="51" spans="2:11"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2:11"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2:11">
      <c r="B53" s="9" t="s">
        <v>68</v>
      </c>
      <c r="C53" s="10"/>
      <c r="D53" s="10"/>
      <c r="E53" s="10"/>
      <c r="F53" s="10"/>
      <c r="G53" s="10"/>
      <c r="H53" s="10"/>
      <c r="I53" s="10"/>
      <c r="J53" s="10"/>
      <c r="K53" s="36"/>
    </row>
    <row r="54" spans="2:11">
      <c r="B54" s="11" t="s">
        <v>39</v>
      </c>
      <c r="C54" s="20" t="s">
        <v>11</v>
      </c>
      <c r="D54" s="12" t="s">
        <v>12</v>
      </c>
      <c r="E54" s="12" t="s">
        <v>13</v>
      </c>
      <c r="F54" s="12" t="s">
        <v>14</v>
      </c>
      <c r="G54" s="12" t="s">
        <v>15</v>
      </c>
      <c r="H54" s="12" t="s">
        <v>58</v>
      </c>
      <c r="I54" s="12" t="s">
        <v>59</v>
      </c>
      <c r="J54" s="12" t="s">
        <v>60</v>
      </c>
      <c r="K54" s="37" t="s">
        <v>46</v>
      </c>
    </row>
    <row r="55" spans="2:19">
      <c r="B55" s="71" t="s">
        <v>62</v>
      </c>
      <c r="C55" s="26">
        <v>0.15</v>
      </c>
      <c r="D55" s="27">
        <v>0.2</v>
      </c>
      <c r="E55" s="27">
        <v>0.2</v>
      </c>
      <c r="F55" s="27">
        <v>0.12</v>
      </c>
      <c r="G55" s="27">
        <v>0.18</v>
      </c>
      <c r="H55" s="27">
        <v>0.25</v>
      </c>
      <c r="I55" s="27">
        <v>0.15</v>
      </c>
      <c r="J55" s="27">
        <v>0.08</v>
      </c>
      <c r="K55" s="44">
        <f t="shared" ref="K55:K59" si="1">AVERAGE(C55:J55)</f>
        <v>0.16625</v>
      </c>
      <c r="L55">
        <f>C55*C47</f>
        <v>225</v>
      </c>
      <c r="M55">
        <f t="shared" ref="M55:S55" si="2">D55*D47</f>
        <v>400</v>
      </c>
      <c r="N55">
        <f t="shared" si="2"/>
        <v>540</v>
      </c>
      <c r="O55">
        <f t="shared" si="2"/>
        <v>168</v>
      </c>
      <c r="P55">
        <f t="shared" si="2"/>
        <v>324</v>
      </c>
      <c r="Q55">
        <f t="shared" si="2"/>
        <v>250</v>
      </c>
      <c r="R55">
        <f t="shared" si="2"/>
        <v>75</v>
      </c>
      <c r="S55">
        <f t="shared" si="2"/>
        <v>96</v>
      </c>
    </row>
    <row r="56" spans="2:19">
      <c r="B56" s="71" t="s">
        <v>63</v>
      </c>
      <c r="C56" s="26">
        <v>0.15</v>
      </c>
      <c r="D56" s="28">
        <v>0.2</v>
      </c>
      <c r="E56" s="28">
        <v>0.2</v>
      </c>
      <c r="F56" s="28">
        <v>0.12</v>
      </c>
      <c r="G56" s="28">
        <v>0.18</v>
      </c>
      <c r="H56" s="28">
        <v>0.25</v>
      </c>
      <c r="I56" s="28">
        <v>0.15</v>
      </c>
      <c r="J56" s="28">
        <v>0.08</v>
      </c>
      <c r="K56" s="44">
        <f t="shared" si="1"/>
        <v>0.16625</v>
      </c>
      <c r="L56">
        <f>C56*C48</f>
        <v>180</v>
      </c>
      <c r="M56">
        <f t="shared" ref="M56:S56" si="3">D56*D48</f>
        <v>300</v>
      </c>
      <c r="N56">
        <f t="shared" si="3"/>
        <v>580</v>
      </c>
      <c r="O56">
        <f t="shared" si="3"/>
        <v>192</v>
      </c>
      <c r="P56">
        <f t="shared" si="3"/>
        <v>378</v>
      </c>
      <c r="Q56">
        <f t="shared" si="3"/>
        <v>375</v>
      </c>
      <c r="R56">
        <f t="shared" si="3"/>
        <v>150</v>
      </c>
      <c r="S56">
        <f t="shared" si="3"/>
        <v>120</v>
      </c>
    </row>
    <row r="57" spans="2:19">
      <c r="B57" s="71" t="s">
        <v>64</v>
      </c>
      <c r="C57" s="26">
        <v>0.15</v>
      </c>
      <c r="D57" s="28">
        <v>0.2</v>
      </c>
      <c r="E57" s="28">
        <v>0.2</v>
      </c>
      <c r="F57" s="28">
        <v>0.12</v>
      </c>
      <c r="G57" s="28">
        <v>0.18</v>
      </c>
      <c r="H57" s="28">
        <v>0.25</v>
      </c>
      <c r="I57" s="28">
        <v>0.15</v>
      </c>
      <c r="J57" s="28">
        <v>0.08</v>
      </c>
      <c r="K57" s="44">
        <f t="shared" si="1"/>
        <v>0.16625</v>
      </c>
      <c r="L57">
        <f>C57*C49</f>
        <v>135</v>
      </c>
      <c r="M57">
        <f t="shared" ref="M57:S57" si="4">D57*D49</f>
        <v>200</v>
      </c>
      <c r="N57">
        <f t="shared" si="4"/>
        <v>620</v>
      </c>
      <c r="O57">
        <f t="shared" si="4"/>
        <v>216</v>
      </c>
      <c r="P57">
        <f t="shared" si="4"/>
        <v>432</v>
      </c>
      <c r="Q57">
        <f t="shared" si="4"/>
        <v>500</v>
      </c>
      <c r="R57">
        <f t="shared" si="4"/>
        <v>225</v>
      </c>
      <c r="S57">
        <f t="shared" si="4"/>
        <v>144</v>
      </c>
    </row>
    <row r="58" spans="2:19">
      <c r="B58" s="72" t="s">
        <v>65</v>
      </c>
      <c r="C58" s="26">
        <v>0.15</v>
      </c>
      <c r="D58" s="28">
        <v>0.2</v>
      </c>
      <c r="E58" s="28">
        <v>0.2</v>
      </c>
      <c r="F58" s="28">
        <v>0.12</v>
      </c>
      <c r="G58" s="28">
        <v>0.18</v>
      </c>
      <c r="H58" s="28">
        <v>0.25</v>
      </c>
      <c r="I58" s="28">
        <v>0.15</v>
      </c>
      <c r="J58" s="28">
        <v>0.08</v>
      </c>
      <c r="K58" s="44">
        <f t="shared" si="1"/>
        <v>0.16625</v>
      </c>
      <c r="L58">
        <f>C58*C50</f>
        <v>75</v>
      </c>
      <c r="M58">
        <f t="shared" ref="M58:S58" si="5">D58*D50</f>
        <v>100</v>
      </c>
      <c r="N58">
        <f t="shared" si="5"/>
        <v>660</v>
      </c>
      <c r="O58">
        <f t="shared" si="5"/>
        <v>240</v>
      </c>
      <c r="P58">
        <f t="shared" si="5"/>
        <v>486</v>
      </c>
      <c r="Q58">
        <f t="shared" si="5"/>
        <v>750</v>
      </c>
      <c r="R58">
        <f t="shared" si="5"/>
        <v>300</v>
      </c>
      <c r="S58">
        <f t="shared" si="5"/>
        <v>176</v>
      </c>
    </row>
    <row r="59" spans="2:11">
      <c r="B59" s="16">
        <v>2029</v>
      </c>
      <c r="C59" s="29">
        <v>0.15</v>
      </c>
      <c r="D59" s="30">
        <v>0.2</v>
      </c>
      <c r="E59" s="30">
        <v>0.2</v>
      </c>
      <c r="F59" s="30">
        <v>0.12</v>
      </c>
      <c r="G59" s="30">
        <v>0.18</v>
      </c>
      <c r="H59" s="30">
        <v>0.25</v>
      </c>
      <c r="I59" s="30">
        <v>0.15</v>
      </c>
      <c r="J59" s="30">
        <v>0.08</v>
      </c>
      <c r="K59" s="45">
        <f t="shared" si="1"/>
        <v>0.16625</v>
      </c>
    </row>
    <row r="61" spans="2:15"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54</v>
      </c>
      <c r="J61" t="s">
        <v>55</v>
      </c>
      <c r="M61" t="s">
        <v>37</v>
      </c>
      <c r="O61" t="s">
        <v>38</v>
      </c>
    </row>
    <row r="62" spans="2:15">
      <c r="B62" t="s">
        <v>16</v>
      </c>
      <c r="C62" s="31">
        <f>SUMPRODUCT($C$31:$J$31,M5:T5)</f>
        <v>1357200</v>
      </c>
      <c r="D62">
        <f t="shared" ref="D62:D81" si="6">C62*J5/0.9/0.98</f>
        <v>19619387.755102</v>
      </c>
      <c r="E62">
        <f t="shared" ref="E62:E82" si="7">C62+2.576*M62</f>
        <v>1422215.30059917</v>
      </c>
      <c r="F62">
        <f t="shared" ref="F62:F81" si="8">E62*J5/0.9/0.98</f>
        <v>20559234.787573</v>
      </c>
      <c r="G62">
        <f>SUMPRODUCT($C$47:$J$47,M5:T5)</f>
        <v>26100</v>
      </c>
      <c r="H62">
        <f t="shared" ref="H62:H81" si="9">G62*J5/0.9/0.95</f>
        <v>389210.526315789</v>
      </c>
      <c r="I62">
        <f t="shared" ref="I62:I81" si="10">G62+2.576*O62</f>
        <v>37364.848</v>
      </c>
      <c r="J62">
        <f t="shared" ref="J62:J82" si="11">I62*J5/0.9/0.98</f>
        <v>540138.108843537</v>
      </c>
      <c r="L62">
        <v>1</v>
      </c>
      <c r="M62">
        <f>SQRT(SUMPRODUCT($C$39:$J$39*M5:T5)^2)</f>
        <v>25238.8589282479</v>
      </c>
      <c r="O62">
        <f>SQRT(SUMPRODUCT($L$55:$S$55*M5:T5)^2)</f>
        <v>4373</v>
      </c>
    </row>
    <row r="63" spans="2:15">
      <c r="B63" t="s">
        <v>17</v>
      </c>
      <c r="C63" s="31">
        <f t="shared" ref="C63:C82" si="12">SUMPRODUCT($C$31:$J$31,M6:T6)</f>
        <v>800800</v>
      </c>
      <c r="D63">
        <f t="shared" si="6"/>
        <v>7036507.93650794</v>
      </c>
      <c r="E63">
        <f t="shared" si="7"/>
        <v>841202.365372339</v>
      </c>
      <c r="F63">
        <f t="shared" si="8"/>
        <v>7391517.38280684</v>
      </c>
      <c r="G63">
        <f t="shared" ref="G63:G82" si="13">SUMPRODUCT($C$47:$J$47,M6:T6)</f>
        <v>15400</v>
      </c>
      <c r="H63">
        <f t="shared" si="9"/>
        <v>139590.643274854</v>
      </c>
      <c r="I63">
        <f t="shared" si="10"/>
        <v>21613.312</v>
      </c>
      <c r="J63">
        <f t="shared" si="11"/>
        <v>189912.888888889</v>
      </c>
      <c r="L63">
        <v>2</v>
      </c>
      <c r="M63">
        <f t="shared" ref="M63:M81" si="14">SQRT(SUMPRODUCT($C$39:$J$39*M6:T6)^2)</f>
        <v>15684.1480482684</v>
      </c>
      <c r="O63">
        <f t="shared" ref="O63:O81" si="15">SQRT(SUMPRODUCT($L$55:$S$55*M6:T6)^2)</f>
        <v>2412</v>
      </c>
    </row>
    <row r="64" spans="2:15">
      <c r="B64" t="s">
        <v>18</v>
      </c>
      <c r="C64" s="31">
        <f t="shared" si="12"/>
        <v>655200</v>
      </c>
      <c r="D64">
        <f t="shared" si="6"/>
        <v>7057142.85714286</v>
      </c>
      <c r="E64">
        <f t="shared" si="7"/>
        <v>692815.995346661</v>
      </c>
      <c r="F64">
        <f t="shared" si="8"/>
        <v>7462303.80475428</v>
      </c>
      <c r="G64">
        <f t="shared" si="13"/>
        <v>12600</v>
      </c>
      <c r="H64">
        <f t="shared" si="9"/>
        <v>140000</v>
      </c>
      <c r="I64">
        <f t="shared" si="10"/>
        <v>17473.792</v>
      </c>
      <c r="J64">
        <f t="shared" si="11"/>
        <v>188209.777777778</v>
      </c>
      <c r="L64">
        <v>3</v>
      </c>
      <c r="M64">
        <f t="shared" si="14"/>
        <v>14602.4826656292</v>
      </c>
      <c r="O64">
        <f t="shared" si="15"/>
        <v>1892</v>
      </c>
    </row>
    <row r="65" spans="2:15">
      <c r="B65" t="s">
        <v>19</v>
      </c>
      <c r="C65" s="31">
        <f t="shared" si="12"/>
        <v>530400</v>
      </c>
      <c r="D65">
        <f t="shared" si="6"/>
        <v>4510204.08163265</v>
      </c>
      <c r="E65">
        <f t="shared" si="7"/>
        <v>558263.700256786</v>
      </c>
      <c r="F65">
        <f t="shared" si="8"/>
        <v>4747140.308306</v>
      </c>
      <c r="G65">
        <f t="shared" si="13"/>
        <v>10200</v>
      </c>
      <c r="H65">
        <f t="shared" si="9"/>
        <v>89473.6842105263</v>
      </c>
      <c r="I65">
        <f t="shared" si="10"/>
        <v>14878.016</v>
      </c>
      <c r="J65">
        <f t="shared" si="11"/>
        <v>126513.741496599</v>
      </c>
      <c r="L65">
        <v>4</v>
      </c>
      <c r="M65">
        <f t="shared" si="14"/>
        <v>10816.653826392</v>
      </c>
      <c r="O65">
        <f t="shared" si="15"/>
        <v>1816</v>
      </c>
    </row>
    <row r="66" spans="2:15">
      <c r="B66" t="s">
        <v>20</v>
      </c>
      <c r="C66" s="31">
        <f t="shared" si="12"/>
        <v>462800</v>
      </c>
      <c r="D66">
        <f t="shared" si="6"/>
        <v>3935374.14965986</v>
      </c>
      <c r="E66">
        <f t="shared" si="7"/>
        <v>486948.540222548</v>
      </c>
      <c r="F66">
        <f t="shared" si="8"/>
        <v>4140718.87944343</v>
      </c>
      <c r="G66">
        <f t="shared" si="13"/>
        <v>8900</v>
      </c>
      <c r="H66">
        <f t="shared" si="9"/>
        <v>78070.1754385965</v>
      </c>
      <c r="I66">
        <f t="shared" si="10"/>
        <v>13549.68</v>
      </c>
      <c r="J66">
        <f t="shared" si="11"/>
        <v>115218.367346939</v>
      </c>
      <c r="L66">
        <v>5</v>
      </c>
      <c r="M66">
        <f t="shared" si="14"/>
        <v>9374.43331620637</v>
      </c>
      <c r="O66">
        <f t="shared" si="15"/>
        <v>1805</v>
      </c>
    </row>
    <row r="67" spans="2:15">
      <c r="B67" t="s">
        <v>21</v>
      </c>
      <c r="C67" s="31">
        <f t="shared" si="12"/>
        <v>452400</v>
      </c>
      <c r="D67">
        <f t="shared" si="6"/>
        <v>5385714.28571429</v>
      </c>
      <c r="E67">
        <f t="shared" si="7"/>
        <v>465867.455124113</v>
      </c>
      <c r="F67">
        <f t="shared" si="8"/>
        <v>5546041.13242992</v>
      </c>
      <c r="G67">
        <f t="shared" si="13"/>
        <v>8700</v>
      </c>
      <c r="H67">
        <f t="shared" si="9"/>
        <v>106842.105263158</v>
      </c>
      <c r="I67">
        <f t="shared" si="10"/>
        <v>11690.736</v>
      </c>
      <c r="J67">
        <f t="shared" si="11"/>
        <v>139175.428571429</v>
      </c>
      <c r="L67">
        <v>6</v>
      </c>
      <c r="M67">
        <f t="shared" si="14"/>
        <v>5228.04934942278</v>
      </c>
      <c r="O67">
        <f t="shared" si="15"/>
        <v>1161</v>
      </c>
    </row>
    <row r="68" spans="2:15">
      <c r="B68" t="s">
        <v>22</v>
      </c>
      <c r="C68" s="31">
        <f t="shared" si="12"/>
        <v>878800</v>
      </c>
      <c r="D68">
        <f t="shared" si="6"/>
        <v>9963718.82086168</v>
      </c>
      <c r="E68">
        <f t="shared" si="7"/>
        <v>908056.885269625</v>
      </c>
      <c r="F68">
        <f t="shared" si="8"/>
        <v>10295429.5382044</v>
      </c>
      <c r="G68">
        <f t="shared" si="13"/>
        <v>16900</v>
      </c>
      <c r="H68">
        <f t="shared" si="9"/>
        <v>197660.81871345</v>
      </c>
      <c r="I68">
        <f t="shared" si="10"/>
        <v>24800.592</v>
      </c>
      <c r="J68">
        <f t="shared" si="11"/>
        <v>281185.850340136</v>
      </c>
      <c r="L68">
        <v>7</v>
      </c>
      <c r="M68">
        <f t="shared" si="14"/>
        <v>11357.4865177116</v>
      </c>
      <c r="O68">
        <f t="shared" si="15"/>
        <v>3067</v>
      </c>
    </row>
    <row r="69" spans="2:15">
      <c r="B69" t="s">
        <v>23</v>
      </c>
      <c r="C69" s="31">
        <f t="shared" si="12"/>
        <v>634400</v>
      </c>
      <c r="D69">
        <f t="shared" si="6"/>
        <v>3416553.28798186</v>
      </c>
      <c r="E69">
        <f t="shared" si="7"/>
        <v>668300.835312423</v>
      </c>
      <c r="F69">
        <f t="shared" si="8"/>
        <v>3599125.81375738</v>
      </c>
      <c r="G69">
        <f t="shared" si="13"/>
        <v>12200</v>
      </c>
      <c r="H69">
        <f t="shared" si="9"/>
        <v>67777.7777777778</v>
      </c>
      <c r="I69">
        <f t="shared" si="10"/>
        <v>16347.36</v>
      </c>
      <c r="J69">
        <f t="shared" si="11"/>
        <v>88038.5034013605</v>
      </c>
      <c r="L69">
        <v>8</v>
      </c>
      <c r="M69">
        <f t="shared" si="14"/>
        <v>13160.2621554436</v>
      </c>
      <c r="O69">
        <f t="shared" si="15"/>
        <v>1610</v>
      </c>
    </row>
    <row r="70" spans="2:15">
      <c r="B70" t="s">
        <v>24</v>
      </c>
      <c r="C70" s="31">
        <f t="shared" si="12"/>
        <v>592800</v>
      </c>
      <c r="D70">
        <f t="shared" si="6"/>
        <v>5712925.17006803</v>
      </c>
      <c r="E70">
        <f t="shared" si="7"/>
        <v>622521.280273905</v>
      </c>
      <c r="F70">
        <f t="shared" si="8"/>
        <v>5999354.7418687</v>
      </c>
      <c r="G70">
        <f t="shared" si="13"/>
        <v>11400</v>
      </c>
      <c r="H70">
        <f t="shared" si="9"/>
        <v>113333.333333333</v>
      </c>
      <c r="I70">
        <f t="shared" si="10"/>
        <v>17273.28</v>
      </c>
      <c r="J70">
        <f t="shared" si="11"/>
        <v>166465.850340136</v>
      </c>
      <c r="L70">
        <v>9</v>
      </c>
      <c r="M70">
        <f t="shared" si="14"/>
        <v>11537.7640814848</v>
      </c>
      <c r="O70">
        <f t="shared" si="15"/>
        <v>2280</v>
      </c>
    </row>
    <row r="71" spans="2:15">
      <c r="B71" t="s">
        <v>25</v>
      </c>
      <c r="C71" s="31">
        <f t="shared" si="12"/>
        <v>353600</v>
      </c>
      <c r="D71">
        <f t="shared" si="6"/>
        <v>2605895.69160998</v>
      </c>
      <c r="E71">
        <f t="shared" si="7"/>
        <v>370782.615158351</v>
      </c>
      <c r="F71">
        <f t="shared" si="8"/>
        <v>2732524.94164318</v>
      </c>
      <c r="G71">
        <f t="shared" si="13"/>
        <v>6800</v>
      </c>
      <c r="H71">
        <f t="shared" si="9"/>
        <v>51695.9064327485</v>
      </c>
      <c r="I71">
        <f t="shared" si="10"/>
        <v>9450.704</v>
      </c>
      <c r="J71">
        <f t="shared" si="11"/>
        <v>69648.0453514739</v>
      </c>
      <c r="L71">
        <v>10</v>
      </c>
      <c r="M71">
        <f t="shared" si="14"/>
        <v>6670.26985960838</v>
      </c>
      <c r="O71">
        <f t="shared" si="15"/>
        <v>1029</v>
      </c>
    </row>
    <row r="72" spans="2:15">
      <c r="B72" t="s">
        <v>26</v>
      </c>
      <c r="C72" s="31">
        <f t="shared" si="12"/>
        <v>790400</v>
      </c>
      <c r="D72">
        <f t="shared" si="6"/>
        <v>3584580.49886621</v>
      </c>
      <c r="E72">
        <f t="shared" si="7"/>
        <v>827551.600342381</v>
      </c>
      <c r="F72">
        <f t="shared" si="8"/>
        <v>3753068.48227837</v>
      </c>
      <c r="G72">
        <f t="shared" si="13"/>
        <v>15200</v>
      </c>
      <c r="H72">
        <f t="shared" si="9"/>
        <v>71111.1111111111</v>
      </c>
      <c r="I72">
        <f t="shared" si="10"/>
        <v>22660.096</v>
      </c>
      <c r="J72">
        <f t="shared" si="11"/>
        <v>102766.875283447</v>
      </c>
      <c r="L72">
        <v>11</v>
      </c>
      <c r="M72">
        <f t="shared" si="14"/>
        <v>14422.205101856</v>
      </c>
      <c r="O72">
        <f t="shared" si="15"/>
        <v>2896</v>
      </c>
    </row>
    <row r="73" spans="2:15">
      <c r="B73" t="s">
        <v>27</v>
      </c>
      <c r="C73" s="31">
        <f t="shared" si="12"/>
        <v>946400</v>
      </c>
      <c r="D73">
        <f t="shared" si="6"/>
        <v>6438095.23809524</v>
      </c>
      <c r="E73">
        <f t="shared" si="7"/>
        <v>990981.920410857</v>
      </c>
      <c r="F73">
        <f t="shared" si="8"/>
        <v>6741373.60823712</v>
      </c>
      <c r="G73">
        <f t="shared" si="13"/>
        <v>18200</v>
      </c>
      <c r="H73">
        <f t="shared" si="9"/>
        <v>127719.298245614</v>
      </c>
      <c r="I73">
        <f t="shared" si="10"/>
        <v>26561.696</v>
      </c>
      <c r="J73">
        <f t="shared" si="11"/>
        <v>180691.80952381</v>
      </c>
      <c r="L73">
        <v>12</v>
      </c>
      <c r="M73">
        <f t="shared" si="14"/>
        <v>17306.6461222272</v>
      </c>
      <c r="O73">
        <f t="shared" si="15"/>
        <v>3246</v>
      </c>
    </row>
    <row r="74" spans="2:15">
      <c r="B74" t="s">
        <v>28</v>
      </c>
      <c r="C74" s="31">
        <f t="shared" si="12"/>
        <v>473200</v>
      </c>
      <c r="D74">
        <f t="shared" si="6"/>
        <v>4023809.52380952</v>
      </c>
      <c r="E74">
        <f t="shared" si="7"/>
        <v>495490.960205429</v>
      </c>
      <c r="F74">
        <f t="shared" si="8"/>
        <v>4213358.5051482</v>
      </c>
      <c r="G74">
        <f t="shared" si="13"/>
        <v>9100</v>
      </c>
      <c r="H74">
        <f t="shared" si="9"/>
        <v>79824.5614035088</v>
      </c>
      <c r="I74">
        <f t="shared" si="10"/>
        <v>13409.648</v>
      </c>
      <c r="J74">
        <f t="shared" si="11"/>
        <v>114027.619047619</v>
      </c>
      <c r="L74">
        <v>13</v>
      </c>
      <c r="M74">
        <f t="shared" si="14"/>
        <v>8653.32306111357</v>
      </c>
      <c r="O74">
        <f t="shared" si="15"/>
        <v>1673</v>
      </c>
    </row>
    <row r="75" spans="2:15">
      <c r="B75" t="s">
        <v>29</v>
      </c>
      <c r="C75" s="31">
        <f t="shared" si="12"/>
        <v>1279200</v>
      </c>
      <c r="D75">
        <f t="shared" si="6"/>
        <v>6889115.6462585</v>
      </c>
      <c r="E75">
        <f t="shared" si="7"/>
        <v>1329354.66046221</v>
      </c>
      <c r="F75">
        <f t="shared" si="8"/>
        <v>7159222.94466612</v>
      </c>
      <c r="G75">
        <f t="shared" si="13"/>
        <v>24600</v>
      </c>
      <c r="H75">
        <f t="shared" si="9"/>
        <v>136666.666666667</v>
      </c>
      <c r="I75">
        <f t="shared" si="10"/>
        <v>35027.648</v>
      </c>
      <c r="J75">
        <f t="shared" si="11"/>
        <v>188640.961451247</v>
      </c>
      <c r="L75">
        <v>14</v>
      </c>
      <c r="M75">
        <f t="shared" si="14"/>
        <v>19469.9768875055</v>
      </c>
      <c r="O75">
        <f t="shared" si="15"/>
        <v>4048</v>
      </c>
    </row>
    <row r="76" spans="2:15">
      <c r="B76" t="s">
        <v>30</v>
      </c>
      <c r="C76" s="31">
        <f t="shared" si="12"/>
        <v>312000</v>
      </c>
      <c r="D76">
        <f t="shared" si="6"/>
        <v>2653061.2244898</v>
      </c>
      <c r="E76">
        <f t="shared" si="7"/>
        <v>330111.405166911</v>
      </c>
      <c r="F76">
        <f t="shared" si="8"/>
        <v>2807069.77182747</v>
      </c>
      <c r="G76">
        <f t="shared" si="13"/>
        <v>6000</v>
      </c>
      <c r="H76">
        <f t="shared" si="9"/>
        <v>52631.5789473684</v>
      </c>
      <c r="I76">
        <f t="shared" si="10"/>
        <v>8400.832</v>
      </c>
      <c r="J76">
        <f t="shared" si="11"/>
        <v>71435.6462585034</v>
      </c>
      <c r="L76">
        <v>15</v>
      </c>
      <c r="M76">
        <f t="shared" si="14"/>
        <v>7030.82498715478</v>
      </c>
      <c r="O76">
        <f t="shared" si="15"/>
        <v>932</v>
      </c>
    </row>
    <row r="77" spans="2:15">
      <c r="B77" t="s">
        <v>31</v>
      </c>
      <c r="C77" s="31">
        <f t="shared" si="12"/>
        <v>665600</v>
      </c>
      <c r="D77">
        <f t="shared" si="6"/>
        <v>7546485.26077097</v>
      </c>
      <c r="E77">
        <f t="shared" si="7"/>
        <v>699036.440308143</v>
      </c>
      <c r="F77">
        <f t="shared" si="8"/>
        <v>7925583.22344833</v>
      </c>
      <c r="G77">
        <f t="shared" si="13"/>
        <v>12800</v>
      </c>
      <c r="H77">
        <f t="shared" si="9"/>
        <v>149707.602339181</v>
      </c>
      <c r="I77">
        <f t="shared" si="10"/>
        <v>19394.56</v>
      </c>
      <c r="J77">
        <f t="shared" si="11"/>
        <v>219892.970521542</v>
      </c>
      <c r="L77">
        <v>16</v>
      </c>
      <c r="M77">
        <f t="shared" si="14"/>
        <v>12979.9845916704</v>
      </c>
      <c r="O77">
        <f t="shared" si="15"/>
        <v>2560</v>
      </c>
    </row>
    <row r="78" spans="2:15">
      <c r="B78" t="s">
        <v>32</v>
      </c>
      <c r="C78" s="31">
        <f t="shared" si="12"/>
        <v>561600</v>
      </c>
      <c r="D78">
        <f t="shared" si="6"/>
        <v>4616326.53061225</v>
      </c>
      <c r="E78">
        <f t="shared" si="7"/>
        <v>587141.725235387</v>
      </c>
      <c r="F78">
        <f t="shared" si="8"/>
        <v>4826278.35369224</v>
      </c>
      <c r="G78">
        <f t="shared" si="13"/>
        <v>10800</v>
      </c>
      <c r="H78">
        <f t="shared" si="9"/>
        <v>91578.9473684211</v>
      </c>
      <c r="I78">
        <f t="shared" si="10"/>
        <v>15550.144</v>
      </c>
      <c r="J78">
        <f t="shared" si="11"/>
        <v>127821.47845805</v>
      </c>
      <c r="L78">
        <v>17</v>
      </c>
      <c r="M78">
        <f t="shared" si="14"/>
        <v>9915.26600752597</v>
      </c>
      <c r="O78">
        <f t="shared" si="15"/>
        <v>1844</v>
      </c>
    </row>
    <row r="79" spans="2:15">
      <c r="B79" t="s">
        <v>33</v>
      </c>
      <c r="C79" s="31">
        <f t="shared" si="12"/>
        <v>920400</v>
      </c>
      <c r="D79">
        <f t="shared" si="6"/>
        <v>6522108.84353741</v>
      </c>
      <c r="E79">
        <f t="shared" si="7"/>
        <v>959409.1803595</v>
      </c>
      <c r="F79">
        <f t="shared" si="8"/>
        <v>6798534.44132299</v>
      </c>
      <c r="G79">
        <f t="shared" si="13"/>
        <v>17700</v>
      </c>
      <c r="H79">
        <f t="shared" si="9"/>
        <v>129385.964912281</v>
      </c>
      <c r="I79">
        <f t="shared" si="10"/>
        <v>25610.896</v>
      </c>
      <c r="J79">
        <f t="shared" si="11"/>
        <v>181483.106575964</v>
      </c>
      <c r="L79">
        <v>18</v>
      </c>
      <c r="M79">
        <f t="shared" si="14"/>
        <v>15143.3153569488</v>
      </c>
      <c r="O79">
        <f t="shared" si="15"/>
        <v>3071</v>
      </c>
    </row>
    <row r="80" spans="2:15">
      <c r="B80" t="s">
        <v>34</v>
      </c>
      <c r="C80" s="31">
        <f t="shared" si="12"/>
        <v>1341600</v>
      </c>
      <c r="D80">
        <f t="shared" si="6"/>
        <v>15971428.5714286</v>
      </c>
      <c r="E80">
        <f t="shared" si="7"/>
        <v>1404293.32557777</v>
      </c>
      <c r="F80">
        <f t="shared" si="8"/>
        <v>16717777.6854496</v>
      </c>
      <c r="G80">
        <f t="shared" si="13"/>
        <v>25800</v>
      </c>
      <c r="H80">
        <f t="shared" si="9"/>
        <v>316842.105263158</v>
      </c>
      <c r="I80">
        <f t="shared" si="10"/>
        <v>36732.544</v>
      </c>
      <c r="J80">
        <f t="shared" si="11"/>
        <v>437292.19047619</v>
      </c>
      <c r="L80">
        <v>19</v>
      </c>
      <c r="M80">
        <f t="shared" si="14"/>
        <v>24337.4711093819</v>
      </c>
      <c r="O80">
        <f t="shared" si="15"/>
        <v>4244</v>
      </c>
    </row>
    <row r="81" spans="2:15">
      <c r="B81" t="s">
        <v>35</v>
      </c>
      <c r="C81" s="31">
        <f t="shared" si="12"/>
        <v>1097200</v>
      </c>
      <c r="D81">
        <f t="shared" si="6"/>
        <v>7152947.84580499</v>
      </c>
      <c r="E81">
        <f t="shared" si="7"/>
        <v>1146425.87045365</v>
      </c>
      <c r="F81">
        <f t="shared" si="8"/>
        <v>7473864.80171033</v>
      </c>
      <c r="G81">
        <f t="shared" si="13"/>
        <v>21100</v>
      </c>
      <c r="H81">
        <f t="shared" si="9"/>
        <v>141900.584795322</v>
      </c>
      <c r="I81">
        <f t="shared" si="10"/>
        <v>29621.408</v>
      </c>
      <c r="J81">
        <f t="shared" si="11"/>
        <v>193110.0861678</v>
      </c>
      <c r="L81">
        <v>20</v>
      </c>
      <c r="M81">
        <f t="shared" si="14"/>
        <v>19109.4217599591</v>
      </c>
      <c r="O81">
        <f t="shared" si="15"/>
        <v>3308</v>
      </c>
    </row>
    <row r="82" spans="2:10">
      <c r="B82" t="s">
        <v>56</v>
      </c>
      <c r="C82" s="31">
        <f>SUM(C62:C81)</f>
        <v>15106000</v>
      </c>
      <c r="D82" s="31">
        <f t="shared" ref="D82:J82" si="16">SUM(D62:D81)</f>
        <v>134641383.219955</v>
      </c>
      <c r="E82" s="31">
        <f t="shared" si="16"/>
        <v>15806772.0614582</v>
      </c>
      <c r="F82" s="31">
        <f t="shared" si="16"/>
        <v>140889523.148568</v>
      </c>
      <c r="G82" s="31">
        <f t="shared" si="16"/>
        <v>290500</v>
      </c>
      <c r="H82" s="31">
        <f t="shared" si="16"/>
        <v>2671023.39181287</v>
      </c>
      <c r="I82" s="31">
        <f t="shared" si="16"/>
        <v>417411.792</v>
      </c>
      <c r="J82" s="31">
        <f t="shared" si="16"/>
        <v>3721669.30612245</v>
      </c>
    </row>
    <row r="85" spans="2:12">
      <c r="B85" t="str">
        <f>B61</f>
        <v>Parts</v>
      </c>
      <c r="C85" t="str">
        <f>E61</f>
        <v>Annual Robust Demand (units)</v>
      </c>
      <c r="E85" t="str">
        <f>B61</f>
        <v>Parts</v>
      </c>
      <c r="F85" t="str">
        <f>F61</f>
        <v>Annual Robust Time (minutes)</v>
      </c>
      <c r="H85" t="str">
        <f>B61</f>
        <v>Parts</v>
      </c>
      <c r="I85" t="str">
        <f>I61</f>
        <v>Weekly Robust Demand (units)</v>
      </c>
      <c r="K85" t="str">
        <f>B61</f>
        <v>Parts</v>
      </c>
      <c r="L85" t="str">
        <f>J61</f>
        <v>Weekly Robust Time (minutes)</v>
      </c>
    </row>
    <row r="86" spans="2:12">
      <c r="B86" t="str">
        <f t="shared" ref="B86:B105" si="17">B62</f>
        <v>P1</v>
      </c>
      <c r="C86">
        <f t="shared" ref="C86:C105" si="18">E62</f>
        <v>1422215.30059917</v>
      </c>
      <c r="E86" t="str">
        <f t="shared" ref="E86:E105" si="19">B62</f>
        <v>P1</v>
      </c>
      <c r="F86">
        <f t="shared" ref="F86:F105" si="20">F62</f>
        <v>20559234.787573</v>
      </c>
      <c r="H86" t="str">
        <f t="shared" ref="H86:H105" si="21">B62</f>
        <v>P1</v>
      </c>
      <c r="I86">
        <f t="shared" ref="I86:I105" si="22">I62</f>
        <v>37364.848</v>
      </c>
      <c r="K86" t="str">
        <f t="shared" ref="K86:K105" si="23">B62</f>
        <v>P1</v>
      </c>
      <c r="L86">
        <f t="shared" ref="L86:L105" si="24">J62</f>
        <v>540138.108843537</v>
      </c>
    </row>
    <row r="87" spans="2:12">
      <c r="B87" t="str">
        <f t="shared" si="17"/>
        <v>P2</v>
      </c>
      <c r="C87">
        <f t="shared" si="18"/>
        <v>841202.365372339</v>
      </c>
      <c r="E87" t="str">
        <f t="shared" si="19"/>
        <v>P2</v>
      </c>
      <c r="F87">
        <f t="shared" si="20"/>
        <v>7391517.38280684</v>
      </c>
      <c r="H87" t="str">
        <f t="shared" si="21"/>
        <v>P2</v>
      </c>
      <c r="I87">
        <f t="shared" si="22"/>
        <v>21613.312</v>
      </c>
      <c r="K87" t="str">
        <f t="shared" si="23"/>
        <v>P2</v>
      </c>
      <c r="L87">
        <f t="shared" si="24"/>
        <v>189912.888888889</v>
      </c>
    </row>
    <row r="88" spans="2:12">
      <c r="B88" t="str">
        <f t="shared" si="17"/>
        <v>P3</v>
      </c>
      <c r="C88">
        <f t="shared" si="18"/>
        <v>692815.995346661</v>
      </c>
      <c r="E88" t="str">
        <f t="shared" si="19"/>
        <v>P3</v>
      </c>
      <c r="F88">
        <f t="shared" si="20"/>
        <v>7462303.80475428</v>
      </c>
      <c r="H88" t="str">
        <f t="shared" si="21"/>
        <v>P3</v>
      </c>
      <c r="I88">
        <f t="shared" si="22"/>
        <v>17473.792</v>
      </c>
      <c r="K88" t="str">
        <f t="shared" si="23"/>
        <v>P3</v>
      </c>
      <c r="L88">
        <f t="shared" si="24"/>
        <v>188209.777777778</v>
      </c>
    </row>
    <row r="89" spans="2:12">
      <c r="B89" t="str">
        <f t="shared" si="17"/>
        <v>P4</v>
      </c>
      <c r="C89">
        <f t="shared" si="18"/>
        <v>558263.700256786</v>
      </c>
      <c r="E89" t="str">
        <f t="shared" si="19"/>
        <v>P4</v>
      </c>
      <c r="F89">
        <f t="shared" si="20"/>
        <v>4747140.308306</v>
      </c>
      <c r="H89" t="str">
        <f t="shared" si="21"/>
        <v>P4</v>
      </c>
      <c r="I89">
        <f t="shared" si="22"/>
        <v>14878.016</v>
      </c>
      <c r="K89" t="str">
        <f t="shared" si="23"/>
        <v>P4</v>
      </c>
      <c r="L89">
        <f t="shared" si="24"/>
        <v>126513.741496599</v>
      </c>
    </row>
    <row r="90" spans="2:12">
      <c r="B90" t="str">
        <f t="shared" si="17"/>
        <v>P5</v>
      </c>
      <c r="C90">
        <f t="shared" si="18"/>
        <v>486948.540222548</v>
      </c>
      <c r="E90" t="str">
        <f t="shared" si="19"/>
        <v>P5</v>
      </c>
      <c r="F90">
        <f t="shared" si="20"/>
        <v>4140718.87944343</v>
      </c>
      <c r="H90" t="str">
        <f t="shared" si="21"/>
        <v>P5</v>
      </c>
      <c r="I90">
        <f t="shared" si="22"/>
        <v>13549.68</v>
      </c>
      <c r="K90" t="str">
        <f t="shared" si="23"/>
        <v>P5</v>
      </c>
      <c r="L90">
        <f t="shared" si="24"/>
        <v>115218.367346939</v>
      </c>
    </row>
    <row r="91" spans="2:12">
      <c r="B91" t="str">
        <f t="shared" si="17"/>
        <v>P6</v>
      </c>
      <c r="C91">
        <f t="shared" si="18"/>
        <v>465867.455124113</v>
      </c>
      <c r="E91" t="str">
        <f t="shared" si="19"/>
        <v>P6</v>
      </c>
      <c r="F91">
        <f t="shared" si="20"/>
        <v>5546041.13242992</v>
      </c>
      <c r="H91" t="str">
        <f t="shared" si="21"/>
        <v>P6</v>
      </c>
      <c r="I91">
        <f t="shared" si="22"/>
        <v>11690.736</v>
      </c>
      <c r="K91" t="str">
        <f t="shared" si="23"/>
        <v>P6</v>
      </c>
      <c r="L91">
        <f t="shared" si="24"/>
        <v>139175.428571429</v>
      </c>
    </row>
    <row r="92" spans="2:12">
      <c r="B92" t="str">
        <f t="shared" si="17"/>
        <v>P7</v>
      </c>
      <c r="C92">
        <f t="shared" si="18"/>
        <v>908056.885269625</v>
      </c>
      <c r="E92" t="str">
        <f t="shared" si="19"/>
        <v>P7</v>
      </c>
      <c r="F92">
        <f t="shared" si="20"/>
        <v>10295429.5382044</v>
      </c>
      <c r="H92" t="str">
        <f t="shared" si="21"/>
        <v>P7</v>
      </c>
      <c r="I92">
        <f t="shared" si="22"/>
        <v>24800.592</v>
      </c>
      <c r="K92" t="str">
        <f t="shared" si="23"/>
        <v>P7</v>
      </c>
      <c r="L92">
        <f t="shared" si="24"/>
        <v>281185.850340136</v>
      </c>
    </row>
    <row r="93" spans="2:12">
      <c r="B93" t="str">
        <f t="shared" si="17"/>
        <v>P8</v>
      </c>
      <c r="C93">
        <f t="shared" si="18"/>
        <v>668300.835312423</v>
      </c>
      <c r="E93" t="str">
        <f t="shared" si="19"/>
        <v>P8</v>
      </c>
      <c r="F93">
        <f t="shared" si="20"/>
        <v>3599125.81375738</v>
      </c>
      <c r="H93" t="str">
        <f t="shared" si="21"/>
        <v>P8</v>
      </c>
      <c r="I93">
        <f t="shared" si="22"/>
        <v>16347.36</v>
      </c>
      <c r="K93" t="str">
        <f t="shared" si="23"/>
        <v>P8</v>
      </c>
      <c r="L93">
        <f t="shared" si="24"/>
        <v>88038.5034013605</v>
      </c>
    </row>
    <row r="94" spans="2:12">
      <c r="B94" t="str">
        <f t="shared" si="17"/>
        <v>P9</v>
      </c>
      <c r="C94">
        <f t="shared" si="18"/>
        <v>622521.280273905</v>
      </c>
      <c r="E94" t="str">
        <f t="shared" si="19"/>
        <v>P9</v>
      </c>
      <c r="F94">
        <f t="shared" si="20"/>
        <v>5999354.7418687</v>
      </c>
      <c r="H94" t="str">
        <f t="shared" si="21"/>
        <v>P9</v>
      </c>
      <c r="I94">
        <f t="shared" si="22"/>
        <v>17273.28</v>
      </c>
      <c r="K94" t="str">
        <f t="shared" si="23"/>
        <v>P9</v>
      </c>
      <c r="L94">
        <f t="shared" si="24"/>
        <v>166465.850340136</v>
      </c>
    </row>
    <row r="95" spans="2:12">
      <c r="B95" t="str">
        <f t="shared" si="17"/>
        <v>P10</v>
      </c>
      <c r="C95">
        <f t="shared" si="18"/>
        <v>370782.615158351</v>
      </c>
      <c r="E95" t="str">
        <f t="shared" si="19"/>
        <v>P10</v>
      </c>
      <c r="F95">
        <f t="shared" si="20"/>
        <v>2732524.94164318</v>
      </c>
      <c r="H95" t="str">
        <f t="shared" si="21"/>
        <v>P10</v>
      </c>
      <c r="I95">
        <f t="shared" si="22"/>
        <v>9450.704</v>
      </c>
      <c r="K95" t="str">
        <f t="shared" si="23"/>
        <v>P10</v>
      </c>
      <c r="L95">
        <f t="shared" si="24"/>
        <v>69648.0453514739</v>
      </c>
    </row>
    <row r="96" spans="2:12">
      <c r="B96" t="str">
        <f t="shared" si="17"/>
        <v>P11</v>
      </c>
      <c r="C96">
        <f t="shared" si="18"/>
        <v>827551.600342381</v>
      </c>
      <c r="E96" t="str">
        <f t="shared" si="19"/>
        <v>P11</v>
      </c>
      <c r="F96">
        <f t="shared" si="20"/>
        <v>3753068.48227837</v>
      </c>
      <c r="H96" t="str">
        <f t="shared" si="21"/>
        <v>P11</v>
      </c>
      <c r="I96">
        <f t="shared" si="22"/>
        <v>22660.096</v>
      </c>
      <c r="K96" t="str">
        <f t="shared" si="23"/>
        <v>P11</v>
      </c>
      <c r="L96">
        <f t="shared" si="24"/>
        <v>102766.875283447</v>
      </c>
    </row>
    <row r="97" spans="2:12">
      <c r="B97" t="str">
        <f t="shared" si="17"/>
        <v>P12</v>
      </c>
      <c r="C97">
        <f t="shared" si="18"/>
        <v>990981.920410857</v>
      </c>
      <c r="E97" t="str">
        <f t="shared" si="19"/>
        <v>P12</v>
      </c>
      <c r="F97">
        <f t="shared" si="20"/>
        <v>6741373.60823712</v>
      </c>
      <c r="H97" t="str">
        <f t="shared" si="21"/>
        <v>P12</v>
      </c>
      <c r="I97">
        <f t="shared" si="22"/>
        <v>26561.696</v>
      </c>
      <c r="K97" t="str">
        <f t="shared" si="23"/>
        <v>P12</v>
      </c>
      <c r="L97">
        <f t="shared" si="24"/>
        <v>180691.80952381</v>
      </c>
    </row>
    <row r="98" spans="2:12">
      <c r="B98" t="str">
        <f t="shared" si="17"/>
        <v>P13</v>
      </c>
      <c r="C98">
        <f t="shared" si="18"/>
        <v>495490.960205429</v>
      </c>
      <c r="E98" t="str">
        <f t="shared" si="19"/>
        <v>P13</v>
      </c>
      <c r="F98">
        <f t="shared" si="20"/>
        <v>4213358.5051482</v>
      </c>
      <c r="H98" t="str">
        <f t="shared" si="21"/>
        <v>P13</v>
      </c>
      <c r="I98">
        <f t="shared" si="22"/>
        <v>13409.648</v>
      </c>
      <c r="K98" t="str">
        <f t="shared" si="23"/>
        <v>P13</v>
      </c>
      <c r="L98">
        <f t="shared" si="24"/>
        <v>114027.619047619</v>
      </c>
    </row>
    <row r="99" spans="2:12">
      <c r="B99" t="str">
        <f t="shared" si="17"/>
        <v>P14</v>
      </c>
      <c r="C99">
        <f t="shared" si="18"/>
        <v>1329354.66046221</v>
      </c>
      <c r="E99" t="str">
        <f t="shared" si="19"/>
        <v>P14</v>
      </c>
      <c r="F99">
        <f t="shared" si="20"/>
        <v>7159222.94466612</v>
      </c>
      <c r="H99" t="str">
        <f t="shared" si="21"/>
        <v>P14</v>
      </c>
      <c r="I99">
        <f t="shared" si="22"/>
        <v>35027.648</v>
      </c>
      <c r="K99" t="str">
        <f t="shared" si="23"/>
        <v>P14</v>
      </c>
      <c r="L99">
        <f t="shared" si="24"/>
        <v>188640.961451247</v>
      </c>
    </row>
    <row r="100" spans="2:12">
      <c r="B100" t="str">
        <f t="shared" si="17"/>
        <v>P15</v>
      </c>
      <c r="C100">
        <f t="shared" si="18"/>
        <v>330111.405166911</v>
      </c>
      <c r="E100" t="str">
        <f t="shared" si="19"/>
        <v>P15</v>
      </c>
      <c r="F100">
        <f t="shared" si="20"/>
        <v>2807069.77182747</v>
      </c>
      <c r="H100" t="str">
        <f t="shared" si="21"/>
        <v>P15</v>
      </c>
      <c r="I100">
        <f t="shared" si="22"/>
        <v>8400.832</v>
      </c>
      <c r="K100" t="str">
        <f t="shared" si="23"/>
        <v>P15</v>
      </c>
      <c r="L100">
        <f t="shared" si="24"/>
        <v>71435.6462585034</v>
      </c>
    </row>
    <row r="101" spans="2:12">
      <c r="B101" t="str">
        <f t="shared" si="17"/>
        <v>P16</v>
      </c>
      <c r="C101">
        <f t="shared" si="18"/>
        <v>699036.440308143</v>
      </c>
      <c r="E101" t="str">
        <f t="shared" si="19"/>
        <v>P16</v>
      </c>
      <c r="F101">
        <f t="shared" si="20"/>
        <v>7925583.22344833</v>
      </c>
      <c r="H101" t="str">
        <f t="shared" si="21"/>
        <v>P16</v>
      </c>
      <c r="I101">
        <f t="shared" si="22"/>
        <v>19394.56</v>
      </c>
      <c r="K101" t="str">
        <f t="shared" si="23"/>
        <v>P16</v>
      </c>
      <c r="L101">
        <f t="shared" si="24"/>
        <v>219892.970521542</v>
      </c>
    </row>
    <row r="102" spans="2:12">
      <c r="B102" t="str">
        <f t="shared" si="17"/>
        <v>P17</v>
      </c>
      <c r="C102">
        <f t="shared" si="18"/>
        <v>587141.725235387</v>
      </c>
      <c r="E102" t="str">
        <f t="shared" si="19"/>
        <v>P17</v>
      </c>
      <c r="F102">
        <f t="shared" si="20"/>
        <v>4826278.35369224</v>
      </c>
      <c r="H102" t="str">
        <f t="shared" si="21"/>
        <v>P17</v>
      </c>
      <c r="I102">
        <f t="shared" si="22"/>
        <v>15550.144</v>
      </c>
      <c r="K102" t="str">
        <f t="shared" si="23"/>
        <v>P17</v>
      </c>
      <c r="L102">
        <f t="shared" si="24"/>
        <v>127821.47845805</v>
      </c>
    </row>
    <row r="103" spans="2:12">
      <c r="B103" t="str">
        <f t="shared" si="17"/>
        <v>P18</v>
      </c>
      <c r="C103">
        <f t="shared" si="18"/>
        <v>959409.1803595</v>
      </c>
      <c r="E103" t="str">
        <f t="shared" si="19"/>
        <v>P18</v>
      </c>
      <c r="F103">
        <f t="shared" si="20"/>
        <v>6798534.44132299</v>
      </c>
      <c r="H103" t="str">
        <f t="shared" si="21"/>
        <v>P18</v>
      </c>
      <c r="I103">
        <f t="shared" si="22"/>
        <v>25610.896</v>
      </c>
      <c r="K103" t="str">
        <f t="shared" si="23"/>
        <v>P18</v>
      </c>
      <c r="L103">
        <f t="shared" si="24"/>
        <v>181483.106575964</v>
      </c>
    </row>
    <row r="104" spans="2:12">
      <c r="B104" t="str">
        <f t="shared" si="17"/>
        <v>P19</v>
      </c>
      <c r="C104">
        <f t="shared" si="18"/>
        <v>1404293.32557777</v>
      </c>
      <c r="E104" t="str">
        <f t="shared" si="19"/>
        <v>P19</v>
      </c>
      <c r="F104">
        <f t="shared" si="20"/>
        <v>16717777.6854496</v>
      </c>
      <c r="H104" t="str">
        <f t="shared" si="21"/>
        <v>P19</v>
      </c>
      <c r="I104">
        <f t="shared" si="22"/>
        <v>36732.544</v>
      </c>
      <c r="K104" t="str">
        <f t="shared" si="23"/>
        <v>P19</v>
      </c>
      <c r="L104">
        <f t="shared" si="24"/>
        <v>437292.19047619</v>
      </c>
    </row>
    <row r="105" spans="2:12">
      <c r="B105" t="str">
        <f t="shared" si="17"/>
        <v>P20</v>
      </c>
      <c r="C105">
        <f t="shared" si="18"/>
        <v>1146425.87045365</v>
      </c>
      <c r="E105" t="str">
        <f t="shared" si="19"/>
        <v>P20</v>
      </c>
      <c r="F105">
        <f t="shared" si="20"/>
        <v>7473864.80171033</v>
      </c>
      <c r="H105" t="str">
        <f t="shared" si="21"/>
        <v>P20</v>
      </c>
      <c r="I105">
        <f t="shared" si="22"/>
        <v>29621.408</v>
      </c>
      <c r="K105" t="str">
        <f t="shared" si="23"/>
        <v>P20</v>
      </c>
      <c r="L105">
        <f t="shared" si="24"/>
        <v>193110.0861678</v>
      </c>
    </row>
  </sheetData>
  <mergeCells count="6">
    <mergeCell ref="C3:I3"/>
    <mergeCell ref="M3:T3"/>
    <mergeCell ref="B29:K29"/>
    <mergeCell ref="B37:K37"/>
    <mergeCell ref="B45:K45"/>
    <mergeCell ref="B53:K5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105"/>
  <sheetViews>
    <sheetView zoomScale="50" zoomScaleNormal="50" topLeftCell="A52" workbookViewId="0">
      <selection activeCell="L85" sqref="L85:L105"/>
    </sheetView>
  </sheetViews>
  <sheetFormatPr defaultColWidth="11" defaultRowHeight="17.6"/>
  <cols>
    <col min="3" max="3" width="22.1527777777778" customWidth="1"/>
    <col min="4" max="4" width="21.6597222222222" customWidth="1"/>
    <col min="5" max="5" width="24.7986111111111" customWidth="1"/>
    <col min="6" max="6" width="25.6180555555556" customWidth="1"/>
    <col min="7" max="7" width="22.1597222222222" customWidth="1"/>
    <col min="8" max="8" width="22.1527777777778" customWidth="1"/>
    <col min="9" max="9" width="26.2847222222222" customWidth="1"/>
    <col min="10" max="10" width="25.9583333333333" customWidth="1"/>
    <col min="11" max="11" width="12.5555555555556"/>
    <col min="12" max="12" width="20.5" customWidth="1"/>
    <col min="13" max="13" width="21.9861111111111" customWidth="1"/>
    <col min="14" max="15" width="12.5555555555556"/>
  </cols>
  <sheetData>
    <row r="3" spans="2:20">
      <c r="B3" s="1" t="s">
        <v>0</v>
      </c>
      <c r="C3" s="2" t="s">
        <v>1</v>
      </c>
      <c r="D3" s="3"/>
      <c r="E3" s="3"/>
      <c r="F3" s="3"/>
      <c r="G3" s="3"/>
      <c r="H3" s="3"/>
      <c r="I3" s="32"/>
      <c r="L3" s="1" t="s">
        <v>0</v>
      </c>
      <c r="M3" s="2" t="s">
        <v>57</v>
      </c>
      <c r="N3" s="3"/>
      <c r="O3" s="3"/>
      <c r="P3" s="3"/>
      <c r="Q3" s="3"/>
      <c r="R3" s="3"/>
      <c r="S3" s="3"/>
      <c r="T3" s="32"/>
    </row>
    <row r="4" spans="2:20"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3" t="s">
        <v>9</v>
      </c>
      <c r="J4" t="s">
        <v>10</v>
      </c>
      <c r="L4" s="13"/>
      <c r="M4" s="46" t="s">
        <v>11</v>
      </c>
      <c r="N4" s="47" t="s">
        <v>12</v>
      </c>
      <c r="O4" s="47" t="s">
        <v>13</v>
      </c>
      <c r="P4" s="47" t="s">
        <v>14</v>
      </c>
      <c r="Q4" s="47" t="s">
        <v>15</v>
      </c>
      <c r="R4" s="47" t="s">
        <v>58</v>
      </c>
      <c r="S4" s="47" t="s">
        <v>59</v>
      </c>
      <c r="T4" s="50" t="s">
        <v>60</v>
      </c>
    </row>
    <row r="5" spans="2:20">
      <c r="B5" s="4" t="s">
        <v>16</v>
      </c>
      <c r="C5" s="6">
        <v>2.5</v>
      </c>
      <c r="D5" s="6">
        <v>1</v>
      </c>
      <c r="E5" s="6">
        <v>2.5</v>
      </c>
      <c r="F5" s="6">
        <v>0.5</v>
      </c>
      <c r="G5" s="6">
        <v>2.5</v>
      </c>
      <c r="H5" s="6">
        <v>1.25</v>
      </c>
      <c r="I5" s="34">
        <v>2.5</v>
      </c>
      <c r="J5">
        <f t="shared" ref="J5:J24" si="0">SUM(C5:I5)</f>
        <v>12.75</v>
      </c>
      <c r="L5" s="13" t="s">
        <v>16</v>
      </c>
      <c r="M5" s="48">
        <v>1</v>
      </c>
      <c r="N5" s="49">
        <v>2</v>
      </c>
      <c r="O5" s="49">
        <v>4</v>
      </c>
      <c r="P5" s="49">
        <v>4</v>
      </c>
      <c r="Q5" s="49">
        <v>1</v>
      </c>
      <c r="R5" s="49"/>
      <c r="S5" s="49"/>
      <c r="T5" s="51">
        <v>2</v>
      </c>
    </row>
    <row r="6" spans="2:20">
      <c r="B6" s="4" t="s">
        <v>17</v>
      </c>
      <c r="C6" s="6">
        <v>1.25</v>
      </c>
      <c r="D6" s="6">
        <v>0.5</v>
      </c>
      <c r="E6" s="6">
        <v>2.5</v>
      </c>
      <c r="F6" s="6">
        <v>1</v>
      </c>
      <c r="G6" s="6">
        <v>2.5</v>
      </c>
      <c r="H6" s="6"/>
      <c r="I6" s="34"/>
      <c r="J6">
        <f t="shared" si="0"/>
        <v>7.75</v>
      </c>
      <c r="L6" s="13" t="s">
        <v>17</v>
      </c>
      <c r="M6" s="14">
        <v>4</v>
      </c>
      <c r="N6" s="15"/>
      <c r="O6" s="15">
        <v>2</v>
      </c>
      <c r="P6" s="15">
        <v>2</v>
      </c>
      <c r="Q6" s="15"/>
      <c r="R6" s="15"/>
      <c r="S6" s="15"/>
      <c r="T6" s="42">
        <v>1</v>
      </c>
    </row>
    <row r="7" spans="2:20">
      <c r="B7" s="4" t="s">
        <v>18</v>
      </c>
      <c r="C7" s="6">
        <v>1.75</v>
      </c>
      <c r="D7" s="6">
        <v>3</v>
      </c>
      <c r="E7" s="6">
        <v>0.75</v>
      </c>
      <c r="F7" s="6">
        <v>1.5</v>
      </c>
      <c r="G7" s="6">
        <v>2.5</v>
      </c>
      <c r="H7" s="6"/>
      <c r="I7" s="34"/>
      <c r="J7">
        <f t="shared" si="0"/>
        <v>9.5</v>
      </c>
      <c r="L7" s="13" t="s">
        <v>18</v>
      </c>
      <c r="M7" s="14"/>
      <c r="N7" s="15"/>
      <c r="O7" s="15"/>
      <c r="P7" s="15">
        <v>4</v>
      </c>
      <c r="Q7" s="15">
        <v>1</v>
      </c>
      <c r="R7" s="15">
        <v>2</v>
      </c>
      <c r="S7" s="15">
        <v>4</v>
      </c>
      <c r="T7" s="42">
        <v>1</v>
      </c>
    </row>
    <row r="8" spans="2:20">
      <c r="B8" s="4" t="s">
        <v>19</v>
      </c>
      <c r="C8" s="6">
        <v>1</v>
      </c>
      <c r="D8" s="6">
        <v>2</v>
      </c>
      <c r="E8" s="6">
        <v>3</v>
      </c>
      <c r="F8" s="6">
        <v>0.25</v>
      </c>
      <c r="G8" s="6">
        <v>1.25</v>
      </c>
      <c r="H8" s="6"/>
      <c r="I8" s="34"/>
      <c r="J8">
        <f t="shared" si="0"/>
        <v>7.5</v>
      </c>
      <c r="L8" s="13" t="s">
        <v>19</v>
      </c>
      <c r="M8" s="14"/>
      <c r="N8" s="15">
        <v>1</v>
      </c>
      <c r="O8" s="15">
        <v>2</v>
      </c>
      <c r="P8" s="15">
        <v>2</v>
      </c>
      <c r="Q8" s="15"/>
      <c r="R8" s="15"/>
      <c r="S8" s="15"/>
      <c r="T8" s="42"/>
    </row>
    <row r="9" spans="2:20">
      <c r="B9" s="4" t="s">
        <v>20</v>
      </c>
      <c r="C9" s="6">
        <v>1.5</v>
      </c>
      <c r="D9" s="6">
        <v>0.75</v>
      </c>
      <c r="E9" s="6">
        <v>3.5</v>
      </c>
      <c r="F9" s="6">
        <v>1.75</v>
      </c>
      <c r="G9" s="6"/>
      <c r="H9" s="6"/>
      <c r="I9" s="34"/>
      <c r="J9">
        <f t="shared" si="0"/>
        <v>7.5</v>
      </c>
      <c r="L9" s="13" t="s">
        <v>20</v>
      </c>
      <c r="M9" s="14"/>
      <c r="N9" s="15">
        <v>1</v>
      </c>
      <c r="O9" s="15">
        <v>2</v>
      </c>
      <c r="P9" s="15"/>
      <c r="Q9" s="15"/>
      <c r="R9" s="15">
        <v>1</v>
      </c>
      <c r="S9" s="15">
        <v>1</v>
      </c>
      <c r="T9" s="42"/>
    </row>
    <row r="10" spans="2:20">
      <c r="B10" s="4" t="s">
        <v>21</v>
      </c>
      <c r="C10" s="6">
        <v>0.75</v>
      </c>
      <c r="D10" s="6">
        <v>1.25</v>
      </c>
      <c r="E10" s="6">
        <v>0.5</v>
      </c>
      <c r="F10" s="6">
        <v>3</v>
      </c>
      <c r="G10" s="6">
        <v>1</v>
      </c>
      <c r="H10" s="6">
        <v>1.25</v>
      </c>
      <c r="I10" s="34">
        <v>2.75</v>
      </c>
      <c r="J10">
        <f t="shared" si="0"/>
        <v>10.5</v>
      </c>
      <c r="L10" s="13" t="s">
        <v>21</v>
      </c>
      <c r="M10" s="14">
        <v>1</v>
      </c>
      <c r="N10" s="15"/>
      <c r="O10" s="15"/>
      <c r="P10" s="15"/>
      <c r="Q10" s="15">
        <v>2</v>
      </c>
      <c r="R10" s="15"/>
      <c r="S10" s="15"/>
      <c r="T10" s="42">
        <v>3</v>
      </c>
    </row>
    <row r="11" spans="2:20">
      <c r="B11" s="4" t="s">
        <v>22</v>
      </c>
      <c r="C11" s="6">
        <v>1</v>
      </c>
      <c r="D11" s="6">
        <v>1.5</v>
      </c>
      <c r="E11" s="6">
        <v>0.75</v>
      </c>
      <c r="F11" s="6">
        <v>3.5</v>
      </c>
      <c r="G11" s="6">
        <v>1.25</v>
      </c>
      <c r="H11" s="6">
        <v>2</v>
      </c>
      <c r="I11" s="34"/>
      <c r="J11">
        <f t="shared" si="0"/>
        <v>10</v>
      </c>
      <c r="L11" s="13" t="s">
        <v>22</v>
      </c>
      <c r="M11" s="14"/>
      <c r="N11" s="15">
        <v>4</v>
      </c>
      <c r="O11" s="15"/>
      <c r="P11" s="15"/>
      <c r="Q11" s="15">
        <v>4</v>
      </c>
      <c r="R11" s="15"/>
      <c r="S11" s="15">
        <v>1</v>
      </c>
      <c r="T11" s="42">
        <v>1</v>
      </c>
    </row>
    <row r="12" spans="2:20">
      <c r="B12" s="4" t="s">
        <v>23</v>
      </c>
      <c r="C12" s="6">
        <v>1.25</v>
      </c>
      <c r="D12" s="6">
        <v>2</v>
      </c>
      <c r="E12" s="6">
        <v>0.5</v>
      </c>
      <c r="F12" s="6">
        <v>1</v>
      </c>
      <c r="G12" s="6"/>
      <c r="H12" s="6"/>
      <c r="I12" s="34"/>
      <c r="J12">
        <f t="shared" si="0"/>
        <v>4.75</v>
      </c>
      <c r="L12" s="13" t="s">
        <v>23</v>
      </c>
      <c r="M12" s="14"/>
      <c r="N12" s="15"/>
      <c r="O12" s="15"/>
      <c r="P12" s="15">
        <v>4</v>
      </c>
      <c r="Q12" s="15"/>
      <c r="R12" s="15">
        <v>2</v>
      </c>
      <c r="S12" s="15">
        <v>2</v>
      </c>
      <c r="T12" s="42">
        <v>3</v>
      </c>
    </row>
    <row r="13" spans="2:20">
      <c r="B13" s="4" t="s">
        <v>24</v>
      </c>
      <c r="C13" s="6">
        <v>1.75</v>
      </c>
      <c r="D13" s="6">
        <v>0.75</v>
      </c>
      <c r="E13" s="6">
        <v>1.25</v>
      </c>
      <c r="F13" s="6">
        <v>0.5</v>
      </c>
      <c r="G13" s="6">
        <v>1.25</v>
      </c>
      <c r="H13" s="6">
        <v>3</v>
      </c>
      <c r="I13" s="34"/>
      <c r="J13">
        <f t="shared" si="0"/>
        <v>8.5</v>
      </c>
      <c r="L13" s="13" t="s">
        <v>24</v>
      </c>
      <c r="M13" s="14"/>
      <c r="N13" s="15">
        <v>2</v>
      </c>
      <c r="O13" s="15">
        <v>2</v>
      </c>
      <c r="P13" s="15"/>
      <c r="Q13" s="15"/>
      <c r="R13" s="15">
        <v>1</v>
      </c>
      <c r="S13" s="15">
        <v>2</v>
      </c>
      <c r="T13" s="42"/>
    </row>
    <row r="14" spans="2:20">
      <c r="B14" s="4" t="s">
        <v>25</v>
      </c>
      <c r="C14" s="6">
        <v>1.5</v>
      </c>
      <c r="D14" s="6">
        <v>1.75</v>
      </c>
      <c r="E14" s="6">
        <v>1.25</v>
      </c>
      <c r="F14" s="6">
        <v>2</v>
      </c>
      <c r="G14" s="6"/>
      <c r="H14" s="6"/>
      <c r="I14" s="34"/>
      <c r="J14">
        <f t="shared" si="0"/>
        <v>6.5</v>
      </c>
      <c r="L14" s="13" t="s">
        <v>25</v>
      </c>
      <c r="M14" s="14">
        <v>1</v>
      </c>
      <c r="N14" s="15"/>
      <c r="O14" s="15">
        <v>1</v>
      </c>
      <c r="P14" s="15">
        <v>1</v>
      </c>
      <c r="Q14" s="15"/>
      <c r="R14" s="15"/>
      <c r="S14" s="15"/>
      <c r="T14" s="42">
        <v>1</v>
      </c>
    </row>
    <row r="15" spans="2:20">
      <c r="B15" s="4" t="s">
        <v>26</v>
      </c>
      <c r="C15" s="6">
        <v>1.25</v>
      </c>
      <c r="D15" s="6">
        <v>0.5</v>
      </c>
      <c r="E15" s="6">
        <v>1.25</v>
      </c>
      <c r="F15" s="6">
        <v>0.25</v>
      </c>
      <c r="G15" s="6">
        <v>0.75</v>
      </c>
      <c r="H15" s="6"/>
      <c r="I15" s="34"/>
      <c r="J15">
        <f t="shared" si="0"/>
        <v>4</v>
      </c>
      <c r="L15" s="13" t="s">
        <v>26</v>
      </c>
      <c r="M15" s="14">
        <v>2</v>
      </c>
      <c r="N15" s="15"/>
      <c r="O15" s="15"/>
      <c r="P15" s="15"/>
      <c r="Q15" s="15">
        <v>4</v>
      </c>
      <c r="R15" s="15">
        <v>4</v>
      </c>
      <c r="S15" s="15">
        <v>2</v>
      </c>
      <c r="T15" s="42"/>
    </row>
    <row r="16" spans="2:20">
      <c r="B16" s="4" t="s">
        <v>27</v>
      </c>
      <c r="C16" s="6">
        <v>1</v>
      </c>
      <c r="D16" s="6">
        <v>0.5</v>
      </c>
      <c r="E16" s="6">
        <v>1</v>
      </c>
      <c r="F16" s="6">
        <v>1.25</v>
      </c>
      <c r="G16" s="6">
        <v>2.25</v>
      </c>
      <c r="H16" s="6"/>
      <c r="I16" s="34"/>
      <c r="J16">
        <f t="shared" si="0"/>
        <v>6</v>
      </c>
      <c r="L16" s="13" t="s">
        <v>27</v>
      </c>
      <c r="M16" s="14">
        <v>4</v>
      </c>
      <c r="N16" s="15"/>
      <c r="O16" s="15"/>
      <c r="P16" s="15"/>
      <c r="Q16" s="15">
        <v>4</v>
      </c>
      <c r="R16" s="15">
        <v>3</v>
      </c>
      <c r="S16" s="15">
        <v>4</v>
      </c>
      <c r="T16" s="42"/>
    </row>
    <row r="17" spans="2:20">
      <c r="B17" s="4" t="s">
        <v>28</v>
      </c>
      <c r="C17" s="6">
        <v>1.25</v>
      </c>
      <c r="D17" s="6">
        <v>1.25</v>
      </c>
      <c r="E17" s="6">
        <v>0.5</v>
      </c>
      <c r="F17" s="6">
        <v>1</v>
      </c>
      <c r="G17" s="6">
        <v>0.25</v>
      </c>
      <c r="H17" s="6">
        <v>2</v>
      </c>
      <c r="I17" s="34">
        <v>1.25</v>
      </c>
      <c r="J17">
        <f t="shared" si="0"/>
        <v>7.5</v>
      </c>
      <c r="L17" s="13" t="s">
        <v>28</v>
      </c>
      <c r="M17" s="14">
        <v>2</v>
      </c>
      <c r="N17" s="15"/>
      <c r="O17" s="15"/>
      <c r="P17" s="15"/>
      <c r="Q17" s="15">
        <v>2</v>
      </c>
      <c r="R17" s="15">
        <v>2</v>
      </c>
      <c r="S17" s="15">
        <v>1</v>
      </c>
      <c r="T17" s="42"/>
    </row>
    <row r="18" spans="2:20">
      <c r="B18" s="4" t="s">
        <v>29</v>
      </c>
      <c r="C18" s="6">
        <v>1</v>
      </c>
      <c r="D18" s="6">
        <v>1.5</v>
      </c>
      <c r="E18" s="6">
        <v>0.5</v>
      </c>
      <c r="F18" s="6">
        <v>1.75</v>
      </c>
      <c r="G18" s="6"/>
      <c r="H18" s="6"/>
      <c r="I18" s="34"/>
      <c r="J18">
        <f t="shared" si="0"/>
        <v>4.75</v>
      </c>
      <c r="L18" s="13" t="s">
        <v>29</v>
      </c>
      <c r="M18" s="14"/>
      <c r="N18" s="15">
        <v>4</v>
      </c>
      <c r="O18" s="15">
        <v>2</v>
      </c>
      <c r="P18" s="15">
        <v>2</v>
      </c>
      <c r="Q18" s="15">
        <v>2</v>
      </c>
      <c r="R18" s="15"/>
      <c r="S18" s="15"/>
      <c r="T18" s="42">
        <v>4</v>
      </c>
    </row>
    <row r="19" spans="2:20">
      <c r="B19" s="4" t="s">
        <v>30</v>
      </c>
      <c r="C19" s="6">
        <v>0.75</v>
      </c>
      <c r="D19" s="6">
        <v>0.5</v>
      </c>
      <c r="E19" s="6">
        <v>1.25</v>
      </c>
      <c r="F19" s="6">
        <v>2.5</v>
      </c>
      <c r="G19" s="6">
        <v>2.5</v>
      </c>
      <c r="H19" s="6"/>
      <c r="I19" s="34"/>
      <c r="J19">
        <f t="shared" si="0"/>
        <v>7.5</v>
      </c>
      <c r="L19" s="13" t="s">
        <v>30</v>
      </c>
      <c r="M19" s="14"/>
      <c r="N19" s="15"/>
      <c r="O19" s="15"/>
      <c r="P19" s="15">
        <v>2</v>
      </c>
      <c r="Q19" s="15"/>
      <c r="R19" s="15">
        <v>2</v>
      </c>
      <c r="S19" s="15"/>
      <c r="T19" s="42">
        <v>1</v>
      </c>
    </row>
    <row r="20" spans="2:20">
      <c r="B20" s="4" t="s">
        <v>31</v>
      </c>
      <c r="C20" s="6">
        <v>1.25</v>
      </c>
      <c r="D20" s="6">
        <v>5</v>
      </c>
      <c r="E20" s="6">
        <v>1.25</v>
      </c>
      <c r="F20" s="6">
        <v>2.5</v>
      </c>
      <c r="G20" s="6"/>
      <c r="H20" s="6"/>
      <c r="I20" s="34"/>
      <c r="J20">
        <f t="shared" si="0"/>
        <v>10</v>
      </c>
      <c r="L20" s="13" t="s">
        <v>31</v>
      </c>
      <c r="M20" s="14"/>
      <c r="N20" s="15">
        <v>1</v>
      </c>
      <c r="O20" s="15">
        <v>4</v>
      </c>
      <c r="P20" s="15"/>
      <c r="Q20" s="15"/>
      <c r="R20" s="15"/>
      <c r="S20" s="15"/>
      <c r="T20" s="42"/>
    </row>
    <row r="21" spans="2:20">
      <c r="B21" s="4" t="s">
        <v>32</v>
      </c>
      <c r="C21" s="6">
        <v>0.75</v>
      </c>
      <c r="D21" s="6">
        <v>3</v>
      </c>
      <c r="E21" s="6">
        <v>3.5</v>
      </c>
      <c r="F21" s="6"/>
      <c r="G21" s="6"/>
      <c r="H21" s="6"/>
      <c r="I21" s="34"/>
      <c r="J21">
        <f t="shared" si="0"/>
        <v>7.25</v>
      </c>
      <c r="L21" s="13" t="s">
        <v>32</v>
      </c>
      <c r="M21" s="14">
        <v>2</v>
      </c>
      <c r="N21" s="15"/>
      <c r="O21" s="15"/>
      <c r="P21" s="15"/>
      <c r="Q21" s="15">
        <v>2</v>
      </c>
      <c r="R21" s="15">
        <v>2</v>
      </c>
      <c r="S21" s="15">
        <v>2</v>
      </c>
      <c r="T21" s="42">
        <v>1</v>
      </c>
    </row>
    <row r="22" spans="2:20">
      <c r="B22" s="4" t="s">
        <v>33</v>
      </c>
      <c r="C22" s="6">
        <v>0.75</v>
      </c>
      <c r="D22" s="6">
        <v>1.25</v>
      </c>
      <c r="E22" s="6">
        <v>0.5</v>
      </c>
      <c r="F22" s="6">
        <v>3.75</v>
      </c>
      <c r="G22" s="6"/>
      <c r="H22" s="6"/>
      <c r="I22" s="34"/>
      <c r="J22">
        <f t="shared" si="0"/>
        <v>6.25</v>
      </c>
      <c r="L22" s="13" t="s">
        <v>33</v>
      </c>
      <c r="M22" s="14">
        <v>4</v>
      </c>
      <c r="N22" s="15">
        <v>1</v>
      </c>
      <c r="O22" s="15"/>
      <c r="P22" s="15"/>
      <c r="Q22" s="15">
        <v>4</v>
      </c>
      <c r="R22" s="15">
        <v>1</v>
      </c>
      <c r="S22" s="15">
        <v>3</v>
      </c>
      <c r="T22" s="42"/>
    </row>
    <row r="23" spans="2:20">
      <c r="B23" s="4" t="s">
        <v>34</v>
      </c>
      <c r="C23" s="6">
        <v>2.25</v>
      </c>
      <c r="D23" s="6">
        <v>2.5</v>
      </c>
      <c r="E23" s="6">
        <v>2</v>
      </c>
      <c r="F23" s="6">
        <v>3.75</v>
      </c>
      <c r="G23" s="6"/>
      <c r="H23" s="6"/>
      <c r="I23" s="34"/>
      <c r="J23">
        <f t="shared" si="0"/>
        <v>10.5</v>
      </c>
      <c r="L23" s="13" t="s">
        <v>34</v>
      </c>
      <c r="M23" s="14"/>
      <c r="N23" s="15">
        <v>2</v>
      </c>
      <c r="O23" s="15">
        <v>4</v>
      </c>
      <c r="P23" s="15">
        <v>4</v>
      </c>
      <c r="Q23" s="15">
        <v>1</v>
      </c>
      <c r="R23" s="15"/>
      <c r="S23" s="15"/>
      <c r="T23" s="42">
        <v>3</v>
      </c>
    </row>
    <row r="24" spans="2:20">
      <c r="B24" s="7" t="s">
        <v>35</v>
      </c>
      <c r="C24" s="8">
        <v>2</v>
      </c>
      <c r="D24" s="8">
        <v>0.75</v>
      </c>
      <c r="E24" s="8">
        <v>3</v>
      </c>
      <c r="F24" s="8"/>
      <c r="G24" s="8"/>
      <c r="H24" s="8"/>
      <c r="I24" s="35"/>
      <c r="J24">
        <f t="shared" si="0"/>
        <v>5.75</v>
      </c>
      <c r="L24" s="16" t="s">
        <v>35</v>
      </c>
      <c r="M24" s="17"/>
      <c r="N24" s="18">
        <v>2</v>
      </c>
      <c r="O24" s="18">
        <v>3</v>
      </c>
      <c r="P24" s="18">
        <v>3</v>
      </c>
      <c r="Q24" s="18"/>
      <c r="R24" s="18"/>
      <c r="S24" s="18"/>
      <c r="T24" s="43">
        <v>4</v>
      </c>
    </row>
    <row r="29" spans="2:11">
      <c r="B29" s="9" t="s">
        <v>61</v>
      </c>
      <c r="C29" s="10"/>
      <c r="D29" s="10"/>
      <c r="E29" s="10"/>
      <c r="F29" s="10"/>
      <c r="G29" s="10"/>
      <c r="H29" s="10"/>
      <c r="I29" s="10"/>
      <c r="J29" s="10"/>
      <c r="K29" s="36"/>
    </row>
    <row r="30" spans="2:11">
      <c r="B30" s="11" t="s">
        <v>39</v>
      </c>
      <c r="C30" s="12" t="s">
        <v>11</v>
      </c>
      <c r="D30" s="12" t="s">
        <v>12</v>
      </c>
      <c r="E30" s="12" t="s">
        <v>13</v>
      </c>
      <c r="F30" s="12" t="s">
        <v>14</v>
      </c>
      <c r="G30" s="12" t="s">
        <v>15</v>
      </c>
      <c r="H30" s="12" t="s">
        <v>58</v>
      </c>
      <c r="I30" s="12" t="s">
        <v>59</v>
      </c>
      <c r="J30" s="12" t="s">
        <v>60</v>
      </c>
      <c r="K30" s="37" t="s">
        <v>40</v>
      </c>
    </row>
    <row r="31" spans="2:11">
      <c r="B31" s="71" t="s">
        <v>62</v>
      </c>
      <c r="C31" s="14">
        <v>78000</v>
      </c>
      <c r="D31" s="15">
        <v>104000</v>
      </c>
      <c r="E31" s="15">
        <v>140400</v>
      </c>
      <c r="F31" s="15">
        <v>72800</v>
      </c>
      <c r="G31" s="15">
        <v>93600</v>
      </c>
      <c r="H31" s="15">
        <v>52000</v>
      </c>
      <c r="I31" s="15">
        <v>26000</v>
      </c>
      <c r="J31" s="15">
        <v>62400</v>
      </c>
      <c r="K31" s="38">
        <v>629200</v>
      </c>
    </row>
    <row r="32" spans="2:11">
      <c r="B32" s="71" t="s">
        <v>63</v>
      </c>
      <c r="C32" s="14">
        <v>62400</v>
      </c>
      <c r="D32" s="15">
        <v>78000</v>
      </c>
      <c r="E32" s="15">
        <v>150800</v>
      </c>
      <c r="F32" s="15">
        <v>83200</v>
      </c>
      <c r="G32" s="15">
        <v>109200</v>
      </c>
      <c r="H32" s="15">
        <v>78000</v>
      </c>
      <c r="I32" s="15">
        <v>52000</v>
      </c>
      <c r="J32" s="15">
        <v>78000</v>
      </c>
      <c r="K32" s="38">
        <v>691600</v>
      </c>
    </row>
    <row r="33" spans="2:11">
      <c r="B33" s="71" t="s">
        <v>64</v>
      </c>
      <c r="C33" s="14">
        <v>46800</v>
      </c>
      <c r="D33" s="15">
        <v>52000</v>
      </c>
      <c r="E33" s="15">
        <v>161200</v>
      </c>
      <c r="F33" s="15">
        <v>93600</v>
      </c>
      <c r="G33" s="15">
        <v>124800</v>
      </c>
      <c r="H33" s="15">
        <v>104000</v>
      </c>
      <c r="I33" s="15">
        <v>78000</v>
      </c>
      <c r="J33" s="15">
        <v>93600</v>
      </c>
      <c r="K33" s="38">
        <v>754000</v>
      </c>
    </row>
    <row r="34" spans="2:11">
      <c r="B34" s="72" t="s">
        <v>65</v>
      </c>
      <c r="C34" s="17">
        <v>26000</v>
      </c>
      <c r="D34" s="18">
        <v>26000</v>
      </c>
      <c r="E34" s="18">
        <v>171600</v>
      </c>
      <c r="F34" s="18">
        <v>104000</v>
      </c>
      <c r="G34" s="18">
        <v>140400</v>
      </c>
      <c r="H34" s="18">
        <v>156000</v>
      </c>
      <c r="I34" s="18">
        <v>104000</v>
      </c>
      <c r="J34" s="18">
        <v>114400</v>
      </c>
      <c r="K34" s="39">
        <v>842400</v>
      </c>
    </row>
    <row r="35" spans="2:11">
      <c r="B35" s="19"/>
      <c r="C35" s="19"/>
      <c r="D35" s="19"/>
      <c r="E35" s="19"/>
      <c r="F35" s="19"/>
      <c r="G35" s="19"/>
      <c r="H35" s="19"/>
      <c r="I35" s="19"/>
      <c r="J35" s="19"/>
      <c r="K35" s="25"/>
    </row>
    <row r="36" spans="2:11">
      <c r="B36" s="19"/>
      <c r="C36" s="19"/>
      <c r="D36" s="19"/>
      <c r="E36" s="19"/>
      <c r="F36" s="19"/>
      <c r="G36" s="19"/>
      <c r="H36" s="19"/>
      <c r="I36" s="19"/>
      <c r="J36" s="19"/>
      <c r="K36" s="25"/>
    </row>
    <row r="37" spans="2:11">
      <c r="B37" s="9" t="s">
        <v>66</v>
      </c>
      <c r="C37" s="10"/>
      <c r="D37" s="10"/>
      <c r="E37" s="10"/>
      <c r="F37" s="10"/>
      <c r="G37" s="10"/>
      <c r="H37" s="10"/>
      <c r="I37" s="10"/>
      <c r="J37" s="10"/>
      <c r="K37" s="36"/>
    </row>
    <row r="38" spans="2:11">
      <c r="B38" s="11" t="s">
        <v>39</v>
      </c>
      <c r="C38" s="20" t="s">
        <v>11</v>
      </c>
      <c r="D38" s="12" t="s">
        <v>12</v>
      </c>
      <c r="E38" s="12" t="s">
        <v>13</v>
      </c>
      <c r="F38" s="12" t="s">
        <v>14</v>
      </c>
      <c r="G38" s="12" t="s">
        <v>15</v>
      </c>
      <c r="H38" s="12" t="s">
        <v>58</v>
      </c>
      <c r="I38" s="12" t="s">
        <v>59</v>
      </c>
      <c r="J38" s="12" t="s">
        <v>60</v>
      </c>
      <c r="K38" s="37" t="s">
        <v>43</v>
      </c>
    </row>
    <row r="39" spans="2:11">
      <c r="B39" s="71" t="s">
        <v>62</v>
      </c>
      <c r="C39" s="21">
        <v>1442.2205101856</v>
      </c>
      <c r="D39" s="22">
        <v>1442.2205101856</v>
      </c>
      <c r="E39" s="22">
        <v>2884.44102037119</v>
      </c>
      <c r="F39" s="22">
        <v>1802.77563773199</v>
      </c>
      <c r="G39" s="22">
        <v>1081.6653826392</v>
      </c>
      <c r="H39" s="22">
        <v>1442.2205101856</v>
      </c>
      <c r="I39" s="22">
        <v>721.110255092798</v>
      </c>
      <c r="J39" s="22">
        <v>540.832691319598</v>
      </c>
      <c r="K39" s="40">
        <v>4448.87626260835</v>
      </c>
    </row>
    <row r="40" spans="2:11">
      <c r="B40" s="71" t="s">
        <v>63</v>
      </c>
      <c r="C40" s="21">
        <v>721.110255092798</v>
      </c>
      <c r="D40" s="22">
        <v>1081.6653826392</v>
      </c>
      <c r="E40" s="22">
        <v>3605.55127546399</v>
      </c>
      <c r="F40" s="22">
        <v>2163.33076527839</v>
      </c>
      <c r="G40" s="22">
        <v>1442.2205101856</v>
      </c>
      <c r="H40" s="22">
        <v>2163.33076527839</v>
      </c>
      <c r="I40" s="22">
        <v>1297.99845916704</v>
      </c>
      <c r="J40" s="22">
        <v>793.221280602078</v>
      </c>
      <c r="K40" s="40">
        <v>5333.29166650391</v>
      </c>
    </row>
    <row r="41" spans="2:11">
      <c r="B41" s="71" t="s">
        <v>64</v>
      </c>
      <c r="C41" s="21">
        <v>721.110255092798</v>
      </c>
      <c r="D41" s="22">
        <v>1081.6653826392</v>
      </c>
      <c r="E41" s="22">
        <v>4326.66153055679</v>
      </c>
      <c r="F41" s="22">
        <v>2884.44102037119</v>
      </c>
      <c r="G41" s="22">
        <v>1802.77563773199</v>
      </c>
      <c r="H41" s="22">
        <v>2884.44102037119</v>
      </c>
      <c r="I41" s="22">
        <v>1442.2205101856</v>
      </c>
      <c r="J41" s="22">
        <v>901.387818865997</v>
      </c>
      <c r="K41" s="40">
        <v>6572.1001209659</v>
      </c>
    </row>
    <row r="42" spans="2:11">
      <c r="B42" s="72" t="s">
        <v>65</v>
      </c>
      <c r="C42" s="23">
        <v>721.110255092798</v>
      </c>
      <c r="D42" s="24">
        <v>721.110255092798</v>
      </c>
      <c r="E42" s="24">
        <v>5047.77178564958</v>
      </c>
      <c r="F42" s="24">
        <v>3605.55127546399</v>
      </c>
      <c r="G42" s="24">
        <v>2163.33076527839</v>
      </c>
      <c r="H42" s="24">
        <v>3605.55127546399</v>
      </c>
      <c r="I42" s="24">
        <v>1586.44256120416</v>
      </c>
      <c r="J42" s="24">
        <v>1081.6653826392</v>
      </c>
      <c r="K42" s="41">
        <v>7802.99942329871</v>
      </c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25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25"/>
    </row>
    <row r="45" spans="2:11">
      <c r="B45" s="9" t="s">
        <v>67</v>
      </c>
      <c r="C45" s="10"/>
      <c r="D45" s="10"/>
      <c r="E45" s="10"/>
      <c r="F45" s="10"/>
      <c r="G45" s="10"/>
      <c r="H45" s="10"/>
      <c r="I45" s="10"/>
      <c r="J45" s="10"/>
      <c r="K45" s="36"/>
    </row>
    <row r="46" spans="2:11">
      <c r="B46" s="11" t="s">
        <v>39</v>
      </c>
      <c r="C46" s="20" t="s">
        <v>11</v>
      </c>
      <c r="D46" s="12" t="s">
        <v>12</v>
      </c>
      <c r="E46" s="12" t="s">
        <v>13</v>
      </c>
      <c r="F46" s="12" t="s">
        <v>14</v>
      </c>
      <c r="G46" s="12" t="s">
        <v>15</v>
      </c>
      <c r="H46" s="12" t="s">
        <v>58</v>
      </c>
      <c r="I46" s="12" t="s">
        <v>59</v>
      </c>
      <c r="J46" s="12" t="s">
        <v>60</v>
      </c>
      <c r="K46" s="37" t="s">
        <v>40</v>
      </c>
    </row>
    <row r="47" spans="2:11">
      <c r="B47" s="71" t="s">
        <v>62</v>
      </c>
      <c r="C47" s="14">
        <v>1500</v>
      </c>
      <c r="D47" s="15">
        <v>2000</v>
      </c>
      <c r="E47" s="15">
        <v>2700</v>
      </c>
      <c r="F47" s="15">
        <v>1400</v>
      </c>
      <c r="G47" s="15">
        <v>1800</v>
      </c>
      <c r="H47" s="15">
        <v>1000</v>
      </c>
      <c r="I47" s="15">
        <v>500</v>
      </c>
      <c r="J47" s="15">
        <v>1200</v>
      </c>
      <c r="K47" s="42">
        <v>12100</v>
      </c>
    </row>
    <row r="48" spans="2:11">
      <c r="B48" s="71" t="s">
        <v>63</v>
      </c>
      <c r="C48" s="14">
        <v>1200</v>
      </c>
      <c r="D48" s="15">
        <v>1500</v>
      </c>
      <c r="E48" s="15">
        <v>2900</v>
      </c>
      <c r="F48" s="15">
        <v>1600</v>
      </c>
      <c r="G48" s="15">
        <v>2100</v>
      </c>
      <c r="H48" s="15">
        <v>1500</v>
      </c>
      <c r="I48" s="15">
        <v>1000</v>
      </c>
      <c r="J48" s="15">
        <v>1500</v>
      </c>
      <c r="K48" s="42">
        <v>13300</v>
      </c>
    </row>
    <row r="49" spans="2:11">
      <c r="B49" s="71" t="s">
        <v>64</v>
      </c>
      <c r="C49" s="14">
        <v>900</v>
      </c>
      <c r="D49" s="15">
        <v>1000</v>
      </c>
      <c r="E49" s="15">
        <v>3100</v>
      </c>
      <c r="F49" s="15">
        <v>1800</v>
      </c>
      <c r="G49" s="15">
        <v>2400</v>
      </c>
      <c r="H49" s="15">
        <v>2000</v>
      </c>
      <c r="I49" s="15">
        <v>1500</v>
      </c>
      <c r="J49" s="15">
        <v>1800</v>
      </c>
      <c r="K49" s="42">
        <v>14500</v>
      </c>
    </row>
    <row r="50" spans="2:11">
      <c r="B50" s="72" t="s">
        <v>65</v>
      </c>
      <c r="C50" s="17">
        <v>500</v>
      </c>
      <c r="D50" s="18">
        <v>500</v>
      </c>
      <c r="E50" s="18">
        <v>3300</v>
      </c>
      <c r="F50" s="18">
        <v>2000</v>
      </c>
      <c r="G50" s="18">
        <v>2700</v>
      </c>
      <c r="H50" s="18">
        <v>3000</v>
      </c>
      <c r="I50" s="18">
        <v>2000</v>
      </c>
      <c r="J50" s="18">
        <v>2200</v>
      </c>
      <c r="K50" s="43">
        <v>16200</v>
      </c>
    </row>
    <row r="51" spans="2:11"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2:11"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2:11">
      <c r="B53" s="9" t="s">
        <v>68</v>
      </c>
      <c r="C53" s="10"/>
      <c r="D53" s="10"/>
      <c r="E53" s="10"/>
      <c r="F53" s="10"/>
      <c r="G53" s="10"/>
      <c r="H53" s="10"/>
      <c r="I53" s="10"/>
      <c r="J53" s="10"/>
      <c r="K53" s="36"/>
    </row>
    <row r="54" spans="2:11">
      <c r="B54" s="11" t="s">
        <v>39</v>
      </c>
      <c r="C54" s="20" t="s">
        <v>11</v>
      </c>
      <c r="D54" s="12" t="s">
        <v>12</v>
      </c>
      <c r="E54" s="12" t="s">
        <v>13</v>
      </c>
      <c r="F54" s="12" t="s">
        <v>14</v>
      </c>
      <c r="G54" s="12" t="s">
        <v>15</v>
      </c>
      <c r="H54" s="12" t="s">
        <v>58</v>
      </c>
      <c r="I54" s="12" t="s">
        <v>59</v>
      </c>
      <c r="J54" s="12" t="s">
        <v>60</v>
      </c>
      <c r="K54" s="37" t="s">
        <v>46</v>
      </c>
    </row>
    <row r="55" spans="2:19">
      <c r="B55" s="71" t="s">
        <v>62</v>
      </c>
      <c r="C55" s="26">
        <v>0.15</v>
      </c>
      <c r="D55" s="27">
        <v>0.2</v>
      </c>
      <c r="E55" s="27">
        <v>0.2</v>
      </c>
      <c r="F55" s="27">
        <v>0.12</v>
      </c>
      <c r="G55" s="27">
        <v>0.18</v>
      </c>
      <c r="H55" s="27">
        <v>0.25</v>
      </c>
      <c r="I55" s="27">
        <v>0.15</v>
      </c>
      <c r="J55" s="27">
        <v>0.08</v>
      </c>
      <c r="K55" s="44">
        <f t="shared" ref="K55:K59" si="1">AVERAGE(C55:J55)</f>
        <v>0.16625</v>
      </c>
      <c r="L55">
        <f t="shared" ref="L55:S55" si="2">C55*C47</f>
        <v>225</v>
      </c>
      <c r="M55">
        <f t="shared" si="2"/>
        <v>400</v>
      </c>
      <c r="N55">
        <f t="shared" si="2"/>
        <v>540</v>
      </c>
      <c r="O55">
        <f t="shared" si="2"/>
        <v>168</v>
      </c>
      <c r="P55">
        <f t="shared" si="2"/>
        <v>324</v>
      </c>
      <c r="Q55">
        <f t="shared" si="2"/>
        <v>250</v>
      </c>
      <c r="R55">
        <f t="shared" si="2"/>
        <v>75</v>
      </c>
      <c r="S55">
        <f t="shared" si="2"/>
        <v>96</v>
      </c>
    </row>
    <row r="56" spans="2:19">
      <c r="B56" s="71" t="s">
        <v>63</v>
      </c>
      <c r="C56" s="26">
        <v>0.15</v>
      </c>
      <c r="D56" s="28">
        <v>0.2</v>
      </c>
      <c r="E56" s="28">
        <v>0.2</v>
      </c>
      <c r="F56" s="28">
        <v>0.12</v>
      </c>
      <c r="G56" s="28">
        <v>0.18</v>
      </c>
      <c r="H56" s="28">
        <v>0.25</v>
      </c>
      <c r="I56" s="28">
        <v>0.15</v>
      </c>
      <c r="J56" s="28">
        <v>0.08</v>
      </c>
      <c r="K56" s="44">
        <f t="shared" si="1"/>
        <v>0.16625</v>
      </c>
      <c r="L56">
        <f t="shared" ref="L56:S56" si="3">C56*C48</f>
        <v>180</v>
      </c>
      <c r="M56">
        <f t="shared" si="3"/>
        <v>300</v>
      </c>
      <c r="N56">
        <f t="shared" si="3"/>
        <v>580</v>
      </c>
      <c r="O56">
        <f t="shared" si="3"/>
        <v>192</v>
      </c>
      <c r="P56">
        <f t="shared" si="3"/>
        <v>378</v>
      </c>
      <c r="Q56">
        <f t="shared" si="3"/>
        <v>375</v>
      </c>
      <c r="R56">
        <f t="shared" si="3"/>
        <v>150</v>
      </c>
      <c r="S56">
        <f t="shared" si="3"/>
        <v>120</v>
      </c>
    </row>
    <row r="57" spans="2:19">
      <c r="B57" s="71" t="s">
        <v>64</v>
      </c>
      <c r="C57" s="26">
        <v>0.15</v>
      </c>
      <c r="D57" s="28">
        <v>0.2</v>
      </c>
      <c r="E57" s="28">
        <v>0.2</v>
      </c>
      <c r="F57" s="28">
        <v>0.12</v>
      </c>
      <c r="G57" s="28">
        <v>0.18</v>
      </c>
      <c r="H57" s="28">
        <v>0.25</v>
      </c>
      <c r="I57" s="28">
        <v>0.15</v>
      </c>
      <c r="J57" s="28">
        <v>0.08</v>
      </c>
      <c r="K57" s="44">
        <f t="shared" si="1"/>
        <v>0.16625</v>
      </c>
      <c r="L57">
        <f t="shared" ref="L57:S57" si="4">C57*C49</f>
        <v>135</v>
      </c>
      <c r="M57">
        <f t="shared" si="4"/>
        <v>200</v>
      </c>
      <c r="N57">
        <f t="shared" si="4"/>
        <v>620</v>
      </c>
      <c r="O57">
        <f t="shared" si="4"/>
        <v>216</v>
      </c>
      <c r="P57">
        <f t="shared" si="4"/>
        <v>432</v>
      </c>
      <c r="Q57">
        <f t="shared" si="4"/>
        <v>500</v>
      </c>
      <c r="R57">
        <f t="shared" si="4"/>
        <v>225</v>
      </c>
      <c r="S57">
        <f t="shared" si="4"/>
        <v>144</v>
      </c>
    </row>
    <row r="58" spans="2:19">
      <c r="B58" s="72" t="s">
        <v>65</v>
      </c>
      <c r="C58" s="26">
        <v>0.15</v>
      </c>
      <c r="D58" s="28">
        <v>0.2</v>
      </c>
      <c r="E58" s="28">
        <v>0.2</v>
      </c>
      <c r="F58" s="28">
        <v>0.12</v>
      </c>
      <c r="G58" s="28">
        <v>0.18</v>
      </c>
      <c r="H58" s="28">
        <v>0.25</v>
      </c>
      <c r="I58" s="28">
        <v>0.15</v>
      </c>
      <c r="J58" s="28">
        <v>0.08</v>
      </c>
      <c r="K58" s="44">
        <f t="shared" si="1"/>
        <v>0.16625</v>
      </c>
      <c r="L58">
        <f t="shared" ref="L58:S58" si="5">C58*C50</f>
        <v>75</v>
      </c>
      <c r="M58">
        <f t="shared" si="5"/>
        <v>100</v>
      </c>
      <c r="N58">
        <f t="shared" si="5"/>
        <v>660</v>
      </c>
      <c r="O58">
        <f t="shared" si="5"/>
        <v>240</v>
      </c>
      <c r="P58">
        <f t="shared" si="5"/>
        <v>486</v>
      </c>
      <c r="Q58">
        <f t="shared" si="5"/>
        <v>750</v>
      </c>
      <c r="R58">
        <f t="shared" si="5"/>
        <v>300</v>
      </c>
      <c r="S58">
        <f t="shared" si="5"/>
        <v>176</v>
      </c>
    </row>
    <row r="59" spans="2:11">
      <c r="B59" s="16">
        <v>2029</v>
      </c>
      <c r="C59" s="29">
        <v>0.15</v>
      </c>
      <c r="D59" s="30">
        <v>0.2</v>
      </c>
      <c r="E59" s="30">
        <v>0.2</v>
      </c>
      <c r="F59" s="30">
        <v>0.12</v>
      </c>
      <c r="G59" s="30">
        <v>0.18</v>
      </c>
      <c r="H59" s="30">
        <v>0.25</v>
      </c>
      <c r="I59" s="30">
        <v>0.15</v>
      </c>
      <c r="J59" s="30">
        <v>0.08</v>
      </c>
      <c r="K59" s="45">
        <f t="shared" si="1"/>
        <v>0.16625</v>
      </c>
    </row>
    <row r="61" spans="2:15"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54</v>
      </c>
      <c r="J61" t="s">
        <v>55</v>
      </c>
      <c r="M61" t="s">
        <v>37</v>
      </c>
      <c r="O61" t="s">
        <v>38</v>
      </c>
    </row>
    <row r="62" spans="2:15">
      <c r="B62" t="s">
        <v>16</v>
      </c>
      <c r="C62" s="31">
        <f>SUMPRODUCT($C$32:$J$32,M5:T5)</f>
        <v>1419600</v>
      </c>
      <c r="D62">
        <f t="shared" ref="D62:D81" si="6">C62*J5/0.9/0.98</f>
        <v>20521428.5714286</v>
      </c>
      <c r="E62">
        <f t="shared" ref="E62:E81" si="7">C62+2.576*M62</f>
        <v>1494274.71668819</v>
      </c>
      <c r="F62">
        <f t="shared" ref="F62:F81" si="8">E62*J5/0.9/0.98</f>
        <v>21600910.0201523</v>
      </c>
      <c r="G62">
        <f>SUMPRODUCT($C$48:$J$48,M5:T5)</f>
        <v>27300</v>
      </c>
      <c r="H62">
        <f t="shared" ref="H62:H81" si="9">G62*J5/0.9/0.95</f>
        <v>407105.263157895</v>
      </c>
      <c r="I62">
        <f t="shared" ref="I62:I81" si="10">G62+2.576*O62</f>
        <v>38855.936</v>
      </c>
      <c r="J62">
        <f t="shared" ref="J62:J81" si="11">I62*J5/0.9/0.98</f>
        <v>561692.952380952</v>
      </c>
      <c r="L62">
        <v>1</v>
      </c>
      <c r="M62">
        <f>SQRT(SUMPRODUCT($C$40:$J$40*M5:T5)^2)</f>
        <v>28988.6322547305</v>
      </c>
      <c r="O62">
        <f>SQRT(SUMPRODUCT($L$56:$S$56*M5:T5)^2)</f>
        <v>4486</v>
      </c>
    </row>
    <row r="63" spans="2:15">
      <c r="B63" t="s">
        <v>17</v>
      </c>
      <c r="C63" s="31">
        <f t="shared" ref="C63:C82" si="12">SUMPRODUCT($C$32:$J$32,M6:T6)</f>
        <v>795600</v>
      </c>
      <c r="D63">
        <f t="shared" si="6"/>
        <v>6990816.32653061</v>
      </c>
      <c r="E63">
        <f t="shared" si="7"/>
        <v>836002.365372339</v>
      </c>
      <c r="F63">
        <f t="shared" si="8"/>
        <v>7345825.77282951</v>
      </c>
      <c r="G63">
        <f t="shared" ref="G63:G81" si="13">SUMPRODUCT($C$48:$J$48,M6:T6)</f>
        <v>15300</v>
      </c>
      <c r="H63">
        <f t="shared" si="9"/>
        <v>138684.210526316</v>
      </c>
      <c r="I63">
        <f t="shared" si="10"/>
        <v>21441.184</v>
      </c>
      <c r="J63">
        <f t="shared" si="11"/>
        <v>188400.426303855</v>
      </c>
      <c r="L63">
        <v>2</v>
      </c>
      <c r="M63">
        <f t="shared" ref="M62:M81" si="14">SQRT(SUMPRODUCT($C$39:$J$39*M6:T6)^2)</f>
        <v>15684.1480482684</v>
      </c>
      <c r="O63">
        <f t="shared" ref="O63:O81" si="15">SQRT(SUMPRODUCT($L$56:$S$56*M6:T6)^2)</f>
        <v>2384</v>
      </c>
    </row>
    <row r="64" spans="2:15">
      <c r="B64" t="s">
        <v>18</v>
      </c>
      <c r="C64" s="31">
        <f t="shared" si="12"/>
        <v>884000</v>
      </c>
      <c r="D64">
        <f t="shared" si="6"/>
        <v>9521541.95011338</v>
      </c>
      <c r="E64">
        <f t="shared" si="7"/>
        <v>921615.995346661</v>
      </c>
      <c r="F64">
        <f t="shared" si="8"/>
        <v>9926702.8977248</v>
      </c>
      <c r="G64">
        <f t="shared" si="13"/>
        <v>17000</v>
      </c>
      <c r="H64">
        <f t="shared" si="9"/>
        <v>188888.888888889</v>
      </c>
      <c r="I64">
        <f t="shared" si="10"/>
        <v>23738.816</v>
      </c>
      <c r="J64">
        <f t="shared" si="11"/>
        <v>255690.195011338</v>
      </c>
      <c r="L64">
        <v>3</v>
      </c>
      <c r="M64">
        <f t="shared" si="14"/>
        <v>14602.4826656292</v>
      </c>
      <c r="O64">
        <f t="shared" si="15"/>
        <v>2616</v>
      </c>
    </row>
    <row r="65" spans="2:15">
      <c r="B65" t="s">
        <v>19</v>
      </c>
      <c r="C65" s="31">
        <f t="shared" si="12"/>
        <v>546000</v>
      </c>
      <c r="D65">
        <f t="shared" si="6"/>
        <v>4642857.14285714</v>
      </c>
      <c r="E65">
        <f t="shared" si="7"/>
        <v>573863.700256786</v>
      </c>
      <c r="F65">
        <f t="shared" si="8"/>
        <v>4879793.36953049</v>
      </c>
      <c r="G65">
        <f t="shared" si="13"/>
        <v>10500</v>
      </c>
      <c r="H65">
        <f t="shared" si="9"/>
        <v>92105.2631578947</v>
      </c>
      <c r="I65">
        <f t="shared" si="10"/>
        <v>15250.144</v>
      </c>
      <c r="J65">
        <f t="shared" si="11"/>
        <v>129678.095238095</v>
      </c>
      <c r="L65">
        <v>4</v>
      </c>
      <c r="M65">
        <f t="shared" si="14"/>
        <v>10816.653826392</v>
      </c>
      <c r="O65">
        <f t="shared" si="15"/>
        <v>1844</v>
      </c>
    </row>
    <row r="66" spans="2:15">
      <c r="B66" t="s">
        <v>20</v>
      </c>
      <c r="C66" s="31">
        <f t="shared" si="12"/>
        <v>509600</v>
      </c>
      <c r="D66">
        <f t="shared" si="6"/>
        <v>4333333.33333333</v>
      </c>
      <c r="E66">
        <f t="shared" si="7"/>
        <v>533748.540222548</v>
      </c>
      <c r="F66">
        <f t="shared" si="8"/>
        <v>4538678.0631169</v>
      </c>
      <c r="G66">
        <f t="shared" si="13"/>
        <v>9800</v>
      </c>
      <c r="H66">
        <f t="shared" si="9"/>
        <v>85964.9122807018</v>
      </c>
      <c r="I66">
        <f t="shared" si="10"/>
        <v>14913.36</v>
      </c>
      <c r="J66">
        <f t="shared" si="11"/>
        <v>126814.285714286</v>
      </c>
      <c r="L66">
        <v>5</v>
      </c>
      <c r="M66">
        <f t="shared" si="14"/>
        <v>9374.43331620637</v>
      </c>
      <c r="O66">
        <f t="shared" si="15"/>
        <v>1985</v>
      </c>
    </row>
    <row r="67" spans="2:15">
      <c r="B67" t="s">
        <v>21</v>
      </c>
      <c r="C67" s="31">
        <f t="shared" si="12"/>
        <v>514800</v>
      </c>
      <c r="D67">
        <f t="shared" si="6"/>
        <v>6128571.42857143</v>
      </c>
      <c r="E67">
        <f t="shared" si="7"/>
        <v>528267.455124113</v>
      </c>
      <c r="F67">
        <f t="shared" si="8"/>
        <v>6288898.27528706</v>
      </c>
      <c r="G67">
        <f t="shared" si="13"/>
        <v>9900</v>
      </c>
      <c r="H67">
        <f t="shared" si="9"/>
        <v>121578.947368421</v>
      </c>
      <c r="I67">
        <f t="shared" si="10"/>
        <v>13238.496</v>
      </c>
      <c r="J67">
        <f t="shared" si="11"/>
        <v>157601.142857143</v>
      </c>
      <c r="L67">
        <v>6</v>
      </c>
      <c r="M67">
        <f t="shared" si="14"/>
        <v>5228.04934942278</v>
      </c>
      <c r="O67">
        <f t="shared" si="15"/>
        <v>1296</v>
      </c>
    </row>
    <row r="68" spans="2:15">
      <c r="B68" t="s">
        <v>22</v>
      </c>
      <c r="C68" s="31">
        <f t="shared" si="12"/>
        <v>878800</v>
      </c>
      <c r="D68">
        <f t="shared" si="6"/>
        <v>9963718.82086168</v>
      </c>
      <c r="E68">
        <f t="shared" si="7"/>
        <v>908056.885269625</v>
      </c>
      <c r="F68">
        <f t="shared" si="8"/>
        <v>10295429.5382044</v>
      </c>
      <c r="G68">
        <f t="shared" si="13"/>
        <v>16900</v>
      </c>
      <c r="H68">
        <f t="shared" si="9"/>
        <v>197660.81871345</v>
      </c>
      <c r="I68">
        <f t="shared" si="10"/>
        <v>24581.632</v>
      </c>
      <c r="J68">
        <f t="shared" si="11"/>
        <v>278703.310657596</v>
      </c>
      <c r="L68">
        <v>7</v>
      </c>
      <c r="M68">
        <f t="shared" si="14"/>
        <v>11357.4865177116</v>
      </c>
      <c r="O68">
        <f t="shared" si="15"/>
        <v>2982</v>
      </c>
    </row>
    <row r="69" spans="2:15">
      <c r="B69" t="s">
        <v>23</v>
      </c>
      <c r="C69" s="31">
        <f t="shared" si="12"/>
        <v>826800</v>
      </c>
      <c r="D69">
        <f t="shared" si="6"/>
        <v>4452721.08843537</v>
      </c>
      <c r="E69">
        <f t="shared" si="7"/>
        <v>860700.835312423</v>
      </c>
      <c r="F69">
        <f t="shared" si="8"/>
        <v>4635293.61421089</v>
      </c>
      <c r="G69">
        <f t="shared" si="13"/>
        <v>15900</v>
      </c>
      <c r="H69">
        <f t="shared" si="9"/>
        <v>88333.3333333333</v>
      </c>
      <c r="I69">
        <f t="shared" si="10"/>
        <v>21510.528</v>
      </c>
      <c r="J69">
        <f t="shared" si="11"/>
        <v>115844.680272109</v>
      </c>
      <c r="L69">
        <v>8</v>
      </c>
      <c r="M69">
        <f t="shared" si="14"/>
        <v>13160.2621554436</v>
      </c>
      <c r="O69">
        <f t="shared" si="15"/>
        <v>2178</v>
      </c>
    </row>
    <row r="70" spans="2:15">
      <c r="B70" t="s">
        <v>24</v>
      </c>
      <c r="C70" s="31">
        <f t="shared" si="12"/>
        <v>639600</v>
      </c>
      <c r="D70">
        <f t="shared" si="6"/>
        <v>6163945.57823129</v>
      </c>
      <c r="E70">
        <f t="shared" si="7"/>
        <v>669321.280273905</v>
      </c>
      <c r="F70">
        <f t="shared" si="8"/>
        <v>6450375.15003196</v>
      </c>
      <c r="G70">
        <f t="shared" si="13"/>
        <v>12300</v>
      </c>
      <c r="H70">
        <f t="shared" si="9"/>
        <v>122280.701754386</v>
      </c>
      <c r="I70">
        <f t="shared" si="10"/>
        <v>18572.56</v>
      </c>
      <c r="J70">
        <f t="shared" si="11"/>
        <v>178987.256235828</v>
      </c>
      <c r="L70">
        <v>9</v>
      </c>
      <c r="M70">
        <f t="shared" si="14"/>
        <v>11537.7640814848</v>
      </c>
      <c r="O70">
        <f t="shared" si="15"/>
        <v>2435</v>
      </c>
    </row>
    <row r="71" spans="2:15">
      <c r="B71" t="s">
        <v>25</v>
      </c>
      <c r="C71" s="31">
        <f t="shared" si="12"/>
        <v>374400</v>
      </c>
      <c r="D71">
        <f t="shared" si="6"/>
        <v>2759183.67346939</v>
      </c>
      <c r="E71">
        <f t="shared" si="7"/>
        <v>391582.615158351</v>
      </c>
      <c r="F71">
        <f t="shared" si="8"/>
        <v>2885812.92350259</v>
      </c>
      <c r="G71">
        <f t="shared" si="13"/>
        <v>7200</v>
      </c>
      <c r="H71">
        <f t="shared" si="9"/>
        <v>54736.8421052632</v>
      </c>
      <c r="I71">
        <f t="shared" si="10"/>
        <v>9961.472</v>
      </c>
      <c r="J71">
        <f t="shared" si="11"/>
        <v>73412.20861678</v>
      </c>
      <c r="L71">
        <v>10</v>
      </c>
      <c r="M71">
        <f t="shared" si="14"/>
        <v>6670.26985960838</v>
      </c>
      <c r="O71">
        <f t="shared" si="15"/>
        <v>1072</v>
      </c>
    </row>
    <row r="72" spans="2:15">
      <c r="B72" t="s">
        <v>26</v>
      </c>
      <c r="C72" s="31">
        <f t="shared" si="12"/>
        <v>977600</v>
      </c>
      <c r="D72">
        <f t="shared" si="6"/>
        <v>4433560.09070295</v>
      </c>
      <c r="E72">
        <f t="shared" si="7"/>
        <v>1014751.60034238</v>
      </c>
      <c r="F72">
        <f t="shared" si="8"/>
        <v>4602048.07411511</v>
      </c>
      <c r="G72">
        <f t="shared" si="13"/>
        <v>18800</v>
      </c>
      <c r="H72">
        <f t="shared" si="9"/>
        <v>87953.216374269</v>
      </c>
      <c r="I72">
        <f t="shared" si="10"/>
        <v>28259.072</v>
      </c>
      <c r="J72">
        <f t="shared" si="11"/>
        <v>128159.056689342</v>
      </c>
      <c r="L72">
        <v>11</v>
      </c>
      <c r="M72">
        <f t="shared" si="14"/>
        <v>14422.205101856</v>
      </c>
      <c r="O72">
        <f t="shared" si="15"/>
        <v>3672</v>
      </c>
    </row>
    <row r="73" spans="2:15">
      <c r="B73" t="s">
        <v>27</v>
      </c>
      <c r="C73" s="31">
        <f t="shared" si="12"/>
        <v>1128400</v>
      </c>
      <c r="D73">
        <f t="shared" si="6"/>
        <v>7676190.47619048</v>
      </c>
      <c r="E73">
        <f t="shared" si="7"/>
        <v>1172981.92041086</v>
      </c>
      <c r="F73">
        <f t="shared" si="8"/>
        <v>7979468.84633236</v>
      </c>
      <c r="G73">
        <f t="shared" si="13"/>
        <v>21700</v>
      </c>
      <c r="H73">
        <f t="shared" si="9"/>
        <v>152280.701754386</v>
      </c>
      <c r="I73">
        <f t="shared" si="10"/>
        <v>31893.232</v>
      </c>
      <c r="J73">
        <f t="shared" si="11"/>
        <v>216960.761904762</v>
      </c>
      <c r="L73">
        <v>12</v>
      </c>
      <c r="M73">
        <f t="shared" si="14"/>
        <v>17306.6461222272</v>
      </c>
      <c r="O73">
        <f t="shared" si="15"/>
        <v>3957</v>
      </c>
    </row>
    <row r="74" spans="2:15">
      <c r="B74" t="s">
        <v>28</v>
      </c>
      <c r="C74" s="31">
        <f t="shared" si="12"/>
        <v>551200</v>
      </c>
      <c r="D74">
        <f t="shared" si="6"/>
        <v>4687074.82993197</v>
      </c>
      <c r="E74">
        <f t="shared" si="7"/>
        <v>573490.960205429</v>
      </c>
      <c r="F74">
        <f t="shared" si="8"/>
        <v>4876623.81127065</v>
      </c>
      <c r="G74">
        <f t="shared" si="13"/>
        <v>10600</v>
      </c>
      <c r="H74">
        <f t="shared" si="9"/>
        <v>92982.4561403509</v>
      </c>
      <c r="I74">
        <f t="shared" si="10"/>
        <v>15793.216</v>
      </c>
      <c r="J74">
        <f t="shared" si="11"/>
        <v>134296.054421769</v>
      </c>
      <c r="L74">
        <v>13</v>
      </c>
      <c r="M74">
        <f t="shared" si="14"/>
        <v>8653.32306111357</v>
      </c>
      <c r="O74">
        <f t="shared" si="15"/>
        <v>2016</v>
      </c>
    </row>
    <row r="75" spans="2:15">
      <c r="B75" t="s">
        <v>29</v>
      </c>
      <c r="C75" s="31">
        <f t="shared" si="12"/>
        <v>1310400</v>
      </c>
      <c r="D75">
        <f t="shared" si="6"/>
        <v>7057142.85714286</v>
      </c>
      <c r="E75">
        <f t="shared" si="7"/>
        <v>1360554.66046221</v>
      </c>
      <c r="F75">
        <f t="shared" si="8"/>
        <v>7327250.15555047</v>
      </c>
      <c r="G75">
        <f t="shared" si="13"/>
        <v>25200</v>
      </c>
      <c r="H75">
        <f t="shared" si="9"/>
        <v>140000</v>
      </c>
      <c r="I75">
        <f t="shared" si="10"/>
        <v>35452.48</v>
      </c>
      <c r="J75">
        <f t="shared" si="11"/>
        <v>190928.888888889</v>
      </c>
      <c r="L75">
        <v>14</v>
      </c>
      <c r="M75">
        <f t="shared" si="14"/>
        <v>19469.9768875055</v>
      </c>
      <c r="O75">
        <f t="shared" si="15"/>
        <v>3980</v>
      </c>
    </row>
    <row r="76" spans="2:15">
      <c r="B76" t="s">
        <v>30</v>
      </c>
      <c r="C76" s="31">
        <f t="shared" si="12"/>
        <v>400400</v>
      </c>
      <c r="D76">
        <f t="shared" si="6"/>
        <v>3404761.9047619</v>
      </c>
      <c r="E76">
        <f t="shared" si="7"/>
        <v>418511.405166911</v>
      </c>
      <c r="F76">
        <f t="shared" si="8"/>
        <v>3558770.45209958</v>
      </c>
      <c r="G76">
        <f t="shared" si="13"/>
        <v>7700</v>
      </c>
      <c r="H76">
        <f t="shared" si="9"/>
        <v>67543.8596491228</v>
      </c>
      <c r="I76">
        <f t="shared" si="10"/>
        <v>10930.304</v>
      </c>
      <c r="J76">
        <f t="shared" si="11"/>
        <v>92944.7619047619</v>
      </c>
      <c r="L76">
        <v>15</v>
      </c>
      <c r="M76">
        <f t="shared" si="14"/>
        <v>7030.82498715478</v>
      </c>
      <c r="O76">
        <f t="shared" si="15"/>
        <v>1254</v>
      </c>
    </row>
    <row r="77" spans="2:15">
      <c r="B77" t="s">
        <v>31</v>
      </c>
      <c r="C77" s="31">
        <f t="shared" si="12"/>
        <v>681200</v>
      </c>
      <c r="D77">
        <f t="shared" si="6"/>
        <v>7723356.00907029</v>
      </c>
      <c r="E77">
        <f t="shared" si="7"/>
        <v>714636.440308143</v>
      </c>
      <c r="F77">
        <f t="shared" si="8"/>
        <v>8102453.97174765</v>
      </c>
      <c r="G77">
        <f t="shared" si="13"/>
        <v>13100</v>
      </c>
      <c r="H77">
        <f t="shared" si="9"/>
        <v>153216.374269006</v>
      </c>
      <c r="I77">
        <f t="shared" si="10"/>
        <v>19849.12</v>
      </c>
      <c r="J77">
        <f t="shared" si="11"/>
        <v>225046.712018141</v>
      </c>
      <c r="L77">
        <v>16</v>
      </c>
      <c r="M77">
        <f t="shared" si="14"/>
        <v>12979.9845916704</v>
      </c>
      <c r="O77">
        <f t="shared" si="15"/>
        <v>2620</v>
      </c>
    </row>
    <row r="78" spans="2:15">
      <c r="B78" t="s">
        <v>32</v>
      </c>
      <c r="C78" s="31">
        <f t="shared" si="12"/>
        <v>681200</v>
      </c>
      <c r="D78">
        <f t="shared" si="6"/>
        <v>5599433.10657596</v>
      </c>
      <c r="E78">
        <f t="shared" si="7"/>
        <v>706741.725235387</v>
      </c>
      <c r="F78">
        <f t="shared" si="8"/>
        <v>5809384.92965596</v>
      </c>
      <c r="G78">
        <f t="shared" si="13"/>
        <v>13100</v>
      </c>
      <c r="H78">
        <f t="shared" si="9"/>
        <v>111081.871345029</v>
      </c>
      <c r="I78">
        <f t="shared" si="10"/>
        <v>18988.736</v>
      </c>
      <c r="J78">
        <f t="shared" si="11"/>
        <v>156086.548752834</v>
      </c>
      <c r="L78">
        <v>17</v>
      </c>
      <c r="M78">
        <f t="shared" si="14"/>
        <v>9915.26600752597</v>
      </c>
      <c r="O78">
        <f t="shared" si="15"/>
        <v>2286</v>
      </c>
    </row>
    <row r="79" spans="2:15">
      <c r="B79" t="s">
        <v>33</v>
      </c>
      <c r="C79" s="31">
        <f t="shared" si="12"/>
        <v>998400</v>
      </c>
      <c r="D79">
        <f t="shared" si="6"/>
        <v>7074829.93197279</v>
      </c>
      <c r="E79">
        <f t="shared" si="7"/>
        <v>1037409.1803595</v>
      </c>
      <c r="F79">
        <f t="shared" si="8"/>
        <v>7351255.52975836</v>
      </c>
      <c r="G79">
        <f t="shared" si="13"/>
        <v>19200</v>
      </c>
      <c r="H79">
        <f t="shared" si="9"/>
        <v>140350.877192982</v>
      </c>
      <c r="I79">
        <f t="shared" si="10"/>
        <v>27847.632</v>
      </c>
      <c r="J79">
        <f t="shared" si="11"/>
        <v>197332.993197279</v>
      </c>
      <c r="L79">
        <v>18</v>
      </c>
      <c r="M79">
        <f t="shared" si="14"/>
        <v>15143.3153569488</v>
      </c>
      <c r="O79">
        <f t="shared" si="15"/>
        <v>3357</v>
      </c>
    </row>
    <row r="80" spans="2:15">
      <c r="B80" t="s">
        <v>34</v>
      </c>
      <c r="C80" s="31">
        <f t="shared" si="12"/>
        <v>1435200</v>
      </c>
      <c r="D80">
        <f t="shared" si="6"/>
        <v>17085714.2857143</v>
      </c>
      <c r="E80">
        <f t="shared" si="7"/>
        <v>1497893.32557777</v>
      </c>
      <c r="F80">
        <f t="shared" si="8"/>
        <v>17832063.3997353</v>
      </c>
      <c r="G80">
        <f t="shared" si="13"/>
        <v>27600</v>
      </c>
      <c r="H80">
        <f t="shared" si="9"/>
        <v>338947.368421053</v>
      </c>
      <c r="I80">
        <f t="shared" si="10"/>
        <v>39001.376</v>
      </c>
      <c r="J80">
        <f t="shared" si="11"/>
        <v>464302.095238095</v>
      </c>
      <c r="L80">
        <v>19</v>
      </c>
      <c r="M80">
        <f t="shared" si="14"/>
        <v>24337.4711093819</v>
      </c>
      <c r="O80">
        <f t="shared" si="15"/>
        <v>4426</v>
      </c>
    </row>
    <row r="81" spans="2:15">
      <c r="B81" t="s">
        <v>35</v>
      </c>
      <c r="C81" s="31">
        <f t="shared" si="12"/>
        <v>1170000</v>
      </c>
      <c r="D81">
        <f t="shared" si="6"/>
        <v>7627551.02040816</v>
      </c>
      <c r="E81">
        <f t="shared" si="7"/>
        <v>1219225.87045365</v>
      </c>
      <c r="F81">
        <f t="shared" si="8"/>
        <v>7948467.97631351</v>
      </c>
      <c r="G81">
        <f t="shared" si="13"/>
        <v>22500</v>
      </c>
      <c r="H81">
        <f t="shared" si="9"/>
        <v>151315.789473684</v>
      </c>
      <c r="I81">
        <f t="shared" si="10"/>
        <v>31248.096</v>
      </c>
      <c r="J81">
        <f t="shared" si="11"/>
        <v>203714.911564626</v>
      </c>
      <c r="L81">
        <v>20</v>
      </c>
      <c r="M81">
        <f t="shared" si="14"/>
        <v>19109.4217599591</v>
      </c>
      <c r="O81">
        <f t="shared" si="15"/>
        <v>3396</v>
      </c>
    </row>
    <row r="82" spans="2:10">
      <c r="B82" t="s">
        <v>56</v>
      </c>
      <c r="C82" s="31">
        <f>SUM(C62:C81)</f>
        <v>16723200</v>
      </c>
      <c r="D82" s="31">
        <f t="shared" ref="C82:J82" si="16">SUM(D62:D81)</f>
        <v>147847732.426304</v>
      </c>
      <c r="E82" s="31">
        <f t="shared" si="16"/>
        <v>17433631.4775472</v>
      </c>
      <c r="F82" s="31">
        <f t="shared" si="16"/>
        <v>154235506.77117</v>
      </c>
      <c r="G82" s="31">
        <f t="shared" si="16"/>
        <v>321600</v>
      </c>
      <c r="H82" s="31">
        <f t="shared" si="16"/>
        <v>2933011.69590643</v>
      </c>
      <c r="I82" s="31">
        <f t="shared" si="16"/>
        <v>461327.392</v>
      </c>
      <c r="J82" s="31">
        <f t="shared" si="16"/>
        <v>4076597.33786848</v>
      </c>
    </row>
    <row r="85" spans="2:12">
      <c r="B85" t="str">
        <f>B61</f>
        <v>Parts</v>
      </c>
      <c r="C85" t="str">
        <f>E61</f>
        <v>Annual Robust Demand (units)</v>
      </c>
      <c r="E85" t="str">
        <f>B61</f>
        <v>Parts</v>
      </c>
      <c r="F85" t="str">
        <f>F61</f>
        <v>Annual Robust Time (minutes)</v>
      </c>
      <c r="H85" t="str">
        <f>B61</f>
        <v>Parts</v>
      </c>
      <c r="I85" t="str">
        <f>I61</f>
        <v>Weekly Robust Demand (units)</v>
      </c>
      <c r="K85" t="str">
        <f>B61</f>
        <v>Parts</v>
      </c>
      <c r="L85" t="str">
        <f>J61</f>
        <v>Weekly Robust Time (minutes)</v>
      </c>
    </row>
    <row r="86" spans="2:12">
      <c r="B86" t="str">
        <f t="shared" ref="B86:B105" si="17">B62</f>
        <v>P1</v>
      </c>
      <c r="C86">
        <f t="shared" ref="C86:C105" si="18">E62</f>
        <v>1494274.71668819</v>
      </c>
      <c r="E86" t="str">
        <f t="shared" ref="E86:E105" si="19">B62</f>
        <v>P1</v>
      </c>
      <c r="F86">
        <f t="shared" ref="F86:F105" si="20">F62</f>
        <v>21600910.0201523</v>
      </c>
      <c r="H86" t="str">
        <f t="shared" ref="H86:H105" si="21">B62</f>
        <v>P1</v>
      </c>
      <c r="I86">
        <f t="shared" ref="I86:I105" si="22">I62</f>
        <v>38855.936</v>
      </c>
      <c r="K86" t="str">
        <f t="shared" ref="K86:K105" si="23">B62</f>
        <v>P1</v>
      </c>
      <c r="L86">
        <f t="shared" ref="L86:L105" si="24">J62</f>
        <v>561692.952380952</v>
      </c>
    </row>
    <row r="87" spans="2:12">
      <c r="B87" t="str">
        <f t="shared" si="17"/>
        <v>P2</v>
      </c>
      <c r="C87">
        <f t="shared" si="18"/>
        <v>836002.365372339</v>
      </c>
      <c r="E87" t="str">
        <f t="shared" si="19"/>
        <v>P2</v>
      </c>
      <c r="F87">
        <f t="shared" si="20"/>
        <v>7345825.77282951</v>
      </c>
      <c r="H87" t="str">
        <f t="shared" si="21"/>
        <v>P2</v>
      </c>
      <c r="I87">
        <f t="shared" si="22"/>
        <v>21441.184</v>
      </c>
      <c r="K87" t="str">
        <f t="shared" si="23"/>
        <v>P2</v>
      </c>
      <c r="L87">
        <f t="shared" si="24"/>
        <v>188400.426303855</v>
      </c>
    </row>
    <row r="88" spans="2:12">
      <c r="B88" t="str">
        <f t="shared" si="17"/>
        <v>P3</v>
      </c>
      <c r="C88">
        <f t="shared" si="18"/>
        <v>921615.995346661</v>
      </c>
      <c r="E88" t="str">
        <f t="shared" si="19"/>
        <v>P3</v>
      </c>
      <c r="F88">
        <f t="shared" si="20"/>
        <v>9926702.8977248</v>
      </c>
      <c r="H88" t="str">
        <f t="shared" si="21"/>
        <v>P3</v>
      </c>
      <c r="I88">
        <f t="shared" si="22"/>
        <v>23738.816</v>
      </c>
      <c r="K88" t="str">
        <f t="shared" si="23"/>
        <v>P3</v>
      </c>
      <c r="L88">
        <f t="shared" si="24"/>
        <v>255690.195011338</v>
      </c>
    </row>
    <row r="89" spans="2:12">
      <c r="B89" t="str">
        <f t="shared" si="17"/>
        <v>P4</v>
      </c>
      <c r="C89">
        <f t="shared" si="18"/>
        <v>573863.700256786</v>
      </c>
      <c r="E89" t="str">
        <f t="shared" si="19"/>
        <v>P4</v>
      </c>
      <c r="F89">
        <f t="shared" si="20"/>
        <v>4879793.36953049</v>
      </c>
      <c r="H89" t="str">
        <f t="shared" si="21"/>
        <v>P4</v>
      </c>
      <c r="I89">
        <f t="shared" si="22"/>
        <v>15250.144</v>
      </c>
      <c r="K89" t="str">
        <f t="shared" si="23"/>
        <v>P4</v>
      </c>
      <c r="L89">
        <f t="shared" si="24"/>
        <v>129678.095238095</v>
      </c>
    </row>
    <row r="90" spans="2:12">
      <c r="B90" t="str">
        <f t="shared" si="17"/>
        <v>P5</v>
      </c>
      <c r="C90">
        <f t="shared" si="18"/>
        <v>533748.540222548</v>
      </c>
      <c r="E90" t="str">
        <f t="shared" si="19"/>
        <v>P5</v>
      </c>
      <c r="F90">
        <f t="shared" si="20"/>
        <v>4538678.0631169</v>
      </c>
      <c r="H90" t="str">
        <f t="shared" si="21"/>
        <v>P5</v>
      </c>
      <c r="I90">
        <f t="shared" si="22"/>
        <v>14913.36</v>
      </c>
      <c r="K90" t="str">
        <f t="shared" si="23"/>
        <v>P5</v>
      </c>
      <c r="L90">
        <f t="shared" si="24"/>
        <v>126814.285714286</v>
      </c>
    </row>
    <row r="91" spans="2:12">
      <c r="B91" t="str">
        <f t="shared" si="17"/>
        <v>P6</v>
      </c>
      <c r="C91">
        <f t="shared" si="18"/>
        <v>528267.455124113</v>
      </c>
      <c r="E91" t="str">
        <f t="shared" si="19"/>
        <v>P6</v>
      </c>
      <c r="F91">
        <f t="shared" si="20"/>
        <v>6288898.27528706</v>
      </c>
      <c r="H91" t="str">
        <f t="shared" si="21"/>
        <v>P6</v>
      </c>
      <c r="I91">
        <f t="shared" si="22"/>
        <v>13238.496</v>
      </c>
      <c r="K91" t="str">
        <f t="shared" si="23"/>
        <v>P6</v>
      </c>
      <c r="L91">
        <f t="shared" si="24"/>
        <v>157601.142857143</v>
      </c>
    </row>
    <row r="92" spans="2:12">
      <c r="B92" t="str">
        <f t="shared" si="17"/>
        <v>P7</v>
      </c>
      <c r="C92">
        <f t="shared" si="18"/>
        <v>908056.885269625</v>
      </c>
      <c r="E92" t="str">
        <f t="shared" si="19"/>
        <v>P7</v>
      </c>
      <c r="F92">
        <f t="shared" si="20"/>
        <v>10295429.5382044</v>
      </c>
      <c r="H92" t="str">
        <f t="shared" si="21"/>
        <v>P7</v>
      </c>
      <c r="I92">
        <f t="shared" si="22"/>
        <v>24581.632</v>
      </c>
      <c r="K92" t="str">
        <f t="shared" si="23"/>
        <v>P7</v>
      </c>
      <c r="L92">
        <f t="shared" si="24"/>
        <v>278703.310657596</v>
      </c>
    </row>
    <row r="93" spans="2:12">
      <c r="B93" t="str">
        <f t="shared" si="17"/>
        <v>P8</v>
      </c>
      <c r="C93">
        <f t="shared" si="18"/>
        <v>860700.835312423</v>
      </c>
      <c r="E93" t="str">
        <f t="shared" si="19"/>
        <v>P8</v>
      </c>
      <c r="F93">
        <f t="shared" si="20"/>
        <v>4635293.61421089</v>
      </c>
      <c r="H93" t="str">
        <f t="shared" si="21"/>
        <v>P8</v>
      </c>
      <c r="I93">
        <f t="shared" si="22"/>
        <v>21510.528</v>
      </c>
      <c r="K93" t="str">
        <f t="shared" si="23"/>
        <v>P8</v>
      </c>
      <c r="L93">
        <f t="shared" si="24"/>
        <v>115844.680272109</v>
      </c>
    </row>
    <row r="94" spans="2:12">
      <c r="B94" t="str">
        <f t="shared" si="17"/>
        <v>P9</v>
      </c>
      <c r="C94">
        <f t="shared" si="18"/>
        <v>669321.280273905</v>
      </c>
      <c r="E94" t="str">
        <f t="shared" si="19"/>
        <v>P9</v>
      </c>
      <c r="F94">
        <f t="shared" si="20"/>
        <v>6450375.15003196</v>
      </c>
      <c r="H94" t="str">
        <f t="shared" si="21"/>
        <v>P9</v>
      </c>
      <c r="I94">
        <f t="shared" si="22"/>
        <v>18572.56</v>
      </c>
      <c r="K94" t="str">
        <f t="shared" si="23"/>
        <v>P9</v>
      </c>
      <c r="L94">
        <f t="shared" si="24"/>
        <v>178987.256235828</v>
      </c>
    </row>
    <row r="95" spans="2:12">
      <c r="B95" t="str">
        <f t="shared" si="17"/>
        <v>P10</v>
      </c>
      <c r="C95">
        <f t="shared" si="18"/>
        <v>391582.615158351</v>
      </c>
      <c r="E95" t="str">
        <f t="shared" si="19"/>
        <v>P10</v>
      </c>
      <c r="F95">
        <f t="shared" si="20"/>
        <v>2885812.92350259</v>
      </c>
      <c r="H95" t="str">
        <f t="shared" si="21"/>
        <v>P10</v>
      </c>
      <c r="I95">
        <f t="shared" si="22"/>
        <v>9961.472</v>
      </c>
      <c r="K95" t="str">
        <f t="shared" si="23"/>
        <v>P10</v>
      </c>
      <c r="L95">
        <f t="shared" si="24"/>
        <v>73412.20861678</v>
      </c>
    </row>
    <row r="96" spans="2:12">
      <c r="B96" t="str">
        <f t="shared" si="17"/>
        <v>P11</v>
      </c>
      <c r="C96">
        <f t="shared" si="18"/>
        <v>1014751.60034238</v>
      </c>
      <c r="E96" t="str">
        <f t="shared" si="19"/>
        <v>P11</v>
      </c>
      <c r="F96">
        <f t="shared" si="20"/>
        <v>4602048.07411511</v>
      </c>
      <c r="H96" t="str">
        <f t="shared" si="21"/>
        <v>P11</v>
      </c>
      <c r="I96">
        <f t="shared" si="22"/>
        <v>28259.072</v>
      </c>
      <c r="K96" t="str">
        <f t="shared" si="23"/>
        <v>P11</v>
      </c>
      <c r="L96">
        <f t="shared" si="24"/>
        <v>128159.056689342</v>
      </c>
    </row>
    <row r="97" spans="2:12">
      <c r="B97" t="str">
        <f t="shared" si="17"/>
        <v>P12</v>
      </c>
      <c r="C97">
        <f t="shared" si="18"/>
        <v>1172981.92041086</v>
      </c>
      <c r="E97" t="str">
        <f t="shared" si="19"/>
        <v>P12</v>
      </c>
      <c r="F97">
        <f t="shared" si="20"/>
        <v>7979468.84633236</v>
      </c>
      <c r="H97" t="str">
        <f t="shared" si="21"/>
        <v>P12</v>
      </c>
      <c r="I97">
        <f t="shared" si="22"/>
        <v>31893.232</v>
      </c>
      <c r="K97" t="str">
        <f t="shared" si="23"/>
        <v>P12</v>
      </c>
      <c r="L97">
        <f t="shared" si="24"/>
        <v>216960.761904762</v>
      </c>
    </row>
    <row r="98" spans="2:12">
      <c r="B98" t="str">
        <f t="shared" si="17"/>
        <v>P13</v>
      </c>
      <c r="C98">
        <f t="shared" si="18"/>
        <v>573490.960205429</v>
      </c>
      <c r="E98" t="str">
        <f t="shared" si="19"/>
        <v>P13</v>
      </c>
      <c r="F98">
        <f t="shared" si="20"/>
        <v>4876623.81127065</v>
      </c>
      <c r="H98" t="str">
        <f t="shared" si="21"/>
        <v>P13</v>
      </c>
      <c r="I98">
        <f t="shared" si="22"/>
        <v>15793.216</v>
      </c>
      <c r="K98" t="str">
        <f t="shared" si="23"/>
        <v>P13</v>
      </c>
      <c r="L98">
        <f t="shared" si="24"/>
        <v>134296.054421769</v>
      </c>
    </row>
    <row r="99" spans="2:12">
      <c r="B99" t="str">
        <f t="shared" si="17"/>
        <v>P14</v>
      </c>
      <c r="C99">
        <f t="shared" si="18"/>
        <v>1360554.66046221</v>
      </c>
      <c r="E99" t="str">
        <f t="shared" si="19"/>
        <v>P14</v>
      </c>
      <c r="F99">
        <f t="shared" si="20"/>
        <v>7327250.15555047</v>
      </c>
      <c r="H99" t="str">
        <f t="shared" si="21"/>
        <v>P14</v>
      </c>
      <c r="I99">
        <f t="shared" si="22"/>
        <v>35452.48</v>
      </c>
      <c r="K99" t="str">
        <f t="shared" si="23"/>
        <v>P14</v>
      </c>
      <c r="L99">
        <f t="shared" si="24"/>
        <v>190928.888888889</v>
      </c>
    </row>
    <row r="100" spans="2:12">
      <c r="B100" t="str">
        <f t="shared" si="17"/>
        <v>P15</v>
      </c>
      <c r="C100">
        <f t="shared" si="18"/>
        <v>418511.405166911</v>
      </c>
      <c r="E100" t="str">
        <f t="shared" si="19"/>
        <v>P15</v>
      </c>
      <c r="F100">
        <f t="shared" si="20"/>
        <v>3558770.45209958</v>
      </c>
      <c r="H100" t="str">
        <f t="shared" si="21"/>
        <v>P15</v>
      </c>
      <c r="I100">
        <f t="shared" si="22"/>
        <v>10930.304</v>
      </c>
      <c r="K100" t="str">
        <f t="shared" si="23"/>
        <v>P15</v>
      </c>
      <c r="L100">
        <f t="shared" si="24"/>
        <v>92944.7619047619</v>
      </c>
    </row>
    <row r="101" spans="2:12">
      <c r="B101" t="str">
        <f t="shared" si="17"/>
        <v>P16</v>
      </c>
      <c r="C101">
        <f t="shared" si="18"/>
        <v>714636.440308143</v>
      </c>
      <c r="E101" t="str">
        <f t="shared" si="19"/>
        <v>P16</v>
      </c>
      <c r="F101">
        <f t="shared" si="20"/>
        <v>8102453.97174765</v>
      </c>
      <c r="H101" t="str">
        <f t="shared" si="21"/>
        <v>P16</v>
      </c>
      <c r="I101">
        <f t="shared" si="22"/>
        <v>19849.12</v>
      </c>
      <c r="K101" t="str">
        <f t="shared" si="23"/>
        <v>P16</v>
      </c>
      <c r="L101">
        <f t="shared" si="24"/>
        <v>225046.712018141</v>
      </c>
    </row>
    <row r="102" spans="2:12">
      <c r="B102" t="str">
        <f t="shared" si="17"/>
        <v>P17</v>
      </c>
      <c r="C102">
        <f t="shared" si="18"/>
        <v>706741.725235387</v>
      </c>
      <c r="E102" t="str">
        <f t="shared" si="19"/>
        <v>P17</v>
      </c>
      <c r="F102">
        <f t="shared" si="20"/>
        <v>5809384.92965596</v>
      </c>
      <c r="H102" t="str">
        <f t="shared" si="21"/>
        <v>P17</v>
      </c>
      <c r="I102">
        <f t="shared" si="22"/>
        <v>18988.736</v>
      </c>
      <c r="K102" t="str">
        <f t="shared" si="23"/>
        <v>P17</v>
      </c>
      <c r="L102">
        <f t="shared" si="24"/>
        <v>156086.548752834</v>
      </c>
    </row>
    <row r="103" spans="2:12">
      <c r="B103" t="str">
        <f t="shared" si="17"/>
        <v>P18</v>
      </c>
      <c r="C103">
        <f t="shared" si="18"/>
        <v>1037409.1803595</v>
      </c>
      <c r="E103" t="str">
        <f t="shared" si="19"/>
        <v>P18</v>
      </c>
      <c r="F103">
        <f t="shared" si="20"/>
        <v>7351255.52975836</v>
      </c>
      <c r="H103" t="str">
        <f t="shared" si="21"/>
        <v>P18</v>
      </c>
      <c r="I103">
        <f t="shared" si="22"/>
        <v>27847.632</v>
      </c>
      <c r="K103" t="str">
        <f t="shared" si="23"/>
        <v>P18</v>
      </c>
      <c r="L103">
        <f t="shared" si="24"/>
        <v>197332.993197279</v>
      </c>
    </row>
    <row r="104" spans="2:12">
      <c r="B104" t="str">
        <f t="shared" si="17"/>
        <v>P19</v>
      </c>
      <c r="C104">
        <f t="shared" si="18"/>
        <v>1497893.32557777</v>
      </c>
      <c r="E104" t="str">
        <f t="shared" si="19"/>
        <v>P19</v>
      </c>
      <c r="F104">
        <f t="shared" si="20"/>
        <v>17832063.3997353</v>
      </c>
      <c r="H104" t="str">
        <f t="shared" si="21"/>
        <v>P19</v>
      </c>
      <c r="I104">
        <f t="shared" si="22"/>
        <v>39001.376</v>
      </c>
      <c r="K104" t="str">
        <f t="shared" si="23"/>
        <v>P19</v>
      </c>
      <c r="L104">
        <f t="shared" si="24"/>
        <v>464302.095238095</v>
      </c>
    </row>
    <row r="105" spans="2:12">
      <c r="B105" t="str">
        <f t="shared" si="17"/>
        <v>P20</v>
      </c>
      <c r="C105">
        <f t="shared" si="18"/>
        <v>1219225.87045365</v>
      </c>
      <c r="E105" t="str">
        <f t="shared" si="19"/>
        <v>P20</v>
      </c>
      <c r="F105">
        <f t="shared" si="20"/>
        <v>7948467.97631351</v>
      </c>
      <c r="H105" t="str">
        <f t="shared" si="21"/>
        <v>P20</v>
      </c>
      <c r="I105">
        <f t="shared" si="22"/>
        <v>31248.096</v>
      </c>
      <c r="K105" t="str">
        <f t="shared" si="23"/>
        <v>P20</v>
      </c>
      <c r="L105">
        <f t="shared" si="24"/>
        <v>203714.911564626</v>
      </c>
    </row>
  </sheetData>
  <mergeCells count="6">
    <mergeCell ref="C3:I3"/>
    <mergeCell ref="M3:T3"/>
    <mergeCell ref="B29:K29"/>
    <mergeCell ref="B37:K37"/>
    <mergeCell ref="B45:K45"/>
    <mergeCell ref="B53:K5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105"/>
  <sheetViews>
    <sheetView tabSelected="1" zoomScale="50" zoomScaleNormal="50" topLeftCell="A46" workbookViewId="0">
      <selection activeCell="D72" sqref="D72"/>
    </sheetView>
  </sheetViews>
  <sheetFormatPr defaultColWidth="11" defaultRowHeight="17.6"/>
  <cols>
    <col min="3" max="3" width="22.1527777777778" customWidth="1"/>
    <col min="4" max="4" width="21.6597222222222" customWidth="1"/>
    <col min="5" max="5" width="24.7986111111111" customWidth="1"/>
    <col min="6" max="6" width="25.6180555555556" customWidth="1"/>
    <col min="7" max="7" width="22.1597222222222" customWidth="1"/>
    <col min="8" max="8" width="22.1527777777778" customWidth="1"/>
    <col min="9" max="9" width="26.2847222222222" customWidth="1"/>
    <col min="10" max="10" width="25.9583333333333" customWidth="1"/>
    <col min="11" max="11" width="12.5555555555556"/>
    <col min="12" max="12" width="20.5" customWidth="1"/>
    <col min="13" max="13" width="21.9861111111111" customWidth="1"/>
    <col min="14" max="15" width="12.5555555555556"/>
  </cols>
  <sheetData>
    <row r="3" spans="2:20">
      <c r="B3" s="1" t="s">
        <v>0</v>
      </c>
      <c r="C3" s="2" t="s">
        <v>1</v>
      </c>
      <c r="D3" s="3"/>
      <c r="E3" s="3"/>
      <c r="F3" s="3"/>
      <c r="G3" s="3"/>
      <c r="H3" s="3"/>
      <c r="I3" s="32"/>
      <c r="L3" s="1" t="s">
        <v>0</v>
      </c>
      <c r="M3" s="2" t="s">
        <v>57</v>
      </c>
      <c r="N3" s="3"/>
      <c r="O3" s="3"/>
      <c r="P3" s="3"/>
      <c r="Q3" s="3"/>
      <c r="R3" s="3"/>
      <c r="S3" s="3"/>
      <c r="T3" s="32"/>
    </row>
    <row r="4" spans="2:20"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3" t="s">
        <v>9</v>
      </c>
      <c r="J4" t="s">
        <v>10</v>
      </c>
      <c r="L4" s="13"/>
      <c r="M4" s="46" t="s">
        <v>11</v>
      </c>
      <c r="N4" s="47" t="s">
        <v>12</v>
      </c>
      <c r="O4" s="47" t="s">
        <v>13</v>
      </c>
      <c r="P4" s="47" t="s">
        <v>14</v>
      </c>
      <c r="Q4" s="47" t="s">
        <v>15</v>
      </c>
      <c r="R4" s="47" t="s">
        <v>58</v>
      </c>
      <c r="S4" s="47" t="s">
        <v>59</v>
      </c>
      <c r="T4" s="50" t="s">
        <v>60</v>
      </c>
    </row>
    <row r="5" spans="2:20">
      <c r="B5" s="4" t="s">
        <v>16</v>
      </c>
      <c r="C5" s="6">
        <v>2.5</v>
      </c>
      <c r="D5" s="6">
        <v>1</v>
      </c>
      <c r="E5" s="6">
        <v>2.5</v>
      </c>
      <c r="F5" s="6">
        <v>0.5</v>
      </c>
      <c r="G5" s="6">
        <v>2.5</v>
      </c>
      <c r="H5" s="6">
        <v>1.25</v>
      </c>
      <c r="I5" s="34">
        <v>2.5</v>
      </c>
      <c r="J5">
        <f t="shared" ref="J5:J24" si="0">SUM(C5:I5)</f>
        <v>12.75</v>
      </c>
      <c r="L5" s="13" t="s">
        <v>16</v>
      </c>
      <c r="M5" s="48">
        <v>1</v>
      </c>
      <c r="N5" s="49">
        <v>2</v>
      </c>
      <c r="O5" s="49">
        <v>4</v>
      </c>
      <c r="P5" s="49">
        <v>4</v>
      </c>
      <c r="Q5" s="49">
        <v>1</v>
      </c>
      <c r="R5" s="49"/>
      <c r="S5" s="49"/>
      <c r="T5" s="51">
        <v>2</v>
      </c>
    </row>
    <row r="6" spans="2:20">
      <c r="B6" s="4" t="s">
        <v>17</v>
      </c>
      <c r="C6" s="6">
        <v>1.25</v>
      </c>
      <c r="D6" s="6">
        <v>0.5</v>
      </c>
      <c r="E6" s="6">
        <v>2.5</v>
      </c>
      <c r="F6" s="6">
        <v>1</v>
      </c>
      <c r="G6" s="6">
        <v>2.5</v>
      </c>
      <c r="H6" s="6"/>
      <c r="I6" s="34"/>
      <c r="J6">
        <f t="shared" si="0"/>
        <v>7.75</v>
      </c>
      <c r="L6" s="13" t="s">
        <v>17</v>
      </c>
      <c r="M6" s="14">
        <v>4</v>
      </c>
      <c r="N6" s="15"/>
      <c r="O6" s="15">
        <v>2</v>
      </c>
      <c r="P6" s="15">
        <v>2</v>
      </c>
      <c r="Q6" s="15"/>
      <c r="R6" s="15"/>
      <c r="S6" s="15"/>
      <c r="T6" s="42">
        <v>1</v>
      </c>
    </row>
    <row r="7" spans="2:20">
      <c r="B7" s="4" t="s">
        <v>18</v>
      </c>
      <c r="C7" s="6">
        <v>1.75</v>
      </c>
      <c r="D7" s="6">
        <v>3</v>
      </c>
      <c r="E7" s="6">
        <v>0.75</v>
      </c>
      <c r="F7" s="6">
        <v>1.5</v>
      </c>
      <c r="G7" s="6">
        <v>2.5</v>
      </c>
      <c r="H7" s="6"/>
      <c r="I7" s="34"/>
      <c r="J7">
        <f t="shared" si="0"/>
        <v>9.5</v>
      </c>
      <c r="L7" s="13" t="s">
        <v>18</v>
      </c>
      <c r="M7" s="14"/>
      <c r="N7" s="15"/>
      <c r="O7" s="15"/>
      <c r="P7" s="15">
        <v>4</v>
      </c>
      <c r="Q7" s="15">
        <v>1</v>
      </c>
      <c r="R7" s="15">
        <v>2</v>
      </c>
      <c r="S7" s="15">
        <v>4</v>
      </c>
      <c r="T7" s="42">
        <v>1</v>
      </c>
    </row>
    <row r="8" spans="2:20">
      <c r="B8" s="4" t="s">
        <v>19</v>
      </c>
      <c r="C8" s="6">
        <v>1</v>
      </c>
      <c r="D8" s="6">
        <v>2</v>
      </c>
      <c r="E8" s="6">
        <v>3</v>
      </c>
      <c r="F8" s="6">
        <v>0.25</v>
      </c>
      <c r="G8" s="6">
        <v>1.25</v>
      </c>
      <c r="H8" s="6"/>
      <c r="I8" s="34"/>
      <c r="J8">
        <f t="shared" si="0"/>
        <v>7.5</v>
      </c>
      <c r="L8" s="13" t="s">
        <v>19</v>
      </c>
      <c r="M8" s="14"/>
      <c r="N8" s="15">
        <v>1</v>
      </c>
      <c r="O8" s="15">
        <v>2</v>
      </c>
      <c r="P8" s="15">
        <v>2</v>
      </c>
      <c r="Q8" s="15"/>
      <c r="R8" s="15"/>
      <c r="S8" s="15"/>
      <c r="T8" s="42"/>
    </row>
    <row r="9" spans="2:20">
      <c r="B9" s="4" t="s">
        <v>20</v>
      </c>
      <c r="C9" s="6">
        <v>1.5</v>
      </c>
      <c r="D9" s="6">
        <v>0.75</v>
      </c>
      <c r="E9" s="6">
        <v>3.5</v>
      </c>
      <c r="F9" s="6">
        <v>1.75</v>
      </c>
      <c r="G9" s="6"/>
      <c r="H9" s="6"/>
      <c r="I9" s="34"/>
      <c r="J9">
        <f t="shared" si="0"/>
        <v>7.5</v>
      </c>
      <c r="L9" s="13" t="s">
        <v>20</v>
      </c>
      <c r="M9" s="14"/>
      <c r="N9" s="15">
        <v>1</v>
      </c>
      <c r="O9" s="15">
        <v>2</v>
      </c>
      <c r="P9" s="15"/>
      <c r="Q9" s="15"/>
      <c r="R9" s="15">
        <v>1</v>
      </c>
      <c r="S9" s="15">
        <v>1</v>
      </c>
      <c r="T9" s="42"/>
    </row>
    <row r="10" spans="2:20">
      <c r="B10" s="4" t="s">
        <v>21</v>
      </c>
      <c r="C10" s="6">
        <v>0.75</v>
      </c>
      <c r="D10" s="6">
        <v>1.25</v>
      </c>
      <c r="E10" s="6">
        <v>0.5</v>
      </c>
      <c r="F10" s="6">
        <v>3</v>
      </c>
      <c r="G10" s="6">
        <v>1</v>
      </c>
      <c r="H10" s="6">
        <v>1.25</v>
      </c>
      <c r="I10" s="34">
        <v>2.75</v>
      </c>
      <c r="J10">
        <f t="shared" si="0"/>
        <v>10.5</v>
      </c>
      <c r="L10" s="13" t="s">
        <v>21</v>
      </c>
      <c r="M10" s="14">
        <v>1</v>
      </c>
      <c r="N10" s="15"/>
      <c r="O10" s="15"/>
      <c r="P10" s="15"/>
      <c r="Q10" s="15">
        <v>2</v>
      </c>
      <c r="R10" s="15"/>
      <c r="S10" s="15"/>
      <c r="T10" s="42">
        <v>3</v>
      </c>
    </row>
    <row r="11" spans="2:20">
      <c r="B11" s="4" t="s">
        <v>22</v>
      </c>
      <c r="C11" s="6">
        <v>1</v>
      </c>
      <c r="D11" s="6">
        <v>1.5</v>
      </c>
      <c r="E11" s="6">
        <v>0.75</v>
      </c>
      <c r="F11" s="6">
        <v>3.5</v>
      </c>
      <c r="G11" s="6">
        <v>1.25</v>
      </c>
      <c r="H11" s="6">
        <v>2</v>
      </c>
      <c r="I11" s="34"/>
      <c r="J11">
        <f t="shared" si="0"/>
        <v>10</v>
      </c>
      <c r="L11" s="13" t="s">
        <v>22</v>
      </c>
      <c r="M11" s="14"/>
      <c r="N11" s="15">
        <v>4</v>
      </c>
      <c r="O11" s="15"/>
      <c r="P11" s="15"/>
      <c r="Q11" s="15">
        <v>4</v>
      </c>
      <c r="R11" s="15"/>
      <c r="S11" s="15">
        <v>1</v>
      </c>
      <c r="T11" s="42">
        <v>1</v>
      </c>
    </row>
    <row r="12" spans="2:20">
      <c r="B12" s="4" t="s">
        <v>23</v>
      </c>
      <c r="C12" s="6">
        <v>1.25</v>
      </c>
      <c r="D12" s="6">
        <v>2</v>
      </c>
      <c r="E12" s="6">
        <v>0.5</v>
      </c>
      <c r="F12" s="6">
        <v>1</v>
      </c>
      <c r="G12" s="6"/>
      <c r="H12" s="6"/>
      <c r="I12" s="34"/>
      <c r="J12">
        <f t="shared" si="0"/>
        <v>4.75</v>
      </c>
      <c r="L12" s="13" t="s">
        <v>23</v>
      </c>
      <c r="M12" s="14"/>
      <c r="N12" s="15"/>
      <c r="O12" s="15"/>
      <c r="P12" s="15">
        <v>4</v>
      </c>
      <c r="Q12" s="15"/>
      <c r="R12" s="15">
        <v>2</v>
      </c>
      <c r="S12" s="15">
        <v>2</v>
      </c>
      <c r="T12" s="42">
        <v>3</v>
      </c>
    </row>
    <row r="13" spans="2:20">
      <c r="B13" s="4" t="s">
        <v>24</v>
      </c>
      <c r="C13" s="6">
        <v>1.75</v>
      </c>
      <c r="D13" s="6">
        <v>0.75</v>
      </c>
      <c r="E13" s="6">
        <v>1.25</v>
      </c>
      <c r="F13" s="6">
        <v>0.5</v>
      </c>
      <c r="G13" s="6">
        <v>1.25</v>
      </c>
      <c r="H13" s="6">
        <v>3</v>
      </c>
      <c r="I13" s="34"/>
      <c r="J13">
        <f t="shared" si="0"/>
        <v>8.5</v>
      </c>
      <c r="L13" s="13" t="s">
        <v>24</v>
      </c>
      <c r="M13" s="14"/>
      <c r="N13" s="15">
        <v>2</v>
      </c>
      <c r="O13" s="15">
        <v>2</v>
      </c>
      <c r="P13" s="15"/>
      <c r="Q13" s="15"/>
      <c r="R13" s="15">
        <v>1</v>
      </c>
      <c r="S13" s="15">
        <v>2</v>
      </c>
      <c r="T13" s="42"/>
    </row>
    <row r="14" spans="2:20">
      <c r="B14" s="4" t="s">
        <v>25</v>
      </c>
      <c r="C14" s="6">
        <v>1.5</v>
      </c>
      <c r="D14" s="6">
        <v>1.75</v>
      </c>
      <c r="E14" s="6">
        <v>1.25</v>
      </c>
      <c r="F14" s="6">
        <v>2</v>
      </c>
      <c r="G14" s="6"/>
      <c r="H14" s="6"/>
      <c r="I14" s="34"/>
      <c r="J14">
        <f t="shared" si="0"/>
        <v>6.5</v>
      </c>
      <c r="L14" s="13" t="s">
        <v>25</v>
      </c>
      <c r="M14" s="14">
        <v>1</v>
      </c>
      <c r="N14" s="15"/>
      <c r="O14" s="15">
        <v>1</v>
      </c>
      <c r="P14" s="15">
        <v>1</v>
      </c>
      <c r="Q14" s="15"/>
      <c r="R14" s="15"/>
      <c r="S14" s="15"/>
      <c r="T14" s="42">
        <v>1</v>
      </c>
    </row>
    <row r="15" spans="2:20">
      <c r="B15" s="4" t="s">
        <v>26</v>
      </c>
      <c r="C15" s="6">
        <v>1.25</v>
      </c>
      <c r="D15" s="6">
        <v>0.5</v>
      </c>
      <c r="E15" s="6">
        <v>1.25</v>
      </c>
      <c r="F15" s="6">
        <v>0.25</v>
      </c>
      <c r="G15" s="6">
        <v>0.75</v>
      </c>
      <c r="H15" s="6"/>
      <c r="I15" s="34"/>
      <c r="J15">
        <f t="shared" si="0"/>
        <v>4</v>
      </c>
      <c r="L15" s="13" t="s">
        <v>26</v>
      </c>
      <c r="M15" s="14">
        <v>2</v>
      </c>
      <c r="N15" s="15"/>
      <c r="O15" s="15"/>
      <c r="P15" s="15"/>
      <c r="Q15" s="15">
        <v>4</v>
      </c>
      <c r="R15" s="15">
        <v>4</v>
      </c>
      <c r="S15" s="15">
        <v>2</v>
      </c>
      <c r="T15" s="42"/>
    </row>
    <row r="16" spans="2:20">
      <c r="B16" s="4" t="s">
        <v>27</v>
      </c>
      <c r="C16" s="6">
        <v>1</v>
      </c>
      <c r="D16" s="6">
        <v>0.5</v>
      </c>
      <c r="E16" s="6">
        <v>1</v>
      </c>
      <c r="F16" s="6">
        <v>1.25</v>
      </c>
      <c r="G16" s="6">
        <v>2.25</v>
      </c>
      <c r="H16" s="6"/>
      <c r="I16" s="34"/>
      <c r="J16">
        <f t="shared" si="0"/>
        <v>6</v>
      </c>
      <c r="L16" s="13" t="s">
        <v>27</v>
      </c>
      <c r="M16" s="14">
        <v>4</v>
      </c>
      <c r="N16" s="15"/>
      <c r="O16" s="15"/>
      <c r="P16" s="15"/>
      <c r="Q16" s="15">
        <v>4</v>
      </c>
      <c r="R16" s="15">
        <v>3</v>
      </c>
      <c r="S16" s="15">
        <v>4</v>
      </c>
      <c r="T16" s="42"/>
    </row>
    <row r="17" spans="2:20">
      <c r="B17" s="4" t="s">
        <v>28</v>
      </c>
      <c r="C17" s="6">
        <v>1.25</v>
      </c>
      <c r="D17" s="6">
        <v>1.25</v>
      </c>
      <c r="E17" s="6">
        <v>0.5</v>
      </c>
      <c r="F17" s="6">
        <v>1</v>
      </c>
      <c r="G17" s="6">
        <v>0.25</v>
      </c>
      <c r="H17" s="6">
        <v>2</v>
      </c>
      <c r="I17" s="34">
        <v>1.25</v>
      </c>
      <c r="J17">
        <f t="shared" si="0"/>
        <v>7.5</v>
      </c>
      <c r="L17" s="13" t="s">
        <v>28</v>
      </c>
      <c r="M17" s="14">
        <v>2</v>
      </c>
      <c r="N17" s="15"/>
      <c r="O17" s="15"/>
      <c r="P17" s="15"/>
      <c r="Q17" s="15">
        <v>2</v>
      </c>
      <c r="R17" s="15">
        <v>2</v>
      </c>
      <c r="S17" s="15">
        <v>1</v>
      </c>
      <c r="T17" s="42"/>
    </row>
    <row r="18" spans="2:20">
      <c r="B18" s="4" t="s">
        <v>29</v>
      </c>
      <c r="C18" s="6">
        <v>1</v>
      </c>
      <c r="D18" s="6">
        <v>1.5</v>
      </c>
      <c r="E18" s="6">
        <v>0.5</v>
      </c>
      <c r="F18" s="6">
        <v>1.75</v>
      </c>
      <c r="G18" s="6"/>
      <c r="H18" s="6"/>
      <c r="I18" s="34"/>
      <c r="J18">
        <f t="shared" si="0"/>
        <v>4.75</v>
      </c>
      <c r="L18" s="13" t="s">
        <v>29</v>
      </c>
      <c r="M18" s="14"/>
      <c r="N18" s="15">
        <v>4</v>
      </c>
      <c r="O18" s="15">
        <v>2</v>
      </c>
      <c r="P18" s="15">
        <v>2</v>
      </c>
      <c r="Q18" s="15">
        <v>2</v>
      </c>
      <c r="R18" s="15"/>
      <c r="S18" s="15"/>
      <c r="T18" s="42">
        <v>4</v>
      </c>
    </row>
    <row r="19" spans="2:20">
      <c r="B19" s="4" t="s">
        <v>30</v>
      </c>
      <c r="C19" s="6">
        <v>0.75</v>
      </c>
      <c r="D19" s="6">
        <v>0.5</v>
      </c>
      <c r="E19" s="6">
        <v>1.25</v>
      </c>
      <c r="F19" s="6">
        <v>2.5</v>
      </c>
      <c r="G19" s="6">
        <v>2.5</v>
      </c>
      <c r="H19" s="6"/>
      <c r="I19" s="34"/>
      <c r="J19">
        <f t="shared" si="0"/>
        <v>7.5</v>
      </c>
      <c r="L19" s="13" t="s">
        <v>30</v>
      </c>
      <c r="M19" s="14"/>
      <c r="N19" s="15"/>
      <c r="O19" s="15"/>
      <c r="P19" s="15">
        <v>2</v>
      </c>
      <c r="Q19" s="15"/>
      <c r="R19" s="15">
        <v>2</v>
      </c>
      <c r="S19" s="15"/>
      <c r="T19" s="42">
        <v>1</v>
      </c>
    </row>
    <row r="20" spans="2:20">
      <c r="B20" s="4" t="s">
        <v>31</v>
      </c>
      <c r="C20" s="6">
        <v>1.25</v>
      </c>
      <c r="D20" s="6">
        <v>5</v>
      </c>
      <c r="E20" s="6">
        <v>1.25</v>
      </c>
      <c r="F20" s="6">
        <v>2.5</v>
      </c>
      <c r="G20" s="6"/>
      <c r="H20" s="6"/>
      <c r="I20" s="34"/>
      <c r="J20">
        <f t="shared" si="0"/>
        <v>10</v>
      </c>
      <c r="L20" s="13" t="s">
        <v>31</v>
      </c>
      <c r="M20" s="14"/>
      <c r="N20" s="15">
        <v>1</v>
      </c>
      <c r="O20" s="15">
        <v>4</v>
      </c>
      <c r="P20" s="15"/>
      <c r="Q20" s="15"/>
      <c r="R20" s="15"/>
      <c r="S20" s="15"/>
      <c r="T20" s="42"/>
    </row>
    <row r="21" spans="2:20">
      <c r="B21" s="4" t="s">
        <v>32</v>
      </c>
      <c r="C21" s="6">
        <v>0.75</v>
      </c>
      <c r="D21" s="6">
        <v>3</v>
      </c>
      <c r="E21" s="6">
        <v>3.5</v>
      </c>
      <c r="F21" s="6"/>
      <c r="G21" s="6"/>
      <c r="H21" s="6"/>
      <c r="I21" s="34"/>
      <c r="J21">
        <f t="shared" si="0"/>
        <v>7.25</v>
      </c>
      <c r="L21" s="13" t="s">
        <v>32</v>
      </c>
      <c r="M21" s="14">
        <v>2</v>
      </c>
      <c r="N21" s="15"/>
      <c r="O21" s="15"/>
      <c r="P21" s="15"/>
      <c r="Q21" s="15">
        <v>2</v>
      </c>
      <c r="R21" s="15">
        <v>2</v>
      </c>
      <c r="S21" s="15">
        <v>2</v>
      </c>
      <c r="T21" s="42">
        <v>1</v>
      </c>
    </row>
    <row r="22" spans="2:20">
      <c r="B22" s="4" t="s">
        <v>33</v>
      </c>
      <c r="C22" s="6">
        <v>0.75</v>
      </c>
      <c r="D22" s="6">
        <v>1.25</v>
      </c>
      <c r="E22" s="6">
        <v>0.5</v>
      </c>
      <c r="F22" s="6">
        <v>3.75</v>
      </c>
      <c r="G22" s="6"/>
      <c r="H22" s="6"/>
      <c r="I22" s="34"/>
      <c r="J22">
        <f t="shared" si="0"/>
        <v>6.25</v>
      </c>
      <c r="L22" s="13" t="s">
        <v>33</v>
      </c>
      <c r="M22" s="14">
        <v>4</v>
      </c>
      <c r="N22" s="15">
        <v>1</v>
      </c>
      <c r="O22" s="15"/>
      <c r="P22" s="15"/>
      <c r="Q22" s="15">
        <v>4</v>
      </c>
      <c r="R22" s="15">
        <v>1</v>
      </c>
      <c r="S22" s="15">
        <v>3</v>
      </c>
      <c r="T22" s="42"/>
    </row>
    <row r="23" spans="2:20">
      <c r="B23" s="4" t="s">
        <v>34</v>
      </c>
      <c r="C23" s="6">
        <v>2.25</v>
      </c>
      <c r="D23" s="6">
        <v>2.5</v>
      </c>
      <c r="E23" s="6">
        <v>2</v>
      </c>
      <c r="F23" s="6">
        <v>3.75</v>
      </c>
      <c r="G23" s="6"/>
      <c r="H23" s="6"/>
      <c r="I23" s="34"/>
      <c r="J23">
        <f t="shared" si="0"/>
        <v>10.5</v>
      </c>
      <c r="L23" s="13" t="s">
        <v>34</v>
      </c>
      <c r="M23" s="14"/>
      <c r="N23" s="15">
        <v>2</v>
      </c>
      <c r="O23" s="15">
        <v>4</v>
      </c>
      <c r="P23" s="15">
        <v>4</v>
      </c>
      <c r="Q23" s="15">
        <v>1</v>
      </c>
      <c r="R23" s="15"/>
      <c r="S23" s="15"/>
      <c r="T23" s="42">
        <v>3</v>
      </c>
    </row>
    <row r="24" spans="2:20">
      <c r="B24" s="7" t="s">
        <v>35</v>
      </c>
      <c r="C24" s="8">
        <v>2</v>
      </c>
      <c r="D24" s="8">
        <v>0.75</v>
      </c>
      <c r="E24" s="8">
        <v>3</v>
      </c>
      <c r="F24" s="8"/>
      <c r="G24" s="8"/>
      <c r="H24" s="8"/>
      <c r="I24" s="35"/>
      <c r="J24">
        <f t="shared" si="0"/>
        <v>5.75</v>
      </c>
      <c r="L24" s="16" t="s">
        <v>35</v>
      </c>
      <c r="M24" s="17"/>
      <c r="N24" s="18">
        <v>2</v>
      </c>
      <c r="O24" s="18">
        <v>3</v>
      </c>
      <c r="P24" s="18">
        <v>3</v>
      </c>
      <c r="Q24" s="18"/>
      <c r="R24" s="18"/>
      <c r="S24" s="18"/>
      <c r="T24" s="43">
        <v>4</v>
      </c>
    </row>
    <row r="29" spans="2:11">
      <c r="B29" s="9" t="s">
        <v>61</v>
      </c>
      <c r="C29" s="10"/>
      <c r="D29" s="10"/>
      <c r="E29" s="10"/>
      <c r="F29" s="10"/>
      <c r="G29" s="10"/>
      <c r="H29" s="10"/>
      <c r="I29" s="10"/>
      <c r="J29" s="10"/>
      <c r="K29" s="36"/>
    </row>
    <row r="30" spans="2:11">
      <c r="B30" s="11" t="s">
        <v>39</v>
      </c>
      <c r="C30" s="12" t="s">
        <v>11</v>
      </c>
      <c r="D30" s="12" t="s">
        <v>12</v>
      </c>
      <c r="E30" s="12" t="s">
        <v>13</v>
      </c>
      <c r="F30" s="12" t="s">
        <v>14</v>
      </c>
      <c r="G30" s="12" t="s">
        <v>15</v>
      </c>
      <c r="H30" s="12" t="s">
        <v>58</v>
      </c>
      <c r="I30" s="12" t="s">
        <v>59</v>
      </c>
      <c r="J30" s="12" t="s">
        <v>60</v>
      </c>
      <c r="K30" s="37" t="s">
        <v>40</v>
      </c>
    </row>
    <row r="31" spans="2:11">
      <c r="B31" s="71" t="s">
        <v>62</v>
      </c>
      <c r="C31" s="14">
        <v>78000</v>
      </c>
      <c r="D31" s="15">
        <v>104000</v>
      </c>
      <c r="E31" s="15">
        <v>140400</v>
      </c>
      <c r="F31" s="15">
        <v>72800</v>
      </c>
      <c r="G31" s="15">
        <v>93600</v>
      </c>
      <c r="H31" s="15">
        <v>52000</v>
      </c>
      <c r="I31" s="15">
        <v>26000</v>
      </c>
      <c r="J31" s="15">
        <v>62400</v>
      </c>
      <c r="K31" s="38">
        <v>629200</v>
      </c>
    </row>
    <row r="32" spans="2:11">
      <c r="B32" s="71" t="s">
        <v>63</v>
      </c>
      <c r="C32" s="14">
        <v>62400</v>
      </c>
      <c r="D32" s="15">
        <v>78000</v>
      </c>
      <c r="E32" s="15">
        <v>150800</v>
      </c>
      <c r="F32" s="15">
        <v>83200</v>
      </c>
      <c r="G32" s="15">
        <v>109200</v>
      </c>
      <c r="H32" s="15">
        <v>78000</v>
      </c>
      <c r="I32" s="15">
        <v>52000</v>
      </c>
      <c r="J32" s="15">
        <v>78000</v>
      </c>
      <c r="K32" s="38">
        <v>691600</v>
      </c>
    </row>
    <row r="33" spans="2:11">
      <c r="B33" s="71" t="s">
        <v>64</v>
      </c>
      <c r="C33" s="14">
        <v>46800</v>
      </c>
      <c r="D33" s="15">
        <v>52000</v>
      </c>
      <c r="E33" s="15">
        <v>161200</v>
      </c>
      <c r="F33" s="15">
        <v>93600</v>
      </c>
      <c r="G33" s="15">
        <v>124800</v>
      </c>
      <c r="H33" s="15">
        <v>104000</v>
      </c>
      <c r="I33" s="15">
        <v>78000</v>
      </c>
      <c r="J33" s="15">
        <v>93600</v>
      </c>
      <c r="K33" s="38">
        <v>754000</v>
      </c>
    </row>
    <row r="34" spans="2:11">
      <c r="B34" s="72" t="s">
        <v>65</v>
      </c>
      <c r="C34" s="17">
        <v>26000</v>
      </c>
      <c r="D34" s="18">
        <v>26000</v>
      </c>
      <c r="E34" s="18">
        <v>171600</v>
      </c>
      <c r="F34" s="18">
        <v>104000</v>
      </c>
      <c r="G34" s="18">
        <v>140400</v>
      </c>
      <c r="H34" s="18">
        <v>156000</v>
      </c>
      <c r="I34" s="18">
        <v>104000</v>
      </c>
      <c r="J34" s="18">
        <v>114400</v>
      </c>
      <c r="K34" s="39">
        <v>842400</v>
      </c>
    </row>
    <row r="35" spans="2:11">
      <c r="B35" s="19"/>
      <c r="C35" s="19"/>
      <c r="D35" s="19"/>
      <c r="E35" s="19"/>
      <c r="F35" s="19"/>
      <c r="G35" s="19"/>
      <c r="H35" s="19"/>
      <c r="I35" s="19"/>
      <c r="J35" s="19"/>
      <c r="K35" s="25"/>
    </row>
    <row r="36" spans="2:11">
      <c r="B36" s="19"/>
      <c r="C36" s="19"/>
      <c r="D36" s="19"/>
      <c r="E36" s="19"/>
      <c r="F36" s="19"/>
      <c r="G36" s="19"/>
      <c r="H36" s="19"/>
      <c r="I36" s="19"/>
      <c r="J36" s="19"/>
      <c r="K36" s="25"/>
    </row>
    <row r="37" spans="2:11">
      <c r="B37" s="9" t="s">
        <v>66</v>
      </c>
      <c r="C37" s="10"/>
      <c r="D37" s="10"/>
      <c r="E37" s="10"/>
      <c r="F37" s="10"/>
      <c r="G37" s="10"/>
      <c r="H37" s="10"/>
      <c r="I37" s="10"/>
      <c r="J37" s="10"/>
      <c r="K37" s="36"/>
    </row>
    <row r="38" spans="2:11">
      <c r="B38" s="11" t="s">
        <v>39</v>
      </c>
      <c r="C38" s="20" t="s">
        <v>11</v>
      </c>
      <c r="D38" s="12" t="s">
        <v>12</v>
      </c>
      <c r="E38" s="12" t="s">
        <v>13</v>
      </c>
      <c r="F38" s="12" t="s">
        <v>14</v>
      </c>
      <c r="G38" s="12" t="s">
        <v>15</v>
      </c>
      <c r="H38" s="12" t="s">
        <v>58</v>
      </c>
      <c r="I38" s="12" t="s">
        <v>59</v>
      </c>
      <c r="J38" s="12" t="s">
        <v>60</v>
      </c>
      <c r="K38" s="37" t="s">
        <v>43</v>
      </c>
    </row>
    <row r="39" spans="2:11">
      <c r="B39" s="71" t="s">
        <v>62</v>
      </c>
      <c r="C39" s="21">
        <v>1442.2205101856</v>
      </c>
      <c r="D39" s="22">
        <v>1442.2205101856</v>
      </c>
      <c r="E39" s="22">
        <v>2884.44102037119</v>
      </c>
      <c r="F39" s="22">
        <v>1802.77563773199</v>
      </c>
      <c r="G39" s="22">
        <v>1081.6653826392</v>
      </c>
      <c r="H39" s="22">
        <v>1442.2205101856</v>
      </c>
      <c r="I39" s="22">
        <v>721.110255092798</v>
      </c>
      <c r="J39" s="22">
        <v>540.832691319598</v>
      </c>
      <c r="K39" s="40">
        <v>4448.87626260835</v>
      </c>
    </row>
    <row r="40" spans="2:11">
      <c r="B40" s="71" t="s">
        <v>63</v>
      </c>
      <c r="C40" s="21">
        <v>721.110255092798</v>
      </c>
      <c r="D40" s="22">
        <v>1081.6653826392</v>
      </c>
      <c r="E40" s="22">
        <v>3605.55127546399</v>
      </c>
      <c r="F40" s="22">
        <v>2163.33076527839</v>
      </c>
      <c r="G40" s="22">
        <v>1442.2205101856</v>
      </c>
      <c r="H40" s="22">
        <v>2163.33076527839</v>
      </c>
      <c r="I40" s="22">
        <v>1297.99845916704</v>
      </c>
      <c r="J40" s="22">
        <v>793.221280602078</v>
      </c>
      <c r="K40" s="40">
        <v>5333.29166650391</v>
      </c>
    </row>
    <row r="41" spans="2:11">
      <c r="B41" s="71" t="s">
        <v>64</v>
      </c>
      <c r="C41" s="21">
        <v>721.110255092798</v>
      </c>
      <c r="D41" s="22">
        <v>1081.6653826392</v>
      </c>
      <c r="E41" s="22">
        <v>4326.66153055679</v>
      </c>
      <c r="F41" s="22">
        <v>2884.44102037119</v>
      </c>
      <c r="G41" s="22">
        <v>1802.77563773199</v>
      </c>
      <c r="H41" s="22">
        <v>2884.44102037119</v>
      </c>
      <c r="I41" s="22">
        <v>1442.2205101856</v>
      </c>
      <c r="J41" s="22">
        <v>901.387818865997</v>
      </c>
      <c r="K41" s="40">
        <v>6572.1001209659</v>
      </c>
    </row>
    <row r="42" spans="2:11">
      <c r="B42" s="72" t="s">
        <v>65</v>
      </c>
      <c r="C42" s="23">
        <v>721.110255092798</v>
      </c>
      <c r="D42" s="24">
        <v>721.110255092798</v>
      </c>
      <c r="E42" s="24">
        <v>5047.77178564958</v>
      </c>
      <c r="F42" s="24">
        <v>3605.55127546399</v>
      </c>
      <c r="G42" s="24">
        <v>2163.33076527839</v>
      </c>
      <c r="H42" s="24">
        <v>3605.55127546399</v>
      </c>
      <c r="I42" s="24">
        <v>1586.44256120416</v>
      </c>
      <c r="J42" s="24">
        <v>1081.6653826392</v>
      </c>
      <c r="K42" s="41">
        <v>7802.99942329871</v>
      </c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25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25"/>
    </row>
    <row r="45" spans="2:11">
      <c r="B45" s="9" t="s">
        <v>67</v>
      </c>
      <c r="C45" s="10"/>
      <c r="D45" s="10"/>
      <c r="E45" s="10"/>
      <c r="F45" s="10"/>
      <c r="G45" s="10"/>
      <c r="H45" s="10"/>
      <c r="I45" s="10"/>
      <c r="J45" s="10"/>
      <c r="K45" s="36"/>
    </row>
    <row r="46" spans="2:11">
      <c r="B46" s="11" t="s">
        <v>39</v>
      </c>
      <c r="C46" s="20" t="s">
        <v>11</v>
      </c>
      <c r="D46" s="12" t="s">
        <v>12</v>
      </c>
      <c r="E46" s="12" t="s">
        <v>13</v>
      </c>
      <c r="F46" s="12" t="s">
        <v>14</v>
      </c>
      <c r="G46" s="12" t="s">
        <v>15</v>
      </c>
      <c r="H46" s="12" t="s">
        <v>58</v>
      </c>
      <c r="I46" s="12" t="s">
        <v>59</v>
      </c>
      <c r="J46" s="12" t="s">
        <v>60</v>
      </c>
      <c r="K46" s="37" t="s">
        <v>40</v>
      </c>
    </row>
    <row r="47" spans="2:11">
      <c r="B47" s="71" t="s">
        <v>62</v>
      </c>
      <c r="C47" s="14">
        <v>1500</v>
      </c>
      <c r="D47" s="15">
        <v>2000</v>
      </c>
      <c r="E47" s="15">
        <v>2700</v>
      </c>
      <c r="F47" s="15">
        <v>1400</v>
      </c>
      <c r="G47" s="15">
        <v>1800</v>
      </c>
      <c r="H47" s="15">
        <v>1000</v>
      </c>
      <c r="I47" s="15">
        <v>500</v>
      </c>
      <c r="J47" s="15">
        <v>1200</v>
      </c>
      <c r="K47" s="42">
        <v>12100</v>
      </c>
    </row>
    <row r="48" spans="2:11">
      <c r="B48" s="71" t="s">
        <v>63</v>
      </c>
      <c r="C48" s="14">
        <v>1200</v>
      </c>
      <c r="D48" s="15">
        <v>1500</v>
      </c>
      <c r="E48" s="15">
        <v>2900</v>
      </c>
      <c r="F48" s="15">
        <v>1600</v>
      </c>
      <c r="G48" s="15">
        <v>2100</v>
      </c>
      <c r="H48" s="15">
        <v>1500</v>
      </c>
      <c r="I48" s="15">
        <v>1000</v>
      </c>
      <c r="J48" s="15">
        <v>1500</v>
      </c>
      <c r="K48" s="42">
        <v>13300</v>
      </c>
    </row>
    <row r="49" spans="2:11">
      <c r="B49" s="71" t="s">
        <v>64</v>
      </c>
      <c r="C49" s="14">
        <v>900</v>
      </c>
      <c r="D49" s="15">
        <v>1000</v>
      </c>
      <c r="E49" s="15">
        <v>3100</v>
      </c>
      <c r="F49" s="15">
        <v>1800</v>
      </c>
      <c r="G49" s="15">
        <v>2400</v>
      </c>
      <c r="H49" s="15">
        <v>2000</v>
      </c>
      <c r="I49" s="15">
        <v>1500</v>
      </c>
      <c r="J49" s="15">
        <v>1800</v>
      </c>
      <c r="K49" s="42">
        <v>14500</v>
      </c>
    </row>
    <row r="50" spans="2:11">
      <c r="B50" s="72" t="s">
        <v>65</v>
      </c>
      <c r="C50" s="17">
        <v>500</v>
      </c>
      <c r="D50" s="18">
        <v>500</v>
      </c>
      <c r="E50" s="18">
        <v>3300</v>
      </c>
      <c r="F50" s="18">
        <v>2000</v>
      </c>
      <c r="G50" s="18">
        <v>2700</v>
      </c>
      <c r="H50" s="18">
        <v>3000</v>
      </c>
      <c r="I50" s="18">
        <v>2000</v>
      </c>
      <c r="J50" s="18">
        <v>2200</v>
      </c>
      <c r="K50" s="43">
        <v>16200</v>
      </c>
    </row>
    <row r="51" spans="2:11"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2:11"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2:11">
      <c r="B53" s="9" t="s">
        <v>68</v>
      </c>
      <c r="C53" s="10"/>
      <c r="D53" s="10"/>
      <c r="E53" s="10"/>
      <c r="F53" s="10"/>
      <c r="G53" s="10"/>
      <c r="H53" s="10"/>
      <c r="I53" s="10"/>
      <c r="J53" s="10"/>
      <c r="K53" s="36"/>
    </row>
    <row r="54" spans="2:11">
      <c r="B54" s="11" t="s">
        <v>39</v>
      </c>
      <c r="C54" s="20" t="s">
        <v>11</v>
      </c>
      <c r="D54" s="12" t="s">
        <v>12</v>
      </c>
      <c r="E54" s="12" t="s">
        <v>13</v>
      </c>
      <c r="F54" s="12" t="s">
        <v>14</v>
      </c>
      <c r="G54" s="12" t="s">
        <v>15</v>
      </c>
      <c r="H54" s="12" t="s">
        <v>58</v>
      </c>
      <c r="I54" s="12" t="s">
        <v>59</v>
      </c>
      <c r="J54" s="12" t="s">
        <v>60</v>
      </c>
      <c r="K54" s="37" t="s">
        <v>46</v>
      </c>
    </row>
    <row r="55" spans="2:19">
      <c r="B55" s="71" t="s">
        <v>62</v>
      </c>
      <c r="C55" s="26">
        <v>0.15</v>
      </c>
      <c r="D55" s="27">
        <v>0.2</v>
      </c>
      <c r="E55" s="27">
        <v>0.2</v>
      </c>
      <c r="F55" s="27">
        <v>0.12</v>
      </c>
      <c r="G55" s="27">
        <v>0.18</v>
      </c>
      <c r="H55" s="27">
        <v>0.25</v>
      </c>
      <c r="I55" s="27">
        <v>0.15</v>
      </c>
      <c r="J55" s="27">
        <v>0.08</v>
      </c>
      <c r="K55" s="44">
        <f t="shared" ref="K55:K59" si="1">AVERAGE(C55:J55)</f>
        <v>0.16625</v>
      </c>
      <c r="L55">
        <f t="shared" ref="L55:S55" si="2">C55*C47</f>
        <v>225</v>
      </c>
      <c r="M55">
        <f t="shared" si="2"/>
        <v>400</v>
      </c>
      <c r="N55">
        <f t="shared" si="2"/>
        <v>540</v>
      </c>
      <c r="O55">
        <f t="shared" si="2"/>
        <v>168</v>
      </c>
      <c r="P55">
        <f t="shared" si="2"/>
        <v>324</v>
      </c>
      <c r="Q55">
        <f t="shared" si="2"/>
        <v>250</v>
      </c>
      <c r="R55">
        <f t="shared" si="2"/>
        <v>75</v>
      </c>
      <c r="S55">
        <f t="shared" si="2"/>
        <v>96</v>
      </c>
    </row>
    <row r="56" spans="2:19">
      <c r="B56" s="71" t="s">
        <v>63</v>
      </c>
      <c r="C56" s="26">
        <v>0.15</v>
      </c>
      <c r="D56" s="28">
        <v>0.2</v>
      </c>
      <c r="E56" s="28">
        <v>0.2</v>
      </c>
      <c r="F56" s="28">
        <v>0.12</v>
      </c>
      <c r="G56" s="28">
        <v>0.18</v>
      </c>
      <c r="H56" s="28">
        <v>0.25</v>
      </c>
      <c r="I56" s="28">
        <v>0.15</v>
      </c>
      <c r="J56" s="28">
        <v>0.08</v>
      </c>
      <c r="K56" s="44">
        <f t="shared" si="1"/>
        <v>0.16625</v>
      </c>
      <c r="L56">
        <f t="shared" ref="L56:S56" si="3">C56*C48</f>
        <v>180</v>
      </c>
      <c r="M56">
        <f t="shared" si="3"/>
        <v>300</v>
      </c>
      <c r="N56">
        <f t="shared" si="3"/>
        <v>580</v>
      </c>
      <c r="O56">
        <f t="shared" si="3"/>
        <v>192</v>
      </c>
      <c r="P56">
        <f t="shared" si="3"/>
        <v>378</v>
      </c>
      <c r="Q56">
        <f t="shared" si="3"/>
        <v>375</v>
      </c>
      <c r="R56">
        <f t="shared" si="3"/>
        <v>150</v>
      </c>
      <c r="S56">
        <f t="shared" si="3"/>
        <v>120</v>
      </c>
    </row>
    <row r="57" spans="2:19">
      <c r="B57" s="71" t="s">
        <v>64</v>
      </c>
      <c r="C57" s="26">
        <v>0.15</v>
      </c>
      <c r="D57" s="28">
        <v>0.2</v>
      </c>
      <c r="E57" s="28">
        <v>0.2</v>
      </c>
      <c r="F57" s="28">
        <v>0.12</v>
      </c>
      <c r="G57" s="28">
        <v>0.18</v>
      </c>
      <c r="H57" s="28">
        <v>0.25</v>
      </c>
      <c r="I57" s="28">
        <v>0.15</v>
      </c>
      <c r="J57" s="28">
        <v>0.08</v>
      </c>
      <c r="K57" s="44">
        <f t="shared" si="1"/>
        <v>0.16625</v>
      </c>
      <c r="L57">
        <f t="shared" ref="L57:S57" si="4">C57*C49</f>
        <v>135</v>
      </c>
      <c r="M57">
        <f t="shared" si="4"/>
        <v>200</v>
      </c>
      <c r="N57">
        <f t="shared" si="4"/>
        <v>620</v>
      </c>
      <c r="O57">
        <f t="shared" si="4"/>
        <v>216</v>
      </c>
      <c r="P57">
        <f t="shared" si="4"/>
        <v>432</v>
      </c>
      <c r="Q57">
        <f t="shared" si="4"/>
        <v>500</v>
      </c>
      <c r="R57">
        <f t="shared" si="4"/>
        <v>225</v>
      </c>
      <c r="S57">
        <f t="shared" si="4"/>
        <v>144</v>
      </c>
    </row>
    <row r="58" spans="2:19">
      <c r="B58" s="72" t="s">
        <v>65</v>
      </c>
      <c r="C58" s="26">
        <v>0.15</v>
      </c>
      <c r="D58" s="28">
        <v>0.2</v>
      </c>
      <c r="E58" s="28">
        <v>0.2</v>
      </c>
      <c r="F58" s="28">
        <v>0.12</v>
      </c>
      <c r="G58" s="28">
        <v>0.18</v>
      </c>
      <c r="H58" s="28">
        <v>0.25</v>
      </c>
      <c r="I58" s="28">
        <v>0.15</v>
      </c>
      <c r="J58" s="28">
        <v>0.08</v>
      </c>
      <c r="K58" s="44">
        <f t="shared" si="1"/>
        <v>0.16625</v>
      </c>
      <c r="L58">
        <f t="shared" ref="L58:S58" si="5">C58*C50</f>
        <v>75</v>
      </c>
      <c r="M58">
        <f t="shared" si="5"/>
        <v>100</v>
      </c>
      <c r="N58">
        <f t="shared" si="5"/>
        <v>660</v>
      </c>
      <c r="O58">
        <f t="shared" si="5"/>
        <v>240</v>
      </c>
      <c r="P58">
        <f t="shared" si="5"/>
        <v>486</v>
      </c>
      <c r="Q58">
        <f t="shared" si="5"/>
        <v>750</v>
      </c>
      <c r="R58">
        <f t="shared" si="5"/>
        <v>300</v>
      </c>
      <c r="S58">
        <f t="shared" si="5"/>
        <v>176</v>
      </c>
    </row>
    <row r="59" spans="2:11">
      <c r="B59" s="16">
        <v>2029</v>
      </c>
      <c r="C59" s="29">
        <v>0.15</v>
      </c>
      <c r="D59" s="30">
        <v>0.2</v>
      </c>
      <c r="E59" s="30">
        <v>0.2</v>
      </c>
      <c r="F59" s="30">
        <v>0.12</v>
      </c>
      <c r="G59" s="30">
        <v>0.18</v>
      </c>
      <c r="H59" s="30">
        <v>0.25</v>
      </c>
      <c r="I59" s="30">
        <v>0.15</v>
      </c>
      <c r="J59" s="30">
        <v>0.08</v>
      </c>
      <c r="K59" s="45">
        <f t="shared" si="1"/>
        <v>0.16625</v>
      </c>
    </row>
    <row r="61" spans="2:15"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54</v>
      </c>
      <c r="J61" t="s">
        <v>55</v>
      </c>
      <c r="M61" t="s">
        <v>37</v>
      </c>
      <c r="O61" t="s">
        <v>38</v>
      </c>
    </row>
    <row r="62" spans="2:15">
      <c r="B62" t="s">
        <v>16</v>
      </c>
      <c r="C62" s="31">
        <f>SUMPRODUCT($C$33:$J$33,M5:T5)</f>
        <v>1482000</v>
      </c>
      <c r="D62">
        <f t="shared" ref="D62:D81" si="6">C62*J5/0.9/0.98</f>
        <v>21423469.3877551</v>
      </c>
      <c r="E62">
        <f t="shared" ref="E62:E81" si="7">C62+2.576*M62</f>
        <v>1573021.42083883</v>
      </c>
      <c r="F62">
        <f t="shared" ref="F62:F81" si="8">E62*J5/0.9/0.98</f>
        <v>22739255.2332144</v>
      </c>
      <c r="G62">
        <f>SUMPRODUCT($C$49:$J$49,M5:T5)</f>
        <v>28500</v>
      </c>
      <c r="H62">
        <f t="shared" ref="H62:H81" si="9">G62*J5/0.9/0.95</f>
        <v>425000</v>
      </c>
      <c r="I62">
        <f t="shared" ref="I62:I81" si="10">G62+2.576*O62</f>
        <v>40347.024</v>
      </c>
      <c r="J62">
        <f t="shared" ref="J62:J81" si="11">I62*J5/0.9/0.98</f>
        <v>583247.795918367</v>
      </c>
      <c r="L62">
        <v>1</v>
      </c>
      <c r="M62">
        <f>SQRT(SUMPRODUCT($C$41:$J$41*M5:T5)^2)</f>
        <v>35334.4024995471</v>
      </c>
      <c r="O62">
        <f>SQRT(SUMPRODUCT($L$57:$S$57*M5:T5)^2)</f>
        <v>4599</v>
      </c>
    </row>
    <row r="63" spans="2:15">
      <c r="B63" t="s">
        <v>17</v>
      </c>
      <c r="C63" s="31">
        <f t="shared" ref="C63:C81" si="12">SUMPRODUCT($C$33:$J$33,M6:T6)</f>
        <v>790400</v>
      </c>
      <c r="D63">
        <f t="shared" si="6"/>
        <v>6945124.71655329</v>
      </c>
      <c r="E63">
        <f t="shared" si="7"/>
        <v>837303.895432256</v>
      </c>
      <c r="F63">
        <f t="shared" si="8"/>
        <v>7357262.11972787</v>
      </c>
      <c r="G63">
        <f t="shared" ref="G63:G81" si="13">SUMPRODUCT($C$49:$J$49,M6:T6)</f>
        <v>15200</v>
      </c>
      <c r="H63">
        <f t="shared" si="9"/>
        <v>137777.777777778</v>
      </c>
      <c r="I63">
        <f t="shared" si="10"/>
        <v>21269.056</v>
      </c>
      <c r="J63">
        <f t="shared" si="11"/>
        <v>186887.963718821</v>
      </c>
      <c r="L63">
        <v>2</v>
      </c>
      <c r="M63">
        <f t="shared" ref="M63:M81" si="14">SQRT(SUMPRODUCT($C$41:$J$41*M6:T6)^2)</f>
        <v>18208.0339410931</v>
      </c>
      <c r="O63">
        <f t="shared" ref="O63:O81" si="15">SQRT(SUMPRODUCT($L$57:$S$57*M6:T6)^2)</f>
        <v>2356</v>
      </c>
    </row>
    <row r="64" spans="2:15">
      <c r="B64" t="s">
        <v>18</v>
      </c>
      <c r="C64" s="31">
        <f t="shared" si="12"/>
        <v>1112800</v>
      </c>
      <c r="D64">
        <f t="shared" si="6"/>
        <v>11985941.0430839</v>
      </c>
      <c r="E64">
        <f t="shared" si="7"/>
        <v>1179208.48561201</v>
      </c>
      <c r="F64">
        <f t="shared" si="8"/>
        <v>12701225.1851633</v>
      </c>
      <c r="G64">
        <f t="shared" si="13"/>
        <v>21400</v>
      </c>
      <c r="H64">
        <f t="shared" si="9"/>
        <v>237777.777777778</v>
      </c>
      <c r="I64">
        <f t="shared" si="10"/>
        <v>30003.84</v>
      </c>
      <c r="J64">
        <f t="shared" si="11"/>
        <v>323170.612244898</v>
      </c>
      <c r="L64">
        <v>3</v>
      </c>
      <c r="M64">
        <f t="shared" si="14"/>
        <v>25779.6916195675</v>
      </c>
      <c r="O64">
        <f t="shared" si="15"/>
        <v>3340</v>
      </c>
    </row>
    <row r="65" spans="2:15">
      <c r="B65" t="s">
        <v>19</v>
      </c>
      <c r="C65" s="31">
        <f t="shared" si="12"/>
        <v>561600</v>
      </c>
      <c r="D65">
        <f t="shared" si="6"/>
        <v>4775510.20408163</v>
      </c>
      <c r="E65">
        <f t="shared" si="7"/>
        <v>601537.970368059</v>
      </c>
      <c r="F65">
        <f t="shared" si="8"/>
        <v>5115118.79564676</v>
      </c>
      <c r="G65">
        <f t="shared" si="13"/>
        <v>10800</v>
      </c>
      <c r="H65">
        <f t="shared" si="9"/>
        <v>94736.8421052632</v>
      </c>
      <c r="I65">
        <f t="shared" si="10"/>
        <v>15622.272</v>
      </c>
      <c r="J65">
        <f t="shared" si="11"/>
        <v>132842.448979592</v>
      </c>
      <c r="L65">
        <v>4</v>
      </c>
      <c r="M65">
        <f t="shared" si="14"/>
        <v>15503.8704844952</v>
      </c>
      <c r="O65">
        <f t="shared" si="15"/>
        <v>1872</v>
      </c>
    </row>
    <row r="66" spans="2:15">
      <c r="B66" t="s">
        <v>20</v>
      </c>
      <c r="C66" s="31">
        <f t="shared" si="12"/>
        <v>556400</v>
      </c>
      <c r="D66">
        <f t="shared" si="6"/>
        <v>4731292.5170068</v>
      </c>
      <c r="E66">
        <f t="shared" si="7"/>
        <v>592622.810333821</v>
      </c>
      <c r="F66">
        <f t="shared" si="8"/>
        <v>5039309.61168216</v>
      </c>
      <c r="G66">
        <f t="shared" si="13"/>
        <v>10700</v>
      </c>
      <c r="H66">
        <f t="shared" si="9"/>
        <v>93859.649122807</v>
      </c>
      <c r="I66">
        <f t="shared" si="10"/>
        <v>16277.04</v>
      </c>
      <c r="J66">
        <f t="shared" si="11"/>
        <v>138410.204081633</v>
      </c>
      <c r="L66">
        <v>5</v>
      </c>
      <c r="M66">
        <f t="shared" si="14"/>
        <v>14061.6499743096</v>
      </c>
      <c r="O66">
        <f t="shared" si="15"/>
        <v>2165</v>
      </c>
    </row>
    <row r="67" spans="2:15">
      <c r="B67" t="s">
        <v>21</v>
      </c>
      <c r="C67" s="31">
        <f t="shared" si="12"/>
        <v>577200</v>
      </c>
      <c r="D67">
        <f t="shared" si="6"/>
        <v>6871428.57142857</v>
      </c>
      <c r="E67">
        <f t="shared" si="7"/>
        <v>595311.405166911</v>
      </c>
      <c r="F67">
        <f t="shared" si="8"/>
        <v>7087040.53770132</v>
      </c>
      <c r="G67">
        <f t="shared" si="13"/>
        <v>11100</v>
      </c>
      <c r="H67">
        <f t="shared" si="9"/>
        <v>136315.789473684</v>
      </c>
      <c r="I67">
        <f t="shared" si="10"/>
        <v>14786.256</v>
      </c>
      <c r="J67">
        <f t="shared" si="11"/>
        <v>176026.857142857</v>
      </c>
      <c r="L67">
        <v>6</v>
      </c>
      <c r="M67">
        <f t="shared" si="14"/>
        <v>7030.82498715478</v>
      </c>
      <c r="O67">
        <f t="shared" si="15"/>
        <v>1431</v>
      </c>
    </row>
    <row r="68" spans="2:15">
      <c r="B68" t="s">
        <v>22</v>
      </c>
      <c r="C68" s="31">
        <f t="shared" si="12"/>
        <v>878800</v>
      </c>
      <c r="D68">
        <f t="shared" si="6"/>
        <v>9963718.82086168</v>
      </c>
      <c r="E68">
        <f t="shared" si="7"/>
        <v>914558.415329542</v>
      </c>
      <c r="F68">
        <f t="shared" si="8"/>
        <v>10369143.0309472</v>
      </c>
      <c r="G68">
        <f t="shared" si="13"/>
        <v>16900</v>
      </c>
      <c r="H68">
        <f t="shared" si="9"/>
        <v>197660.81871345</v>
      </c>
      <c r="I68">
        <f t="shared" si="10"/>
        <v>24362.672</v>
      </c>
      <c r="J68">
        <f t="shared" si="11"/>
        <v>276220.770975057</v>
      </c>
      <c r="L68">
        <v>7</v>
      </c>
      <c r="M68">
        <f t="shared" si="14"/>
        <v>13881.3724105364</v>
      </c>
      <c r="O68">
        <f t="shared" si="15"/>
        <v>2897</v>
      </c>
    </row>
    <row r="69" spans="2:15">
      <c r="B69" t="s">
        <v>23</v>
      </c>
      <c r="C69" s="31">
        <f t="shared" si="12"/>
        <v>1019200</v>
      </c>
      <c r="D69">
        <f t="shared" si="6"/>
        <v>5488888.88888889</v>
      </c>
      <c r="E69">
        <f t="shared" si="7"/>
        <v>1078178.16554353</v>
      </c>
      <c r="F69">
        <f t="shared" si="8"/>
        <v>5806515.06386822</v>
      </c>
      <c r="G69">
        <f t="shared" si="13"/>
        <v>19600</v>
      </c>
      <c r="H69">
        <f t="shared" si="9"/>
        <v>108888.888888889</v>
      </c>
      <c r="I69">
        <f t="shared" si="10"/>
        <v>26673.696</v>
      </c>
      <c r="J69">
        <f t="shared" si="11"/>
        <v>143650.857142857</v>
      </c>
      <c r="L69">
        <v>8</v>
      </c>
      <c r="M69">
        <f t="shared" si="14"/>
        <v>22895.2505991963</v>
      </c>
      <c r="O69">
        <f t="shared" si="15"/>
        <v>2746</v>
      </c>
    </row>
    <row r="70" spans="2:15">
      <c r="B70" t="s">
        <v>24</v>
      </c>
      <c r="C70" s="31">
        <f t="shared" si="12"/>
        <v>686400</v>
      </c>
      <c r="D70">
        <f t="shared" si="6"/>
        <v>6614965.98639456</v>
      </c>
      <c r="E70">
        <f t="shared" si="7"/>
        <v>729124.340393738</v>
      </c>
      <c r="F70">
        <f t="shared" si="8"/>
        <v>7026708.49585802</v>
      </c>
      <c r="G70">
        <f t="shared" si="13"/>
        <v>13200</v>
      </c>
      <c r="H70">
        <f t="shared" si="9"/>
        <v>131228.070175439</v>
      </c>
      <c r="I70">
        <f t="shared" si="10"/>
        <v>19871.84</v>
      </c>
      <c r="J70">
        <f t="shared" si="11"/>
        <v>191508.662131519</v>
      </c>
      <c r="L70">
        <v>9</v>
      </c>
      <c r="M70">
        <f t="shared" si="14"/>
        <v>16585.5358671344</v>
      </c>
      <c r="O70">
        <f t="shared" si="15"/>
        <v>2590</v>
      </c>
    </row>
    <row r="71" spans="2:15">
      <c r="B71" t="s">
        <v>25</v>
      </c>
      <c r="C71" s="31">
        <f t="shared" si="12"/>
        <v>395200</v>
      </c>
      <c r="D71">
        <f t="shared" si="6"/>
        <v>2912471.6553288</v>
      </c>
      <c r="E71">
        <f t="shared" si="7"/>
        <v>417955.355209708</v>
      </c>
      <c r="F71">
        <f t="shared" si="8"/>
        <v>3080169.85131871</v>
      </c>
      <c r="G71">
        <f t="shared" si="13"/>
        <v>7600</v>
      </c>
      <c r="H71">
        <f t="shared" si="9"/>
        <v>57777.7777777778</v>
      </c>
      <c r="I71">
        <f t="shared" si="10"/>
        <v>10472.24</v>
      </c>
      <c r="J71">
        <f t="shared" si="11"/>
        <v>77176.3718820862</v>
      </c>
      <c r="L71">
        <v>10</v>
      </c>
      <c r="M71">
        <f t="shared" si="14"/>
        <v>8833.60062488677</v>
      </c>
      <c r="O71">
        <f t="shared" si="15"/>
        <v>1115</v>
      </c>
    </row>
    <row r="72" spans="2:15">
      <c r="B72" t="s">
        <v>26</v>
      </c>
      <c r="C72" s="31">
        <f t="shared" si="12"/>
        <v>1164800</v>
      </c>
      <c r="D72">
        <f t="shared" si="6"/>
        <v>5282539.68253968</v>
      </c>
      <c r="E72">
        <f t="shared" si="7"/>
        <v>1224242.56054781</v>
      </c>
      <c r="F72">
        <f t="shared" si="8"/>
        <v>5552120.45599914</v>
      </c>
      <c r="G72">
        <f t="shared" si="13"/>
        <v>22400</v>
      </c>
      <c r="H72">
        <f t="shared" si="9"/>
        <v>104795.321637427</v>
      </c>
      <c r="I72">
        <f t="shared" si="10"/>
        <v>33858.048</v>
      </c>
      <c r="J72">
        <f t="shared" si="11"/>
        <v>153551.238095238</v>
      </c>
      <c r="L72">
        <v>11</v>
      </c>
      <c r="M72">
        <f t="shared" si="14"/>
        <v>23075.5281629695</v>
      </c>
      <c r="O72">
        <f t="shared" si="15"/>
        <v>4448</v>
      </c>
    </row>
    <row r="73" spans="2:15">
      <c r="B73" t="s">
        <v>27</v>
      </c>
      <c r="C73" s="31">
        <f t="shared" si="12"/>
        <v>1310400</v>
      </c>
      <c r="D73">
        <f t="shared" si="6"/>
        <v>8914285.71428571</v>
      </c>
      <c r="E73">
        <f t="shared" si="7"/>
        <v>1373557.72058205</v>
      </c>
      <c r="F73">
        <f t="shared" si="8"/>
        <v>9343930.07198672</v>
      </c>
      <c r="G73">
        <f t="shared" si="13"/>
        <v>25200</v>
      </c>
      <c r="H73">
        <f t="shared" si="9"/>
        <v>176842.105263158</v>
      </c>
      <c r="I73">
        <f t="shared" si="10"/>
        <v>37224.768</v>
      </c>
      <c r="J73">
        <f t="shared" si="11"/>
        <v>253229.714285714</v>
      </c>
      <c r="L73">
        <v>12</v>
      </c>
      <c r="M73">
        <f t="shared" si="14"/>
        <v>24517.7486731551</v>
      </c>
      <c r="O73">
        <f t="shared" si="15"/>
        <v>4668</v>
      </c>
    </row>
    <row r="74" spans="2:15">
      <c r="B74" t="s">
        <v>28</v>
      </c>
      <c r="C74" s="31">
        <f t="shared" si="12"/>
        <v>629200</v>
      </c>
      <c r="D74">
        <f t="shared" si="6"/>
        <v>5350340.13605442</v>
      </c>
      <c r="E74">
        <f t="shared" si="7"/>
        <v>660778.860291024</v>
      </c>
      <c r="F74">
        <f t="shared" si="8"/>
        <v>5618867.85961755</v>
      </c>
      <c r="G74">
        <f t="shared" si="13"/>
        <v>12100</v>
      </c>
      <c r="H74">
        <f t="shared" si="9"/>
        <v>106140.350877193</v>
      </c>
      <c r="I74">
        <f t="shared" si="10"/>
        <v>18176.784</v>
      </c>
      <c r="J74">
        <f t="shared" si="11"/>
        <v>154564.489795918</v>
      </c>
      <c r="L74">
        <v>13</v>
      </c>
      <c r="M74">
        <f t="shared" si="14"/>
        <v>12258.8743365776</v>
      </c>
      <c r="O74">
        <f t="shared" si="15"/>
        <v>2359</v>
      </c>
    </row>
    <row r="75" spans="2:15">
      <c r="B75" t="s">
        <v>29</v>
      </c>
      <c r="C75" s="31">
        <f t="shared" si="12"/>
        <v>1341600</v>
      </c>
      <c r="D75">
        <f t="shared" si="6"/>
        <v>7225170.06802721</v>
      </c>
      <c r="E75">
        <f t="shared" si="7"/>
        <v>1408472.88061629</v>
      </c>
      <c r="F75">
        <f t="shared" si="8"/>
        <v>7585313.1325707</v>
      </c>
      <c r="G75">
        <f t="shared" si="13"/>
        <v>25800</v>
      </c>
      <c r="H75">
        <f t="shared" si="9"/>
        <v>143333.333333333</v>
      </c>
      <c r="I75">
        <f t="shared" si="10"/>
        <v>35877.312</v>
      </c>
      <c r="J75">
        <f t="shared" si="11"/>
        <v>193216.816326531</v>
      </c>
      <c r="L75">
        <v>14</v>
      </c>
      <c r="M75">
        <f t="shared" si="14"/>
        <v>25959.9691833407</v>
      </c>
      <c r="O75">
        <f t="shared" si="15"/>
        <v>3912</v>
      </c>
    </row>
    <row r="76" spans="2:15">
      <c r="B76" t="s">
        <v>30</v>
      </c>
      <c r="C76" s="31">
        <f t="shared" si="12"/>
        <v>488800</v>
      </c>
      <c r="D76">
        <f t="shared" si="6"/>
        <v>4156462.58503401</v>
      </c>
      <c r="E76">
        <f t="shared" si="7"/>
        <v>520843.255295304</v>
      </c>
      <c r="F76">
        <f t="shared" si="8"/>
        <v>4428939.24570836</v>
      </c>
      <c r="G76">
        <f t="shared" si="13"/>
        <v>9400</v>
      </c>
      <c r="H76">
        <f t="shared" si="9"/>
        <v>82456.1403508772</v>
      </c>
      <c r="I76">
        <f t="shared" si="10"/>
        <v>13459.776</v>
      </c>
      <c r="J76">
        <f t="shared" si="11"/>
        <v>114453.87755102</v>
      </c>
      <c r="L76">
        <v>15</v>
      </c>
      <c r="M76">
        <f t="shared" si="14"/>
        <v>12439.1519003508</v>
      </c>
      <c r="O76">
        <f t="shared" si="15"/>
        <v>1576</v>
      </c>
    </row>
    <row r="77" spans="2:15">
      <c r="B77" t="s">
        <v>31</v>
      </c>
      <c r="C77" s="31">
        <f t="shared" si="12"/>
        <v>696800</v>
      </c>
      <c r="D77">
        <f t="shared" si="6"/>
        <v>7900226.75736961</v>
      </c>
      <c r="E77">
        <f t="shared" si="7"/>
        <v>744168.290436536</v>
      </c>
      <c r="F77">
        <f t="shared" si="8"/>
        <v>8437282.20449587</v>
      </c>
      <c r="G77">
        <f t="shared" si="13"/>
        <v>13400</v>
      </c>
      <c r="H77">
        <f t="shared" si="9"/>
        <v>156725.14619883</v>
      </c>
      <c r="I77">
        <f t="shared" si="10"/>
        <v>20303.68</v>
      </c>
      <c r="J77">
        <f t="shared" si="11"/>
        <v>230200.453514739</v>
      </c>
      <c r="L77">
        <v>16</v>
      </c>
      <c r="M77">
        <f t="shared" si="14"/>
        <v>18388.3115048663</v>
      </c>
      <c r="O77">
        <f t="shared" si="15"/>
        <v>2680</v>
      </c>
    </row>
    <row r="78" spans="2:15">
      <c r="B78" t="s">
        <v>32</v>
      </c>
      <c r="C78" s="31">
        <f t="shared" si="12"/>
        <v>800800</v>
      </c>
      <c r="D78">
        <f t="shared" si="6"/>
        <v>6582539.68253968</v>
      </c>
      <c r="E78">
        <f t="shared" si="7"/>
        <v>838415.995346661</v>
      </c>
      <c r="F78">
        <f t="shared" si="8"/>
        <v>6891741.4583484</v>
      </c>
      <c r="G78">
        <f t="shared" si="13"/>
        <v>15400</v>
      </c>
      <c r="H78">
        <f t="shared" si="9"/>
        <v>130584.795321637</v>
      </c>
      <c r="I78">
        <f t="shared" si="10"/>
        <v>22427.328</v>
      </c>
      <c r="J78">
        <f t="shared" si="11"/>
        <v>184351.619047619</v>
      </c>
      <c r="L78">
        <v>17</v>
      </c>
      <c r="M78">
        <f t="shared" si="14"/>
        <v>14602.4826656292</v>
      </c>
      <c r="O78">
        <f t="shared" si="15"/>
        <v>2728</v>
      </c>
    </row>
    <row r="79" spans="2:15">
      <c r="B79" t="s">
        <v>33</v>
      </c>
      <c r="C79" s="31">
        <f t="shared" si="12"/>
        <v>1076400</v>
      </c>
      <c r="D79">
        <f t="shared" si="6"/>
        <v>7627551.02040816</v>
      </c>
      <c r="E79">
        <f t="shared" si="7"/>
        <v>1123768.29043654</v>
      </c>
      <c r="F79">
        <f t="shared" si="8"/>
        <v>7963210.67486207</v>
      </c>
      <c r="G79">
        <f t="shared" si="13"/>
        <v>20700</v>
      </c>
      <c r="H79">
        <f t="shared" si="9"/>
        <v>151315.789473684</v>
      </c>
      <c r="I79">
        <f t="shared" si="10"/>
        <v>30084.368</v>
      </c>
      <c r="J79">
        <f t="shared" si="11"/>
        <v>213182.879818594</v>
      </c>
      <c r="L79">
        <v>18</v>
      </c>
      <c r="M79">
        <f t="shared" si="14"/>
        <v>18388.3115048663</v>
      </c>
      <c r="O79">
        <f t="shared" si="15"/>
        <v>3643</v>
      </c>
    </row>
    <row r="80" spans="2:15">
      <c r="B80" t="s">
        <v>34</v>
      </c>
      <c r="C80" s="31">
        <f t="shared" si="12"/>
        <v>1528800</v>
      </c>
      <c r="D80">
        <f t="shared" si="6"/>
        <v>18200000</v>
      </c>
      <c r="E80">
        <f t="shared" si="7"/>
        <v>1620285.81584311</v>
      </c>
      <c r="F80">
        <f t="shared" si="8"/>
        <v>19289116.8552752</v>
      </c>
      <c r="G80">
        <f t="shared" si="13"/>
        <v>29400</v>
      </c>
      <c r="H80">
        <f t="shared" si="9"/>
        <v>361052.631578947</v>
      </c>
      <c r="I80">
        <f t="shared" si="10"/>
        <v>41270.208</v>
      </c>
      <c r="J80">
        <f t="shared" si="11"/>
        <v>491312</v>
      </c>
      <c r="L80">
        <v>19</v>
      </c>
      <c r="M80">
        <f t="shared" si="14"/>
        <v>35514.6800633203</v>
      </c>
      <c r="O80">
        <f t="shared" si="15"/>
        <v>4608</v>
      </c>
    </row>
    <row r="81" spans="2:15">
      <c r="B81" t="s">
        <v>35</v>
      </c>
      <c r="C81" s="31">
        <f t="shared" si="12"/>
        <v>1242800</v>
      </c>
      <c r="D81">
        <f t="shared" si="6"/>
        <v>8102154.19501134</v>
      </c>
      <c r="E81">
        <f t="shared" si="7"/>
        <v>1313388.04065052</v>
      </c>
      <c r="F81">
        <f t="shared" si="8"/>
        <v>8562336.9997058</v>
      </c>
      <c r="G81">
        <f t="shared" si="13"/>
        <v>23900</v>
      </c>
      <c r="H81">
        <f t="shared" si="9"/>
        <v>160730.994152047</v>
      </c>
      <c r="I81">
        <f t="shared" si="10"/>
        <v>32874.784</v>
      </c>
      <c r="J81">
        <f t="shared" si="11"/>
        <v>214319.736961451</v>
      </c>
      <c r="L81">
        <v>20</v>
      </c>
      <c r="M81">
        <f t="shared" si="14"/>
        <v>27402.1896935263</v>
      </c>
      <c r="O81">
        <f t="shared" si="15"/>
        <v>3484</v>
      </c>
    </row>
    <row r="82" spans="2:10">
      <c r="B82" t="s">
        <v>56</v>
      </c>
      <c r="C82" s="31">
        <f t="shared" ref="C82:J82" si="16">SUM(C62:C81)</f>
        <v>18340400</v>
      </c>
      <c r="D82" s="31">
        <f t="shared" si="16"/>
        <v>161054081.632653</v>
      </c>
      <c r="E82" s="31">
        <f t="shared" si="16"/>
        <v>19346743.9742742</v>
      </c>
      <c r="F82" s="31">
        <f t="shared" si="16"/>
        <v>169994606.883698</v>
      </c>
      <c r="G82" s="31">
        <f t="shared" si="16"/>
        <v>352700</v>
      </c>
      <c r="H82" s="31">
        <f t="shared" si="16"/>
        <v>3195000</v>
      </c>
      <c r="I82" s="31">
        <f t="shared" si="16"/>
        <v>505242.992</v>
      </c>
      <c r="J82" s="31">
        <f t="shared" si="16"/>
        <v>4431525.36961451</v>
      </c>
    </row>
    <row r="85" spans="2:6">
      <c r="B85" t="s">
        <v>47</v>
      </c>
      <c r="C85" t="s">
        <v>50</v>
      </c>
      <c r="E85" t="s">
        <v>47</v>
      </c>
      <c r="F85" t="s">
        <v>51</v>
      </c>
    </row>
    <row r="86" spans="2:6">
      <c r="B86" t="s">
        <v>16</v>
      </c>
      <c r="C86">
        <v>3897840</v>
      </c>
      <c r="E86" t="s">
        <v>16</v>
      </c>
      <c r="F86">
        <v>56346326.5306122</v>
      </c>
    </row>
    <row r="87" spans="2:6">
      <c r="B87" t="s">
        <v>34</v>
      </c>
      <c r="C87">
        <v>3719040</v>
      </c>
      <c r="E87" t="s">
        <v>34</v>
      </c>
      <c r="F87">
        <v>44274285.7142857</v>
      </c>
    </row>
    <row r="88" spans="2:6">
      <c r="B88" t="s">
        <v>29</v>
      </c>
      <c r="C88">
        <v>3361440</v>
      </c>
      <c r="E88" t="s">
        <v>22</v>
      </c>
      <c r="F88">
        <v>29191836.7346939</v>
      </c>
    </row>
    <row r="89" spans="2:6">
      <c r="B89" t="s">
        <v>35</v>
      </c>
      <c r="C89">
        <v>2753520</v>
      </c>
      <c r="E89" t="s">
        <v>31</v>
      </c>
      <c r="F89">
        <v>25137414.9659864</v>
      </c>
    </row>
    <row r="90" spans="2:6">
      <c r="B90" t="s">
        <v>22</v>
      </c>
      <c r="C90">
        <v>2574720</v>
      </c>
      <c r="E90" t="s">
        <v>17</v>
      </c>
      <c r="F90">
        <v>18224625.8503401</v>
      </c>
    </row>
    <row r="91" spans="2:6">
      <c r="B91" t="s">
        <v>31</v>
      </c>
      <c r="C91">
        <v>2217120</v>
      </c>
      <c r="E91" t="s">
        <v>29</v>
      </c>
      <c r="F91">
        <v>18102993.1972789</v>
      </c>
    </row>
    <row r="92" spans="2:6">
      <c r="B92" t="s">
        <v>33</v>
      </c>
      <c r="C92">
        <v>2217120</v>
      </c>
      <c r="E92" t="s">
        <v>35</v>
      </c>
      <c r="F92">
        <v>17950952.3809524</v>
      </c>
    </row>
    <row r="93" spans="2:6">
      <c r="B93" t="s">
        <v>17</v>
      </c>
      <c r="C93">
        <v>2074080</v>
      </c>
      <c r="E93" t="s">
        <v>24</v>
      </c>
      <c r="F93">
        <v>15852789.1156463</v>
      </c>
    </row>
    <row r="94" spans="2:6">
      <c r="B94" t="s">
        <v>27</v>
      </c>
      <c r="C94">
        <v>1859520</v>
      </c>
      <c r="E94" t="s">
        <v>33</v>
      </c>
      <c r="F94">
        <v>15710884.3537415</v>
      </c>
    </row>
    <row r="95" spans="2:6">
      <c r="B95" t="s">
        <v>19</v>
      </c>
      <c r="C95">
        <v>1716480</v>
      </c>
      <c r="E95" t="s">
        <v>19</v>
      </c>
      <c r="F95">
        <v>14595918.3673469</v>
      </c>
    </row>
    <row r="96" spans="2:6">
      <c r="B96" t="s">
        <v>24</v>
      </c>
      <c r="C96">
        <v>1644960</v>
      </c>
      <c r="E96" t="s">
        <v>27</v>
      </c>
      <c r="F96">
        <v>12649795.9183673</v>
      </c>
    </row>
    <row r="97" spans="2:6">
      <c r="B97" t="s">
        <v>26</v>
      </c>
      <c r="C97">
        <v>1501920</v>
      </c>
      <c r="E97" t="s">
        <v>18</v>
      </c>
      <c r="F97">
        <v>12325442.1768707</v>
      </c>
    </row>
    <row r="98" spans="2:6">
      <c r="B98" t="s">
        <v>20</v>
      </c>
      <c r="C98">
        <v>1287360</v>
      </c>
      <c r="E98" t="s">
        <v>20</v>
      </c>
      <c r="F98">
        <v>10946938.7755102</v>
      </c>
    </row>
    <row r="99" spans="2:6">
      <c r="B99" t="s">
        <v>18</v>
      </c>
      <c r="C99">
        <v>1144320</v>
      </c>
      <c r="E99" t="s">
        <v>21</v>
      </c>
      <c r="F99">
        <v>8940000</v>
      </c>
    </row>
    <row r="100" spans="2:6">
      <c r="B100" t="s">
        <v>28</v>
      </c>
      <c r="C100">
        <v>929760</v>
      </c>
      <c r="E100" t="s">
        <v>28</v>
      </c>
      <c r="F100">
        <v>7906122.44897959</v>
      </c>
    </row>
    <row r="101" spans="2:6">
      <c r="B101" t="s">
        <v>32</v>
      </c>
      <c r="C101">
        <v>929760</v>
      </c>
      <c r="E101" t="s">
        <v>32</v>
      </c>
      <c r="F101">
        <v>7642585.03401361</v>
      </c>
    </row>
    <row r="102" spans="2:6">
      <c r="B102" t="s">
        <v>23</v>
      </c>
      <c r="C102">
        <v>858240</v>
      </c>
      <c r="E102" t="s">
        <v>26</v>
      </c>
      <c r="F102">
        <v>6811428.57142857</v>
      </c>
    </row>
    <row r="103" spans="2:6">
      <c r="B103" t="s">
        <v>25</v>
      </c>
      <c r="C103">
        <v>858240</v>
      </c>
      <c r="E103" t="s">
        <v>25</v>
      </c>
      <c r="F103">
        <v>6324897.95918367</v>
      </c>
    </row>
    <row r="104" spans="2:6">
      <c r="B104" t="s">
        <v>21</v>
      </c>
      <c r="C104">
        <v>750960</v>
      </c>
      <c r="E104" t="s">
        <v>23</v>
      </c>
      <c r="F104">
        <v>4622040.81632653</v>
      </c>
    </row>
    <row r="105" spans="2:6">
      <c r="B105" t="s">
        <v>30</v>
      </c>
      <c r="C105">
        <v>429120</v>
      </c>
      <c r="E105" t="s">
        <v>30</v>
      </c>
      <c r="F105">
        <v>3648979.59183673</v>
      </c>
    </row>
  </sheetData>
  <mergeCells count="6">
    <mergeCell ref="C3:I3"/>
    <mergeCell ref="M3:T3"/>
    <mergeCell ref="B29:K29"/>
    <mergeCell ref="B37:K37"/>
    <mergeCell ref="B45:K45"/>
    <mergeCell ref="B53:K5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105"/>
  <sheetViews>
    <sheetView zoomScale="50" zoomScaleNormal="50" topLeftCell="A35" workbookViewId="0">
      <selection activeCell="I63" sqref="I63"/>
    </sheetView>
  </sheetViews>
  <sheetFormatPr defaultColWidth="11" defaultRowHeight="17.6"/>
  <cols>
    <col min="3" max="3" width="22.1527777777778" customWidth="1"/>
    <col min="4" max="4" width="21.6597222222222" customWidth="1"/>
    <col min="5" max="5" width="24.7986111111111" customWidth="1"/>
    <col min="6" max="6" width="25.6180555555556" customWidth="1"/>
    <col min="7" max="7" width="22.1597222222222" customWidth="1"/>
    <col min="8" max="8" width="22.1527777777778" customWidth="1"/>
    <col min="9" max="9" width="26.2847222222222" customWidth="1"/>
    <col min="10" max="10" width="25.9583333333333" customWidth="1"/>
    <col min="11" max="11" width="12.5555555555556"/>
    <col min="12" max="12" width="20.5" customWidth="1"/>
    <col min="13" max="13" width="21.9861111111111" customWidth="1"/>
    <col min="14" max="15" width="12.5555555555556"/>
  </cols>
  <sheetData>
    <row r="3" spans="2:20">
      <c r="B3" s="1" t="s">
        <v>0</v>
      </c>
      <c r="C3" s="2" t="s">
        <v>1</v>
      </c>
      <c r="D3" s="3"/>
      <c r="E3" s="3"/>
      <c r="F3" s="3"/>
      <c r="G3" s="3"/>
      <c r="H3" s="3"/>
      <c r="I3" s="32"/>
      <c r="L3" s="1" t="s">
        <v>0</v>
      </c>
      <c r="M3" s="2" t="s">
        <v>57</v>
      </c>
      <c r="N3" s="3"/>
      <c r="O3" s="3"/>
      <c r="P3" s="3"/>
      <c r="Q3" s="3"/>
      <c r="R3" s="3"/>
      <c r="S3" s="3"/>
      <c r="T3" s="32"/>
    </row>
    <row r="4" spans="2:20"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3" t="s">
        <v>9</v>
      </c>
      <c r="J4" t="s">
        <v>10</v>
      </c>
      <c r="L4" s="13"/>
      <c r="M4" s="46" t="s">
        <v>11</v>
      </c>
      <c r="N4" s="47" t="s">
        <v>12</v>
      </c>
      <c r="O4" s="47" t="s">
        <v>13</v>
      </c>
      <c r="P4" s="47" t="s">
        <v>14</v>
      </c>
      <c r="Q4" s="47" t="s">
        <v>15</v>
      </c>
      <c r="R4" s="47" t="s">
        <v>58</v>
      </c>
      <c r="S4" s="47" t="s">
        <v>59</v>
      </c>
      <c r="T4" s="50" t="s">
        <v>60</v>
      </c>
    </row>
    <row r="5" spans="2:20">
      <c r="B5" s="4" t="s">
        <v>16</v>
      </c>
      <c r="C5" s="6">
        <v>2.5</v>
      </c>
      <c r="D5" s="6">
        <v>1</v>
      </c>
      <c r="E5" s="6">
        <v>2.5</v>
      </c>
      <c r="F5" s="6">
        <v>0.5</v>
      </c>
      <c r="G5" s="6">
        <v>2.5</v>
      </c>
      <c r="H5" s="6">
        <v>1.25</v>
      </c>
      <c r="I5" s="34">
        <v>2.5</v>
      </c>
      <c r="J5">
        <f t="shared" ref="J5:J24" si="0">SUM(C5:I5)</f>
        <v>12.75</v>
      </c>
      <c r="L5" s="13" t="s">
        <v>16</v>
      </c>
      <c r="M5" s="48">
        <v>1</v>
      </c>
      <c r="N5" s="49">
        <v>2</v>
      </c>
      <c r="O5" s="49">
        <v>4</v>
      </c>
      <c r="P5" s="49">
        <v>4</v>
      </c>
      <c r="Q5" s="49">
        <v>1</v>
      </c>
      <c r="R5" s="49"/>
      <c r="S5" s="49"/>
      <c r="T5" s="51">
        <v>2</v>
      </c>
    </row>
    <row r="6" spans="2:20">
      <c r="B6" s="4" t="s">
        <v>17</v>
      </c>
      <c r="C6" s="6">
        <v>1.25</v>
      </c>
      <c r="D6" s="6">
        <v>0.5</v>
      </c>
      <c r="E6" s="6">
        <v>2.5</v>
      </c>
      <c r="F6" s="6">
        <v>1</v>
      </c>
      <c r="G6" s="6">
        <v>2.5</v>
      </c>
      <c r="H6" s="6"/>
      <c r="I6" s="34"/>
      <c r="J6">
        <f t="shared" si="0"/>
        <v>7.75</v>
      </c>
      <c r="L6" s="13" t="s">
        <v>17</v>
      </c>
      <c r="M6" s="14">
        <v>4</v>
      </c>
      <c r="N6" s="15"/>
      <c r="O6" s="15">
        <v>2</v>
      </c>
      <c r="P6" s="15">
        <v>2</v>
      </c>
      <c r="Q6" s="15"/>
      <c r="R6" s="15"/>
      <c r="S6" s="15"/>
      <c r="T6" s="42">
        <v>1</v>
      </c>
    </row>
    <row r="7" spans="2:20">
      <c r="B7" s="4" t="s">
        <v>18</v>
      </c>
      <c r="C7" s="6">
        <v>1.75</v>
      </c>
      <c r="D7" s="6">
        <v>3</v>
      </c>
      <c r="E7" s="6">
        <v>0.75</v>
      </c>
      <c r="F7" s="6">
        <v>1.5</v>
      </c>
      <c r="G7" s="6">
        <v>2.5</v>
      </c>
      <c r="H7" s="6"/>
      <c r="I7" s="34"/>
      <c r="J7">
        <f t="shared" si="0"/>
        <v>9.5</v>
      </c>
      <c r="L7" s="13" t="s">
        <v>18</v>
      </c>
      <c r="M7" s="14"/>
      <c r="N7" s="15"/>
      <c r="O7" s="15"/>
      <c r="P7" s="15">
        <v>4</v>
      </c>
      <c r="Q7" s="15">
        <v>1</v>
      </c>
      <c r="R7" s="15">
        <v>2</v>
      </c>
      <c r="S7" s="15">
        <v>4</v>
      </c>
      <c r="T7" s="42">
        <v>1</v>
      </c>
    </row>
    <row r="8" spans="2:20">
      <c r="B8" s="4" t="s">
        <v>19</v>
      </c>
      <c r="C8" s="6">
        <v>1</v>
      </c>
      <c r="D8" s="6">
        <v>2</v>
      </c>
      <c r="E8" s="6">
        <v>3</v>
      </c>
      <c r="F8" s="6">
        <v>0.25</v>
      </c>
      <c r="G8" s="6">
        <v>1.25</v>
      </c>
      <c r="H8" s="6"/>
      <c r="I8" s="34"/>
      <c r="J8">
        <f t="shared" si="0"/>
        <v>7.5</v>
      </c>
      <c r="L8" s="13" t="s">
        <v>19</v>
      </c>
      <c r="M8" s="14"/>
      <c r="N8" s="15">
        <v>1</v>
      </c>
      <c r="O8" s="15">
        <v>2</v>
      </c>
      <c r="P8" s="15">
        <v>2</v>
      </c>
      <c r="Q8" s="15"/>
      <c r="R8" s="15"/>
      <c r="S8" s="15"/>
      <c r="T8" s="42"/>
    </row>
    <row r="9" spans="2:20">
      <c r="B9" s="4" t="s">
        <v>20</v>
      </c>
      <c r="C9" s="6">
        <v>1.5</v>
      </c>
      <c r="D9" s="6">
        <v>0.75</v>
      </c>
      <c r="E9" s="6">
        <v>3.5</v>
      </c>
      <c r="F9" s="6">
        <v>1.75</v>
      </c>
      <c r="G9" s="6"/>
      <c r="H9" s="6"/>
      <c r="I9" s="34"/>
      <c r="J9">
        <f t="shared" si="0"/>
        <v>7.5</v>
      </c>
      <c r="L9" s="13" t="s">
        <v>20</v>
      </c>
      <c r="M9" s="14"/>
      <c r="N9" s="15">
        <v>1</v>
      </c>
      <c r="O9" s="15">
        <v>2</v>
      </c>
      <c r="P9" s="15"/>
      <c r="Q9" s="15"/>
      <c r="R9" s="15">
        <v>1</v>
      </c>
      <c r="S9" s="15">
        <v>1</v>
      </c>
      <c r="T9" s="42"/>
    </row>
    <row r="10" spans="2:20">
      <c r="B10" s="4" t="s">
        <v>21</v>
      </c>
      <c r="C10" s="6">
        <v>0.75</v>
      </c>
      <c r="D10" s="6">
        <v>1.25</v>
      </c>
      <c r="E10" s="6">
        <v>0.5</v>
      </c>
      <c r="F10" s="6">
        <v>3</v>
      </c>
      <c r="G10" s="6">
        <v>1</v>
      </c>
      <c r="H10" s="6">
        <v>1.25</v>
      </c>
      <c r="I10" s="34">
        <v>2.75</v>
      </c>
      <c r="J10">
        <f t="shared" si="0"/>
        <v>10.5</v>
      </c>
      <c r="L10" s="13" t="s">
        <v>21</v>
      </c>
      <c r="M10" s="14">
        <v>1</v>
      </c>
      <c r="N10" s="15"/>
      <c r="O10" s="15"/>
      <c r="P10" s="15"/>
      <c r="Q10" s="15">
        <v>2</v>
      </c>
      <c r="R10" s="15"/>
      <c r="S10" s="15"/>
      <c r="T10" s="42">
        <v>3</v>
      </c>
    </row>
    <row r="11" spans="2:20">
      <c r="B11" s="4" t="s">
        <v>22</v>
      </c>
      <c r="C11" s="6">
        <v>1</v>
      </c>
      <c r="D11" s="6">
        <v>1.5</v>
      </c>
      <c r="E11" s="6">
        <v>0.75</v>
      </c>
      <c r="F11" s="6">
        <v>3.5</v>
      </c>
      <c r="G11" s="6">
        <v>1.25</v>
      </c>
      <c r="H11" s="6">
        <v>2</v>
      </c>
      <c r="I11" s="34"/>
      <c r="J11">
        <f t="shared" si="0"/>
        <v>10</v>
      </c>
      <c r="L11" s="13" t="s">
        <v>22</v>
      </c>
      <c r="M11" s="14"/>
      <c r="N11" s="15">
        <v>4</v>
      </c>
      <c r="O11" s="15"/>
      <c r="P11" s="15"/>
      <c r="Q11" s="15">
        <v>4</v>
      </c>
      <c r="R11" s="15"/>
      <c r="S11" s="15">
        <v>1</v>
      </c>
      <c r="T11" s="42">
        <v>1</v>
      </c>
    </row>
    <row r="12" spans="2:20">
      <c r="B12" s="4" t="s">
        <v>23</v>
      </c>
      <c r="C12" s="6">
        <v>1.25</v>
      </c>
      <c r="D12" s="6">
        <v>2</v>
      </c>
      <c r="E12" s="6">
        <v>0.5</v>
      </c>
      <c r="F12" s="6">
        <v>1</v>
      </c>
      <c r="G12" s="6"/>
      <c r="H12" s="6"/>
      <c r="I12" s="34"/>
      <c r="J12">
        <f t="shared" si="0"/>
        <v>4.75</v>
      </c>
      <c r="L12" s="13" t="s">
        <v>23</v>
      </c>
      <c r="M12" s="14"/>
      <c r="N12" s="15"/>
      <c r="O12" s="15"/>
      <c r="P12" s="15">
        <v>4</v>
      </c>
      <c r="Q12" s="15"/>
      <c r="R12" s="15">
        <v>2</v>
      </c>
      <c r="S12" s="15">
        <v>2</v>
      </c>
      <c r="T12" s="42">
        <v>3</v>
      </c>
    </row>
    <row r="13" spans="2:20">
      <c r="B13" s="4" t="s">
        <v>24</v>
      </c>
      <c r="C13" s="6">
        <v>1.75</v>
      </c>
      <c r="D13" s="6">
        <v>0.75</v>
      </c>
      <c r="E13" s="6">
        <v>1.25</v>
      </c>
      <c r="F13" s="6">
        <v>0.5</v>
      </c>
      <c r="G13" s="6">
        <v>1.25</v>
      </c>
      <c r="H13" s="6">
        <v>3</v>
      </c>
      <c r="I13" s="34"/>
      <c r="J13">
        <f t="shared" si="0"/>
        <v>8.5</v>
      </c>
      <c r="L13" s="13" t="s">
        <v>24</v>
      </c>
      <c r="M13" s="14"/>
      <c r="N13" s="15">
        <v>2</v>
      </c>
      <c r="O13" s="15">
        <v>2</v>
      </c>
      <c r="P13" s="15"/>
      <c r="Q13" s="15"/>
      <c r="R13" s="15">
        <v>1</v>
      </c>
      <c r="S13" s="15">
        <v>2</v>
      </c>
      <c r="T13" s="42"/>
    </row>
    <row r="14" spans="2:20">
      <c r="B14" s="4" t="s">
        <v>25</v>
      </c>
      <c r="C14" s="6">
        <v>1.5</v>
      </c>
      <c r="D14" s="6">
        <v>1.75</v>
      </c>
      <c r="E14" s="6">
        <v>1.25</v>
      </c>
      <c r="F14" s="6">
        <v>2</v>
      </c>
      <c r="G14" s="6"/>
      <c r="H14" s="6"/>
      <c r="I14" s="34"/>
      <c r="J14">
        <f t="shared" si="0"/>
        <v>6.5</v>
      </c>
      <c r="L14" s="13" t="s">
        <v>25</v>
      </c>
      <c r="M14" s="14">
        <v>1</v>
      </c>
      <c r="N14" s="15"/>
      <c r="O14" s="15">
        <v>1</v>
      </c>
      <c r="P14" s="15">
        <v>1</v>
      </c>
      <c r="Q14" s="15"/>
      <c r="R14" s="15"/>
      <c r="S14" s="15"/>
      <c r="T14" s="42">
        <v>1</v>
      </c>
    </row>
    <row r="15" spans="2:20">
      <c r="B15" s="4" t="s">
        <v>26</v>
      </c>
      <c r="C15" s="6">
        <v>1.25</v>
      </c>
      <c r="D15" s="6">
        <v>0.5</v>
      </c>
      <c r="E15" s="6">
        <v>1.25</v>
      </c>
      <c r="F15" s="6">
        <v>0.25</v>
      </c>
      <c r="G15" s="6">
        <v>0.75</v>
      </c>
      <c r="H15" s="6"/>
      <c r="I15" s="34"/>
      <c r="J15">
        <f t="shared" si="0"/>
        <v>4</v>
      </c>
      <c r="L15" s="13" t="s">
        <v>26</v>
      </c>
      <c r="M15" s="14">
        <v>2</v>
      </c>
      <c r="N15" s="15"/>
      <c r="O15" s="15"/>
      <c r="P15" s="15"/>
      <c r="Q15" s="15">
        <v>4</v>
      </c>
      <c r="R15" s="15">
        <v>4</v>
      </c>
      <c r="S15" s="15">
        <v>2</v>
      </c>
      <c r="T15" s="42"/>
    </row>
    <row r="16" spans="2:20">
      <c r="B16" s="4" t="s">
        <v>27</v>
      </c>
      <c r="C16" s="6">
        <v>1</v>
      </c>
      <c r="D16" s="6">
        <v>0.5</v>
      </c>
      <c r="E16" s="6">
        <v>1</v>
      </c>
      <c r="F16" s="6">
        <v>1.25</v>
      </c>
      <c r="G16" s="6">
        <v>2.25</v>
      </c>
      <c r="H16" s="6"/>
      <c r="I16" s="34"/>
      <c r="J16">
        <f t="shared" si="0"/>
        <v>6</v>
      </c>
      <c r="L16" s="13" t="s">
        <v>27</v>
      </c>
      <c r="M16" s="14">
        <v>4</v>
      </c>
      <c r="N16" s="15"/>
      <c r="O16" s="15"/>
      <c r="P16" s="15"/>
      <c r="Q16" s="15">
        <v>4</v>
      </c>
      <c r="R16" s="15">
        <v>3</v>
      </c>
      <c r="S16" s="15">
        <v>4</v>
      </c>
      <c r="T16" s="42"/>
    </row>
    <row r="17" spans="2:20">
      <c r="B17" s="4" t="s">
        <v>28</v>
      </c>
      <c r="C17" s="6">
        <v>1.25</v>
      </c>
      <c r="D17" s="6">
        <v>1.25</v>
      </c>
      <c r="E17" s="6">
        <v>0.5</v>
      </c>
      <c r="F17" s="6">
        <v>1</v>
      </c>
      <c r="G17" s="6">
        <v>0.25</v>
      </c>
      <c r="H17" s="6">
        <v>2</v>
      </c>
      <c r="I17" s="34">
        <v>1.25</v>
      </c>
      <c r="J17">
        <f t="shared" si="0"/>
        <v>7.5</v>
      </c>
      <c r="L17" s="13" t="s">
        <v>28</v>
      </c>
      <c r="M17" s="14">
        <v>2</v>
      </c>
      <c r="N17" s="15"/>
      <c r="O17" s="15"/>
      <c r="P17" s="15"/>
      <c r="Q17" s="15">
        <v>2</v>
      </c>
      <c r="R17" s="15">
        <v>2</v>
      </c>
      <c r="S17" s="15">
        <v>1</v>
      </c>
      <c r="T17" s="42"/>
    </row>
    <row r="18" spans="2:20">
      <c r="B18" s="4" t="s">
        <v>29</v>
      </c>
      <c r="C18" s="6">
        <v>1</v>
      </c>
      <c r="D18" s="6">
        <v>1.5</v>
      </c>
      <c r="E18" s="6">
        <v>0.5</v>
      </c>
      <c r="F18" s="6">
        <v>1.75</v>
      </c>
      <c r="G18" s="6"/>
      <c r="H18" s="6"/>
      <c r="I18" s="34"/>
      <c r="J18">
        <f t="shared" si="0"/>
        <v>4.75</v>
      </c>
      <c r="L18" s="13" t="s">
        <v>29</v>
      </c>
      <c r="M18" s="14"/>
      <c r="N18" s="15">
        <v>4</v>
      </c>
      <c r="O18" s="15">
        <v>2</v>
      </c>
      <c r="P18" s="15">
        <v>2</v>
      </c>
      <c r="Q18" s="15">
        <v>2</v>
      </c>
      <c r="R18" s="15"/>
      <c r="S18" s="15"/>
      <c r="T18" s="42">
        <v>4</v>
      </c>
    </row>
    <row r="19" spans="2:20">
      <c r="B19" s="4" t="s">
        <v>30</v>
      </c>
      <c r="C19" s="6">
        <v>0.75</v>
      </c>
      <c r="D19" s="6">
        <v>0.5</v>
      </c>
      <c r="E19" s="6">
        <v>1.25</v>
      </c>
      <c r="F19" s="6">
        <v>2.5</v>
      </c>
      <c r="G19" s="6">
        <v>2.5</v>
      </c>
      <c r="H19" s="6"/>
      <c r="I19" s="34"/>
      <c r="J19">
        <f t="shared" si="0"/>
        <v>7.5</v>
      </c>
      <c r="L19" s="13" t="s">
        <v>30</v>
      </c>
      <c r="M19" s="14"/>
      <c r="N19" s="15"/>
      <c r="O19" s="15"/>
      <c r="P19" s="15">
        <v>2</v>
      </c>
      <c r="Q19" s="15"/>
      <c r="R19" s="15">
        <v>2</v>
      </c>
      <c r="S19" s="15"/>
      <c r="T19" s="42">
        <v>1</v>
      </c>
    </row>
    <row r="20" spans="2:20">
      <c r="B20" s="4" t="s">
        <v>31</v>
      </c>
      <c r="C20" s="6">
        <v>1.25</v>
      </c>
      <c r="D20" s="6">
        <v>5</v>
      </c>
      <c r="E20" s="6">
        <v>1.25</v>
      </c>
      <c r="F20" s="6">
        <v>2.5</v>
      </c>
      <c r="G20" s="6"/>
      <c r="H20" s="6"/>
      <c r="I20" s="34"/>
      <c r="J20">
        <f t="shared" si="0"/>
        <v>10</v>
      </c>
      <c r="L20" s="13" t="s">
        <v>31</v>
      </c>
      <c r="M20" s="14"/>
      <c r="N20" s="15">
        <v>1</v>
      </c>
      <c r="O20" s="15">
        <v>4</v>
      </c>
      <c r="P20" s="15"/>
      <c r="Q20" s="15"/>
      <c r="R20" s="15"/>
      <c r="S20" s="15"/>
      <c r="T20" s="42"/>
    </row>
    <row r="21" spans="2:20">
      <c r="B21" s="4" t="s">
        <v>32</v>
      </c>
      <c r="C21" s="6">
        <v>0.75</v>
      </c>
      <c r="D21" s="6">
        <v>3</v>
      </c>
      <c r="E21" s="6">
        <v>3.5</v>
      </c>
      <c r="F21" s="6"/>
      <c r="G21" s="6"/>
      <c r="H21" s="6"/>
      <c r="I21" s="34"/>
      <c r="J21">
        <f t="shared" si="0"/>
        <v>7.25</v>
      </c>
      <c r="L21" s="13" t="s">
        <v>32</v>
      </c>
      <c r="M21" s="14">
        <v>2</v>
      </c>
      <c r="N21" s="15"/>
      <c r="O21" s="15"/>
      <c r="P21" s="15"/>
      <c r="Q21" s="15">
        <v>2</v>
      </c>
      <c r="R21" s="15">
        <v>2</v>
      </c>
      <c r="S21" s="15">
        <v>2</v>
      </c>
      <c r="T21" s="42">
        <v>1</v>
      </c>
    </row>
    <row r="22" spans="2:20">
      <c r="B22" s="4" t="s">
        <v>33</v>
      </c>
      <c r="C22" s="6">
        <v>0.75</v>
      </c>
      <c r="D22" s="6">
        <v>1.25</v>
      </c>
      <c r="E22" s="6">
        <v>0.5</v>
      </c>
      <c r="F22" s="6">
        <v>3.75</v>
      </c>
      <c r="G22" s="6"/>
      <c r="H22" s="6"/>
      <c r="I22" s="34"/>
      <c r="J22">
        <f t="shared" si="0"/>
        <v>6.25</v>
      </c>
      <c r="L22" s="13" t="s">
        <v>33</v>
      </c>
      <c r="M22" s="14">
        <v>4</v>
      </c>
      <c r="N22" s="15">
        <v>1</v>
      </c>
      <c r="O22" s="15"/>
      <c r="P22" s="15"/>
      <c r="Q22" s="15">
        <v>4</v>
      </c>
      <c r="R22" s="15">
        <v>1</v>
      </c>
      <c r="S22" s="15">
        <v>3</v>
      </c>
      <c r="T22" s="42"/>
    </row>
    <row r="23" spans="2:20">
      <c r="B23" s="4" t="s">
        <v>34</v>
      </c>
      <c r="C23" s="6">
        <v>2.25</v>
      </c>
      <c r="D23" s="6">
        <v>2.5</v>
      </c>
      <c r="E23" s="6">
        <v>2</v>
      </c>
      <c r="F23" s="6">
        <v>3.75</v>
      </c>
      <c r="G23" s="6"/>
      <c r="H23" s="6"/>
      <c r="I23" s="34"/>
      <c r="J23">
        <f t="shared" si="0"/>
        <v>10.5</v>
      </c>
      <c r="L23" s="13" t="s">
        <v>34</v>
      </c>
      <c r="M23" s="14"/>
      <c r="N23" s="15">
        <v>2</v>
      </c>
      <c r="O23" s="15">
        <v>4</v>
      </c>
      <c r="P23" s="15">
        <v>4</v>
      </c>
      <c r="Q23" s="15">
        <v>1</v>
      </c>
      <c r="R23" s="15"/>
      <c r="S23" s="15"/>
      <c r="T23" s="42">
        <v>3</v>
      </c>
    </row>
    <row r="24" spans="2:20">
      <c r="B24" s="7" t="s">
        <v>35</v>
      </c>
      <c r="C24" s="8">
        <v>2</v>
      </c>
      <c r="D24" s="8">
        <v>0.75</v>
      </c>
      <c r="E24" s="8">
        <v>3</v>
      </c>
      <c r="F24" s="8"/>
      <c r="G24" s="8"/>
      <c r="H24" s="8"/>
      <c r="I24" s="35"/>
      <c r="J24">
        <f t="shared" si="0"/>
        <v>5.75</v>
      </c>
      <c r="L24" s="16" t="s">
        <v>35</v>
      </c>
      <c r="M24" s="17"/>
      <c r="N24" s="18">
        <v>2</v>
      </c>
      <c r="O24" s="18">
        <v>3</v>
      </c>
      <c r="P24" s="18">
        <v>3</v>
      </c>
      <c r="Q24" s="18"/>
      <c r="R24" s="18"/>
      <c r="S24" s="18"/>
      <c r="T24" s="43">
        <v>4</v>
      </c>
    </row>
    <row r="29" spans="2:11">
      <c r="B29" s="9" t="s">
        <v>61</v>
      </c>
      <c r="C29" s="10"/>
      <c r="D29" s="10"/>
      <c r="E29" s="10"/>
      <c r="F29" s="10"/>
      <c r="G29" s="10"/>
      <c r="H29" s="10"/>
      <c r="I29" s="10"/>
      <c r="J29" s="10"/>
      <c r="K29" s="36"/>
    </row>
    <row r="30" spans="2:11">
      <c r="B30" s="11" t="s">
        <v>39</v>
      </c>
      <c r="C30" s="12" t="s">
        <v>11</v>
      </c>
      <c r="D30" s="12" t="s">
        <v>12</v>
      </c>
      <c r="E30" s="12" t="s">
        <v>13</v>
      </c>
      <c r="F30" s="12" t="s">
        <v>14</v>
      </c>
      <c r="G30" s="12" t="s">
        <v>15</v>
      </c>
      <c r="H30" s="12" t="s">
        <v>58</v>
      </c>
      <c r="I30" s="12" t="s">
        <v>59</v>
      </c>
      <c r="J30" s="12" t="s">
        <v>60</v>
      </c>
      <c r="K30" s="37" t="s">
        <v>40</v>
      </c>
    </row>
    <row r="31" spans="2:11">
      <c r="B31" s="71" t="s">
        <v>62</v>
      </c>
      <c r="C31" s="14">
        <v>78000</v>
      </c>
      <c r="D31" s="15">
        <v>104000</v>
      </c>
      <c r="E31" s="15">
        <v>140400</v>
      </c>
      <c r="F31" s="15">
        <v>72800</v>
      </c>
      <c r="G31" s="15">
        <v>93600</v>
      </c>
      <c r="H31" s="15">
        <v>52000</v>
      </c>
      <c r="I31" s="15">
        <v>26000</v>
      </c>
      <c r="J31" s="15">
        <v>62400</v>
      </c>
      <c r="K31" s="38">
        <v>629200</v>
      </c>
    </row>
    <row r="32" spans="2:11">
      <c r="B32" s="71" t="s">
        <v>63</v>
      </c>
      <c r="C32" s="14">
        <v>62400</v>
      </c>
      <c r="D32" s="15">
        <v>78000</v>
      </c>
      <c r="E32" s="15">
        <v>150800</v>
      </c>
      <c r="F32" s="15">
        <v>83200</v>
      </c>
      <c r="G32" s="15">
        <v>109200</v>
      </c>
      <c r="H32" s="15">
        <v>78000</v>
      </c>
      <c r="I32" s="15">
        <v>52000</v>
      </c>
      <c r="J32" s="15">
        <v>78000</v>
      </c>
      <c r="K32" s="38">
        <v>691600</v>
      </c>
    </row>
    <row r="33" spans="2:11">
      <c r="B33" s="71" t="s">
        <v>64</v>
      </c>
      <c r="C33" s="14">
        <v>46800</v>
      </c>
      <c r="D33" s="15">
        <v>52000</v>
      </c>
      <c r="E33" s="15">
        <v>161200</v>
      </c>
      <c r="F33" s="15">
        <v>93600</v>
      </c>
      <c r="G33" s="15">
        <v>124800</v>
      </c>
      <c r="H33" s="15">
        <v>104000</v>
      </c>
      <c r="I33" s="15">
        <v>78000</v>
      </c>
      <c r="J33" s="15">
        <v>93600</v>
      </c>
      <c r="K33" s="38">
        <v>754000</v>
      </c>
    </row>
    <row r="34" spans="2:11">
      <c r="B34" s="72" t="s">
        <v>65</v>
      </c>
      <c r="C34" s="17">
        <v>26000</v>
      </c>
      <c r="D34" s="18">
        <v>26000</v>
      </c>
      <c r="E34" s="18">
        <v>171600</v>
      </c>
      <c r="F34" s="18">
        <v>104000</v>
      </c>
      <c r="G34" s="18">
        <v>140400</v>
      </c>
      <c r="H34" s="18">
        <v>156000</v>
      </c>
      <c r="I34" s="18">
        <v>104000</v>
      </c>
      <c r="J34" s="18">
        <v>114400</v>
      </c>
      <c r="K34" s="39">
        <v>842400</v>
      </c>
    </row>
    <row r="35" spans="2:11">
      <c r="B35" s="19"/>
      <c r="C35" s="19"/>
      <c r="D35" s="19"/>
      <c r="E35" s="19"/>
      <c r="F35" s="19"/>
      <c r="G35" s="19"/>
      <c r="H35" s="19"/>
      <c r="I35" s="19"/>
      <c r="J35" s="19"/>
      <c r="K35" s="25"/>
    </row>
    <row r="36" spans="2:11">
      <c r="B36" s="19"/>
      <c r="C36" s="19"/>
      <c r="D36" s="19"/>
      <c r="E36" s="19"/>
      <c r="F36" s="19"/>
      <c r="G36" s="19"/>
      <c r="H36" s="19"/>
      <c r="I36" s="19"/>
      <c r="J36" s="19"/>
      <c r="K36" s="25"/>
    </row>
    <row r="37" spans="2:11">
      <c r="B37" s="9" t="s">
        <v>66</v>
      </c>
      <c r="C37" s="10"/>
      <c r="D37" s="10"/>
      <c r="E37" s="10"/>
      <c r="F37" s="10"/>
      <c r="G37" s="10"/>
      <c r="H37" s="10"/>
      <c r="I37" s="10"/>
      <c r="J37" s="10"/>
      <c r="K37" s="36"/>
    </row>
    <row r="38" spans="2:11">
      <c r="B38" s="11" t="s">
        <v>39</v>
      </c>
      <c r="C38" s="20" t="s">
        <v>11</v>
      </c>
      <c r="D38" s="12" t="s">
        <v>12</v>
      </c>
      <c r="E38" s="12" t="s">
        <v>13</v>
      </c>
      <c r="F38" s="12" t="s">
        <v>14</v>
      </c>
      <c r="G38" s="12" t="s">
        <v>15</v>
      </c>
      <c r="H38" s="12" t="s">
        <v>58</v>
      </c>
      <c r="I38" s="12" t="s">
        <v>59</v>
      </c>
      <c r="J38" s="12" t="s">
        <v>60</v>
      </c>
      <c r="K38" s="37" t="s">
        <v>43</v>
      </c>
    </row>
    <row r="39" spans="2:11">
      <c r="B39" s="71" t="s">
        <v>62</v>
      </c>
      <c r="C39" s="21">
        <v>1442.2205101856</v>
      </c>
      <c r="D39" s="22">
        <v>1442.2205101856</v>
      </c>
      <c r="E39" s="22">
        <v>2884.44102037119</v>
      </c>
      <c r="F39" s="22">
        <v>1802.77563773199</v>
      </c>
      <c r="G39" s="22">
        <v>1081.6653826392</v>
      </c>
      <c r="H39" s="22">
        <v>1442.2205101856</v>
      </c>
      <c r="I39" s="22">
        <v>721.110255092798</v>
      </c>
      <c r="J39" s="22">
        <v>540.832691319598</v>
      </c>
      <c r="K39" s="40">
        <v>4448.87626260835</v>
      </c>
    </row>
    <row r="40" spans="2:11">
      <c r="B40" s="71" t="s">
        <v>63</v>
      </c>
      <c r="C40" s="21">
        <v>721.110255092798</v>
      </c>
      <c r="D40" s="22">
        <v>1081.6653826392</v>
      </c>
      <c r="E40" s="22">
        <v>3605.55127546399</v>
      </c>
      <c r="F40" s="22">
        <v>2163.33076527839</v>
      </c>
      <c r="G40" s="22">
        <v>1442.2205101856</v>
      </c>
      <c r="H40" s="22">
        <v>2163.33076527839</v>
      </c>
      <c r="I40" s="22">
        <v>1297.99845916704</v>
      </c>
      <c r="J40" s="22">
        <v>793.221280602078</v>
      </c>
      <c r="K40" s="40">
        <v>5333.29166650391</v>
      </c>
    </row>
    <row r="41" spans="2:11">
      <c r="B41" s="71" t="s">
        <v>64</v>
      </c>
      <c r="C41" s="21">
        <v>721.110255092798</v>
      </c>
      <c r="D41" s="22">
        <v>1081.6653826392</v>
      </c>
      <c r="E41" s="22">
        <v>4326.66153055679</v>
      </c>
      <c r="F41" s="22">
        <v>2884.44102037119</v>
      </c>
      <c r="G41" s="22">
        <v>1802.77563773199</v>
      </c>
      <c r="H41" s="22">
        <v>2884.44102037119</v>
      </c>
      <c r="I41" s="22">
        <v>1442.2205101856</v>
      </c>
      <c r="J41" s="22">
        <v>901.387818865997</v>
      </c>
      <c r="K41" s="40">
        <v>6572.1001209659</v>
      </c>
    </row>
    <row r="42" spans="2:11">
      <c r="B42" s="72" t="s">
        <v>65</v>
      </c>
      <c r="C42" s="23">
        <v>721.110255092798</v>
      </c>
      <c r="D42" s="24">
        <v>721.110255092798</v>
      </c>
      <c r="E42" s="24">
        <v>5047.77178564958</v>
      </c>
      <c r="F42" s="24">
        <v>3605.55127546399</v>
      </c>
      <c r="G42" s="24">
        <v>2163.33076527839</v>
      </c>
      <c r="H42" s="24">
        <v>3605.55127546399</v>
      </c>
      <c r="I42" s="24">
        <v>1586.44256120416</v>
      </c>
      <c r="J42" s="24">
        <v>1081.6653826392</v>
      </c>
      <c r="K42" s="41">
        <v>7802.99942329871</v>
      </c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25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25"/>
    </row>
    <row r="45" spans="2:11">
      <c r="B45" s="9" t="s">
        <v>67</v>
      </c>
      <c r="C45" s="10"/>
      <c r="D45" s="10"/>
      <c r="E45" s="10"/>
      <c r="F45" s="10"/>
      <c r="G45" s="10"/>
      <c r="H45" s="10"/>
      <c r="I45" s="10"/>
      <c r="J45" s="10"/>
      <c r="K45" s="36"/>
    </row>
    <row r="46" spans="2:11">
      <c r="B46" s="11" t="s">
        <v>39</v>
      </c>
      <c r="C46" s="20" t="s">
        <v>11</v>
      </c>
      <c r="D46" s="12" t="s">
        <v>12</v>
      </c>
      <c r="E46" s="12" t="s">
        <v>13</v>
      </c>
      <c r="F46" s="12" t="s">
        <v>14</v>
      </c>
      <c r="G46" s="12" t="s">
        <v>15</v>
      </c>
      <c r="H46" s="12" t="s">
        <v>58</v>
      </c>
      <c r="I46" s="12" t="s">
        <v>59</v>
      </c>
      <c r="J46" s="12" t="s">
        <v>60</v>
      </c>
      <c r="K46" s="37" t="s">
        <v>40</v>
      </c>
    </row>
    <row r="47" spans="2:11">
      <c r="B47" s="71" t="s">
        <v>62</v>
      </c>
      <c r="C47" s="14">
        <v>1500</v>
      </c>
      <c r="D47" s="15">
        <v>2000</v>
      </c>
      <c r="E47" s="15">
        <v>2700</v>
      </c>
      <c r="F47" s="15">
        <v>1400</v>
      </c>
      <c r="G47" s="15">
        <v>1800</v>
      </c>
      <c r="H47" s="15">
        <v>1000</v>
      </c>
      <c r="I47" s="15">
        <v>500</v>
      </c>
      <c r="J47" s="15">
        <v>1200</v>
      </c>
      <c r="K47" s="42">
        <v>12100</v>
      </c>
    </row>
    <row r="48" spans="2:11">
      <c r="B48" s="71" t="s">
        <v>63</v>
      </c>
      <c r="C48" s="14">
        <v>1200</v>
      </c>
      <c r="D48" s="15">
        <v>1500</v>
      </c>
      <c r="E48" s="15">
        <v>2900</v>
      </c>
      <c r="F48" s="15">
        <v>1600</v>
      </c>
      <c r="G48" s="15">
        <v>2100</v>
      </c>
      <c r="H48" s="15">
        <v>1500</v>
      </c>
      <c r="I48" s="15">
        <v>1000</v>
      </c>
      <c r="J48" s="15">
        <v>1500</v>
      </c>
      <c r="K48" s="42">
        <v>13300</v>
      </c>
    </row>
    <row r="49" spans="2:11">
      <c r="B49" s="71" t="s">
        <v>64</v>
      </c>
      <c r="C49" s="14">
        <v>900</v>
      </c>
      <c r="D49" s="15">
        <v>1000</v>
      </c>
      <c r="E49" s="15">
        <v>3100</v>
      </c>
      <c r="F49" s="15">
        <v>1800</v>
      </c>
      <c r="G49" s="15">
        <v>2400</v>
      </c>
      <c r="H49" s="15">
        <v>2000</v>
      </c>
      <c r="I49" s="15">
        <v>1500</v>
      </c>
      <c r="J49" s="15">
        <v>1800</v>
      </c>
      <c r="K49" s="42">
        <v>14500</v>
      </c>
    </row>
    <row r="50" spans="2:11">
      <c r="B50" s="72" t="s">
        <v>65</v>
      </c>
      <c r="C50" s="17">
        <v>500</v>
      </c>
      <c r="D50" s="18">
        <v>500</v>
      </c>
      <c r="E50" s="18">
        <v>3300</v>
      </c>
      <c r="F50" s="18">
        <v>2000</v>
      </c>
      <c r="G50" s="18">
        <v>2700</v>
      </c>
      <c r="H50" s="18">
        <v>3000</v>
      </c>
      <c r="I50" s="18">
        <v>2000</v>
      </c>
      <c r="J50" s="18">
        <v>2200</v>
      </c>
      <c r="K50" s="43">
        <v>16200</v>
      </c>
    </row>
    <row r="51" spans="2:11"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2:11"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2:11">
      <c r="B53" s="9" t="s">
        <v>68</v>
      </c>
      <c r="C53" s="10"/>
      <c r="D53" s="10"/>
      <c r="E53" s="10"/>
      <c r="F53" s="10"/>
      <c r="G53" s="10"/>
      <c r="H53" s="10"/>
      <c r="I53" s="10"/>
      <c r="J53" s="10"/>
      <c r="K53" s="36"/>
    </row>
    <row r="54" spans="2:11">
      <c r="B54" s="11" t="s">
        <v>39</v>
      </c>
      <c r="C54" s="20" t="s">
        <v>11</v>
      </c>
      <c r="D54" s="12" t="s">
        <v>12</v>
      </c>
      <c r="E54" s="12" t="s">
        <v>13</v>
      </c>
      <c r="F54" s="12" t="s">
        <v>14</v>
      </c>
      <c r="G54" s="12" t="s">
        <v>15</v>
      </c>
      <c r="H54" s="12" t="s">
        <v>58</v>
      </c>
      <c r="I54" s="12" t="s">
        <v>59</v>
      </c>
      <c r="J54" s="12" t="s">
        <v>60</v>
      </c>
      <c r="K54" s="37" t="s">
        <v>46</v>
      </c>
    </row>
    <row r="55" spans="2:19">
      <c r="B55" s="71" t="s">
        <v>62</v>
      </c>
      <c r="C55" s="26">
        <v>0.15</v>
      </c>
      <c r="D55" s="27">
        <v>0.2</v>
      </c>
      <c r="E55" s="27">
        <v>0.2</v>
      </c>
      <c r="F55" s="27">
        <v>0.12</v>
      </c>
      <c r="G55" s="27">
        <v>0.18</v>
      </c>
      <c r="H55" s="27">
        <v>0.25</v>
      </c>
      <c r="I55" s="27">
        <v>0.15</v>
      </c>
      <c r="J55" s="27">
        <v>0.08</v>
      </c>
      <c r="K55" s="44">
        <f t="shared" ref="K55:K59" si="1">AVERAGE(C55:J55)</f>
        <v>0.16625</v>
      </c>
      <c r="L55">
        <f t="shared" ref="L55:S55" si="2">C55*C47</f>
        <v>225</v>
      </c>
      <c r="M55">
        <f t="shared" si="2"/>
        <v>400</v>
      </c>
      <c r="N55">
        <f t="shared" si="2"/>
        <v>540</v>
      </c>
      <c r="O55">
        <f t="shared" si="2"/>
        <v>168</v>
      </c>
      <c r="P55">
        <f t="shared" si="2"/>
        <v>324</v>
      </c>
      <c r="Q55">
        <f t="shared" si="2"/>
        <v>250</v>
      </c>
      <c r="R55">
        <f t="shared" si="2"/>
        <v>75</v>
      </c>
      <c r="S55">
        <f t="shared" si="2"/>
        <v>96</v>
      </c>
    </row>
    <row r="56" spans="2:19">
      <c r="B56" s="71" t="s">
        <v>63</v>
      </c>
      <c r="C56" s="26">
        <v>0.15</v>
      </c>
      <c r="D56" s="28">
        <v>0.2</v>
      </c>
      <c r="E56" s="28">
        <v>0.2</v>
      </c>
      <c r="F56" s="28">
        <v>0.12</v>
      </c>
      <c r="G56" s="28">
        <v>0.18</v>
      </c>
      <c r="H56" s="28">
        <v>0.25</v>
      </c>
      <c r="I56" s="28">
        <v>0.15</v>
      </c>
      <c r="J56" s="28">
        <v>0.08</v>
      </c>
      <c r="K56" s="44">
        <f t="shared" si="1"/>
        <v>0.16625</v>
      </c>
      <c r="L56">
        <f t="shared" ref="L56:S56" si="3">C56*C48</f>
        <v>180</v>
      </c>
      <c r="M56">
        <f t="shared" si="3"/>
        <v>300</v>
      </c>
      <c r="N56">
        <f t="shared" si="3"/>
        <v>580</v>
      </c>
      <c r="O56">
        <f t="shared" si="3"/>
        <v>192</v>
      </c>
      <c r="P56">
        <f t="shared" si="3"/>
        <v>378</v>
      </c>
      <c r="Q56">
        <f t="shared" si="3"/>
        <v>375</v>
      </c>
      <c r="R56">
        <f t="shared" si="3"/>
        <v>150</v>
      </c>
      <c r="S56">
        <f t="shared" si="3"/>
        <v>120</v>
      </c>
    </row>
    <row r="57" spans="2:19">
      <c r="B57" s="71" t="s">
        <v>64</v>
      </c>
      <c r="C57" s="26">
        <v>0.15</v>
      </c>
      <c r="D57" s="28">
        <v>0.2</v>
      </c>
      <c r="E57" s="28">
        <v>0.2</v>
      </c>
      <c r="F57" s="28">
        <v>0.12</v>
      </c>
      <c r="G57" s="28">
        <v>0.18</v>
      </c>
      <c r="H57" s="28">
        <v>0.25</v>
      </c>
      <c r="I57" s="28">
        <v>0.15</v>
      </c>
      <c r="J57" s="28">
        <v>0.08</v>
      </c>
      <c r="K57" s="44">
        <f t="shared" si="1"/>
        <v>0.16625</v>
      </c>
      <c r="L57">
        <f t="shared" ref="L57:S57" si="4">C57*C49</f>
        <v>135</v>
      </c>
      <c r="M57">
        <f t="shared" si="4"/>
        <v>200</v>
      </c>
      <c r="N57">
        <f t="shared" si="4"/>
        <v>620</v>
      </c>
      <c r="O57">
        <f t="shared" si="4"/>
        <v>216</v>
      </c>
      <c r="P57">
        <f t="shared" si="4"/>
        <v>432</v>
      </c>
      <c r="Q57">
        <f t="shared" si="4"/>
        <v>500</v>
      </c>
      <c r="R57">
        <f t="shared" si="4"/>
        <v>225</v>
      </c>
      <c r="S57">
        <f t="shared" si="4"/>
        <v>144</v>
      </c>
    </row>
    <row r="58" spans="2:19">
      <c r="B58" s="72" t="s">
        <v>65</v>
      </c>
      <c r="C58" s="26">
        <v>0.15</v>
      </c>
      <c r="D58" s="28">
        <v>0.2</v>
      </c>
      <c r="E58" s="28">
        <v>0.2</v>
      </c>
      <c r="F58" s="28">
        <v>0.12</v>
      </c>
      <c r="G58" s="28">
        <v>0.18</v>
      </c>
      <c r="H58" s="28">
        <v>0.25</v>
      </c>
      <c r="I58" s="28">
        <v>0.15</v>
      </c>
      <c r="J58" s="28">
        <v>0.08</v>
      </c>
      <c r="K58" s="44">
        <f t="shared" si="1"/>
        <v>0.16625</v>
      </c>
      <c r="L58">
        <f t="shared" ref="L58:S58" si="5">C58*C50</f>
        <v>75</v>
      </c>
      <c r="M58">
        <f t="shared" si="5"/>
        <v>100</v>
      </c>
      <c r="N58">
        <f t="shared" si="5"/>
        <v>660</v>
      </c>
      <c r="O58">
        <f t="shared" si="5"/>
        <v>240</v>
      </c>
      <c r="P58">
        <f t="shared" si="5"/>
        <v>486</v>
      </c>
      <c r="Q58">
        <f t="shared" si="5"/>
        <v>750</v>
      </c>
      <c r="R58">
        <f t="shared" si="5"/>
        <v>300</v>
      </c>
      <c r="S58">
        <f t="shared" si="5"/>
        <v>176</v>
      </c>
    </row>
    <row r="59" spans="2:11">
      <c r="B59" s="16">
        <v>2029</v>
      </c>
      <c r="C59" s="29">
        <v>0.15</v>
      </c>
      <c r="D59" s="30">
        <v>0.2</v>
      </c>
      <c r="E59" s="30">
        <v>0.2</v>
      </c>
      <c r="F59" s="30">
        <v>0.12</v>
      </c>
      <c r="G59" s="30">
        <v>0.18</v>
      </c>
      <c r="H59" s="30">
        <v>0.25</v>
      </c>
      <c r="I59" s="30">
        <v>0.15</v>
      </c>
      <c r="J59" s="30">
        <v>0.08</v>
      </c>
      <c r="K59" s="45">
        <f t="shared" si="1"/>
        <v>0.16625</v>
      </c>
    </row>
    <row r="61" spans="2:15"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54</v>
      </c>
      <c r="J61" t="s">
        <v>69</v>
      </c>
      <c r="M61" t="s">
        <v>37</v>
      </c>
      <c r="O61" t="s">
        <v>38</v>
      </c>
    </row>
    <row r="62" spans="2:15">
      <c r="B62" t="s">
        <v>16</v>
      </c>
      <c r="C62" s="31">
        <f t="shared" ref="C62:C81" si="6">SUMPRODUCT($C$31:$J$31,M5:T5)</f>
        <v>1357200</v>
      </c>
      <c r="D62">
        <f t="shared" ref="D62:D81" si="7">C62*J5/0.9/0.98</f>
        <v>19619387.755102</v>
      </c>
      <c r="E62">
        <f t="shared" ref="E62:E81" si="8">C62+2.576*M62</f>
        <v>1422215.30059917</v>
      </c>
      <c r="F62">
        <f t="shared" ref="F62:F81" si="9">E62*J5/0.9/0.98</f>
        <v>20559234.787573</v>
      </c>
      <c r="G62">
        <f t="shared" ref="G62:G81" si="10">SUMPRODUCT($C$47:$J$47,M5:T5)</f>
        <v>26100</v>
      </c>
      <c r="H62">
        <f t="shared" ref="H62:H81" si="11">G62*J5/0.9/0.95</f>
        <v>389210.526315789</v>
      </c>
      <c r="I62">
        <f t="shared" ref="I62:I81" si="12">G62+2.576*O62</f>
        <v>37364.848</v>
      </c>
      <c r="J62">
        <f t="shared" ref="J62:J81" si="13">I62*J5/0.9/0.98</f>
        <v>540138.108843537</v>
      </c>
      <c r="L62">
        <v>1</v>
      </c>
      <c r="M62">
        <f t="shared" ref="M62:M81" si="14">SQRT(SUMPRODUCT($C$39:$J$39*M5:T5)^2)</f>
        <v>25238.8589282479</v>
      </c>
      <c r="O62">
        <f t="shared" ref="O62:O81" si="15">SQRT(SUMPRODUCT($L$55:$S$55*M5:T5)^2)</f>
        <v>4373</v>
      </c>
    </row>
    <row r="63" spans="2:15">
      <c r="B63" t="s">
        <v>17</v>
      </c>
      <c r="C63" s="31">
        <f t="shared" si="6"/>
        <v>800800</v>
      </c>
      <c r="D63">
        <f t="shared" si="7"/>
        <v>7036507.93650794</v>
      </c>
      <c r="E63">
        <f t="shared" si="8"/>
        <v>841202.365372339</v>
      </c>
      <c r="F63">
        <f t="shared" si="9"/>
        <v>7391517.38280684</v>
      </c>
      <c r="G63">
        <f t="shared" si="10"/>
        <v>15400</v>
      </c>
      <c r="H63">
        <f t="shared" si="11"/>
        <v>139590.643274854</v>
      </c>
      <c r="I63">
        <f t="shared" si="12"/>
        <v>21613.312</v>
      </c>
      <c r="J63">
        <f t="shared" si="13"/>
        <v>189912.888888889</v>
      </c>
      <c r="L63">
        <v>2</v>
      </c>
      <c r="M63">
        <f t="shared" si="14"/>
        <v>15684.1480482684</v>
      </c>
      <c r="O63">
        <f t="shared" si="15"/>
        <v>2412</v>
      </c>
    </row>
    <row r="64" spans="2:15">
      <c r="B64" t="s">
        <v>18</v>
      </c>
      <c r="C64" s="31">
        <f t="shared" si="6"/>
        <v>655200</v>
      </c>
      <c r="D64">
        <f t="shared" si="7"/>
        <v>7057142.85714286</v>
      </c>
      <c r="E64">
        <f t="shared" si="8"/>
        <v>692815.995346661</v>
      </c>
      <c r="F64">
        <f t="shared" si="9"/>
        <v>7462303.80475428</v>
      </c>
      <c r="G64">
        <f t="shared" si="10"/>
        <v>12600</v>
      </c>
      <c r="H64">
        <f t="shared" si="11"/>
        <v>140000</v>
      </c>
      <c r="I64">
        <f t="shared" si="12"/>
        <v>17473.792</v>
      </c>
      <c r="J64">
        <f t="shared" si="13"/>
        <v>188209.777777778</v>
      </c>
      <c r="L64">
        <v>3</v>
      </c>
      <c r="M64">
        <f t="shared" si="14"/>
        <v>14602.4826656292</v>
      </c>
      <c r="O64">
        <f t="shared" si="15"/>
        <v>1892</v>
      </c>
    </row>
    <row r="65" spans="2:15">
      <c r="B65" t="s">
        <v>19</v>
      </c>
      <c r="C65" s="31">
        <f t="shared" si="6"/>
        <v>530400</v>
      </c>
      <c r="D65">
        <f t="shared" si="7"/>
        <v>4510204.08163265</v>
      </c>
      <c r="E65">
        <f t="shared" si="8"/>
        <v>558263.700256786</v>
      </c>
      <c r="F65">
        <f t="shared" si="9"/>
        <v>4747140.308306</v>
      </c>
      <c r="G65">
        <f t="shared" si="10"/>
        <v>10200</v>
      </c>
      <c r="H65">
        <f t="shared" si="11"/>
        <v>89473.6842105263</v>
      </c>
      <c r="I65">
        <f t="shared" si="12"/>
        <v>14878.016</v>
      </c>
      <c r="J65">
        <f t="shared" si="13"/>
        <v>126513.741496599</v>
      </c>
      <c r="L65">
        <v>4</v>
      </c>
      <c r="M65">
        <f t="shared" si="14"/>
        <v>10816.653826392</v>
      </c>
      <c r="O65">
        <f t="shared" si="15"/>
        <v>1816</v>
      </c>
    </row>
    <row r="66" spans="2:15">
      <c r="B66" t="s">
        <v>20</v>
      </c>
      <c r="C66" s="31">
        <f t="shared" si="6"/>
        <v>462800</v>
      </c>
      <c r="D66">
        <f t="shared" si="7"/>
        <v>3935374.14965986</v>
      </c>
      <c r="E66">
        <f t="shared" si="8"/>
        <v>486948.540222548</v>
      </c>
      <c r="F66">
        <f t="shared" si="9"/>
        <v>4140718.87944343</v>
      </c>
      <c r="G66">
        <f t="shared" si="10"/>
        <v>8900</v>
      </c>
      <c r="H66">
        <f t="shared" si="11"/>
        <v>78070.1754385965</v>
      </c>
      <c r="I66">
        <f t="shared" si="12"/>
        <v>13549.68</v>
      </c>
      <c r="J66">
        <f t="shared" si="13"/>
        <v>115218.367346939</v>
      </c>
      <c r="L66">
        <v>5</v>
      </c>
      <c r="M66">
        <f t="shared" si="14"/>
        <v>9374.43331620637</v>
      </c>
      <c r="O66">
        <f t="shared" si="15"/>
        <v>1805</v>
      </c>
    </row>
    <row r="67" spans="2:15">
      <c r="B67" t="s">
        <v>21</v>
      </c>
      <c r="C67" s="31">
        <f t="shared" si="6"/>
        <v>452400</v>
      </c>
      <c r="D67">
        <f t="shared" si="7"/>
        <v>5385714.28571429</v>
      </c>
      <c r="E67">
        <f t="shared" si="8"/>
        <v>465867.455124113</v>
      </c>
      <c r="F67">
        <f t="shared" si="9"/>
        <v>5546041.13242992</v>
      </c>
      <c r="G67">
        <f t="shared" si="10"/>
        <v>8700</v>
      </c>
      <c r="H67">
        <f t="shared" si="11"/>
        <v>106842.105263158</v>
      </c>
      <c r="I67">
        <f t="shared" si="12"/>
        <v>11690.736</v>
      </c>
      <c r="J67">
        <f t="shared" si="13"/>
        <v>139175.428571429</v>
      </c>
      <c r="L67">
        <v>6</v>
      </c>
      <c r="M67">
        <f t="shared" si="14"/>
        <v>5228.04934942278</v>
      </c>
      <c r="O67">
        <f t="shared" si="15"/>
        <v>1161</v>
      </c>
    </row>
    <row r="68" spans="2:15">
      <c r="B68" t="s">
        <v>22</v>
      </c>
      <c r="C68" s="31">
        <f t="shared" si="6"/>
        <v>878800</v>
      </c>
      <c r="D68">
        <f t="shared" si="7"/>
        <v>9963718.82086168</v>
      </c>
      <c r="E68">
        <f t="shared" si="8"/>
        <v>908056.885269625</v>
      </c>
      <c r="F68">
        <f t="shared" si="9"/>
        <v>10295429.5382044</v>
      </c>
      <c r="G68">
        <f t="shared" si="10"/>
        <v>16900</v>
      </c>
      <c r="H68">
        <f t="shared" si="11"/>
        <v>197660.81871345</v>
      </c>
      <c r="I68">
        <f t="shared" si="12"/>
        <v>24800.592</v>
      </c>
      <c r="J68">
        <f t="shared" si="13"/>
        <v>281185.850340136</v>
      </c>
      <c r="L68">
        <v>7</v>
      </c>
      <c r="M68">
        <f t="shared" si="14"/>
        <v>11357.4865177116</v>
      </c>
      <c r="O68">
        <f t="shared" si="15"/>
        <v>3067</v>
      </c>
    </row>
    <row r="69" spans="2:15">
      <c r="B69" t="s">
        <v>23</v>
      </c>
      <c r="C69" s="31">
        <f t="shared" si="6"/>
        <v>634400</v>
      </c>
      <c r="D69">
        <f t="shared" si="7"/>
        <v>3416553.28798186</v>
      </c>
      <c r="E69">
        <f t="shared" si="8"/>
        <v>668300.835312423</v>
      </c>
      <c r="F69">
        <f t="shared" si="9"/>
        <v>3599125.81375738</v>
      </c>
      <c r="G69">
        <f t="shared" si="10"/>
        <v>12200</v>
      </c>
      <c r="H69">
        <f t="shared" si="11"/>
        <v>67777.7777777778</v>
      </c>
      <c r="I69">
        <f t="shared" si="12"/>
        <v>16347.36</v>
      </c>
      <c r="J69">
        <f t="shared" si="13"/>
        <v>88038.5034013605</v>
      </c>
      <c r="L69">
        <v>8</v>
      </c>
      <c r="M69">
        <f t="shared" si="14"/>
        <v>13160.2621554436</v>
      </c>
      <c r="O69">
        <f t="shared" si="15"/>
        <v>1610</v>
      </c>
    </row>
    <row r="70" spans="2:15">
      <c r="B70" t="s">
        <v>24</v>
      </c>
      <c r="C70" s="31">
        <f t="shared" si="6"/>
        <v>592800</v>
      </c>
      <c r="D70">
        <f t="shared" si="7"/>
        <v>5712925.17006803</v>
      </c>
      <c r="E70">
        <f t="shared" si="8"/>
        <v>622521.280273905</v>
      </c>
      <c r="F70">
        <f t="shared" si="9"/>
        <v>5999354.7418687</v>
      </c>
      <c r="G70">
        <f t="shared" si="10"/>
        <v>11400</v>
      </c>
      <c r="H70">
        <f t="shared" si="11"/>
        <v>113333.333333333</v>
      </c>
      <c r="I70">
        <f t="shared" si="12"/>
        <v>17273.28</v>
      </c>
      <c r="J70">
        <f t="shared" si="13"/>
        <v>166465.850340136</v>
      </c>
      <c r="L70">
        <v>9</v>
      </c>
      <c r="M70">
        <f t="shared" si="14"/>
        <v>11537.7640814848</v>
      </c>
      <c r="O70">
        <f t="shared" si="15"/>
        <v>2280</v>
      </c>
    </row>
    <row r="71" spans="2:15">
      <c r="B71" t="s">
        <v>25</v>
      </c>
      <c r="C71" s="31">
        <f t="shared" si="6"/>
        <v>353600</v>
      </c>
      <c r="D71">
        <f t="shared" si="7"/>
        <v>2605895.69160998</v>
      </c>
      <c r="E71">
        <f t="shared" si="8"/>
        <v>370782.615158351</v>
      </c>
      <c r="F71">
        <f t="shared" si="9"/>
        <v>2732524.94164318</v>
      </c>
      <c r="G71">
        <f t="shared" si="10"/>
        <v>6800</v>
      </c>
      <c r="H71">
        <f t="shared" si="11"/>
        <v>51695.9064327485</v>
      </c>
      <c r="I71">
        <f t="shared" si="12"/>
        <v>9450.704</v>
      </c>
      <c r="J71">
        <f t="shared" si="13"/>
        <v>69648.0453514739</v>
      </c>
      <c r="L71">
        <v>10</v>
      </c>
      <c r="M71">
        <f t="shared" si="14"/>
        <v>6670.26985960838</v>
      </c>
      <c r="O71">
        <f t="shared" si="15"/>
        <v>1029</v>
      </c>
    </row>
    <row r="72" spans="2:15">
      <c r="B72" t="s">
        <v>26</v>
      </c>
      <c r="C72" s="31">
        <f t="shared" si="6"/>
        <v>790400</v>
      </c>
      <c r="D72">
        <f t="shared" si="7"/>
        <v>3584580.49886621</v>
      </c>
      <c r="E72">
        <f t="shared" si="8"/>
        <v>827551.600342381</v>
      </c>
      <c r="F72">
        <f t="shared" si="9"/>
        <v>3753068.48227837</v>
      </c>
      <c r="G72">
        <f t="shared" si="10"/>
        <v>15200</v>
      </c>
      <c r="H72">
        <f t="shared" si="11"/>
        <v>71111.1111111111</v>
      </c>
      <c r="I72">
        <f t="shared" si="12"/>
        <v>22660.096</v>
      </c>
      <c r="J72">
        <f t="shared" si="13"/>
        <v>102766.875283447</v>
      </c>
      <c r="L72">
        <v>11</v>
      </c>
      <c r="M72">
        <f t="shared" si="14"/>
        <v>14422.205101856</v>
      </c>
      <c r="O72">
        <f t="shared" si="15"/>
        <v>2896</v>
      </c>
    </row>
    <row r="73" spans="2:15">
      <c r="B73" t="s">
        <v>27</v>
      </c>
      <c r="C73" s="31">
        <f t="shared" si="6"/>
        <v>946400</v>
      </c>
      <c r="D73">
        <f t="shared" si="7"/>
        <v>6438095.23809524</v>
      </c>
      <c r="E73">
        <f t="shared" si="8"/>
        <v>990981.920410857</v>
      </c>
      <c r="F73">
        <f t="shared" si="9"/>
        <v>6741373.60823712</v>
      </c>
      <c r="G73">
        <f t="shared" si="10"/>
        <v>18200</v>
      </c>
      <c r="H73">
        <f t="shared" si="11"/>
        <v>127719.298245614</v>
      </c>
      <c r="I73">
        <f t="shared" si="12"/>
        <v>26561.696</v>
      </c>
      <c r="J73">
        <f t="shared" si="13"/>
        <v>180691.80952381</v>
      </c>
      <c r="L73">
        <v>12</v>
      </c>
      <c r="M73">
        <f t="shared" si="14"/>
        <v>17306.6461222272</v>
      </c>
      <c r="O73">
        <f t="shared" si="15"/>
        <v>3246</v>
      </c>
    </row>
    <row r="74" spans="2:15">
      <c r="B74" t="s">
        <v>28</v>
      </c>
      <c r="C74" s="31">
        <f t="shared" si="6"/>
        <v>473200</v>
      </c>
      <c r="D74">
        <f t="shared" si="7"/>
        <v>4023809.52380952</v>
      </c>
      <c r="E74">
        <f t="shared" si="8"/>
        <v>495490.960205429</v>
      </c>
      <c r="F74">
        <f t="shared" si="9"/>
        <v>4213358.5051482</v>
      </c>
      <c r="G74">
        <f t="shared" si="10"/>
        <v>9100</v>
      </c>
      <c r="H74">
        <f t="shared" si="11"/>
        <v>79824.5614035088</v>
      </c>
      <c r="I74">
        <f t="shared" si="12"/>
        <v>13409.648</v>
      </c>
      <c r="J74">
        <f t="shared" si="13"/>
        <v>114027.619047619</v>
      </c>
      <c r="L74">
        <v>13</v>
      </c>
      <c r="M74">
        <f t="shared" si="14"/>
        <v>8653.32306111357</v>
      </c>
      <c r="O74">
        <f t="shared" si="15"/>
        <v>1673</v>
      </c>
    </row>
    <row r="75" spans="2:15">
      <c r="B75" t="s">
        <v>29</v>
      </c>
      <c r="C75" s="31">
        <f t="shared" si="6"/>
        <v>1279200</v>
      </c>
      <c r="D75">
        <f t="shared" si="7"/>
        <v>6889115.6462585</v>
      </c>
      <c r="E75">
        <f t="shared" si="8"/>
        <v>1329354.66046221</v>
      </c>
      <c r="F75">
        <f t="shared" si="9"/>
        <v>7159222.94466612</v>
      </c>
      <c r="G75">
        <f t="shared" si="10"/>
        <v>24600</v>
      </c>
      <c r="H75">
        <f t="shared" si="11"/>
        <v>136666.666666667</v>
      </c>
      <c r="I75">
        <f t="shared" si="12"/>
        <v>35027.648</v>
      </c>
      <c r="J75">
        <f t="shared" si="13"/>
        <v>188640.961451247</v>
      </c>
      <c r="L75">
        <v>14</v>
      </c>
      <c r="M75">
        <f t="shared" si="14"/>
        <v>19469.9768875055</v>
      </c>
      <c r="O75">
        <f t="shared" si="15"/>
        <v>4048</v>
      </c>
    </row>
    <row r="76" spans="2:15">
      <c r="B76" t="s">
        <v>30</v>
      </c>
      <c r="C76" s="31">
        <f t="shared" si="6"/>
        <v>312000</v>
      </c>
      <c r="D76">
        <f t="shared" si="7"/>
        <v>2653061.2244898</v>
      </c>
      <c r="E76">
        <f t="shared" si="8"/>
        <v>330111.405166911</v>
      </c>
      <c r="F76">
        <f t="shared" si="9"/>
        <v>2807069.77182747</v>
      </c>
      <c r="G76">
        <f t="shared" si="10"/>
        <v>6000</v>
      </c>
      <c r="H76">
        <f t="shared" si="11"/>
        <v>52631.5789473684</v>
      </c>
      <c r="I76">
        <f t="shared" si="12"/>
        <v>8400.832</v>
      </c>
      <c r="J76">
        <f t="shared" si="13"/>
        <v>71435.6462585034</v>
      </c>
      <c r="L76">
        <v>15</v>
      </c>
      <c r="M76">
        <f t="shared" si="14"/>
        <v>7030.82498715478</v>
      </c>
      <c r="O76">
        <f t="shared" si="15"/>
        <v>932</v>
      </c>
    </row>
    <row r="77" spans="2:15">
      <c r="B77" t="s">
        <v>31</v>
      </c>
      <c r="C77" s="31">
        <f t="shared" si="6"/>
        <v>665600</v>
      </c>
      <c r="D77">
        <f t="shared" si="7"/>
        <v>7546485.26077097</v>
      </c>
      <c r="E77">
        <f t="shared" si="8"/>
        <v>699036.440308143</v>
      </c>
      <c r="F77">
        <f t="shared" si="9"/>
        <v>7925583.22344833</v>
      </c>
      <c r="G77">
        <f t="shared" si="10"/>
        <v>12800</v>
      </c>
      <c r="H77">
        <f t="shared" si="11"/>
        <v>149707.602339181</v>
      </c>
      <c r="I77">
        <f t="shared" si="12"/>
        <v>19394.56</v>
      </c>
      <c r="J77">
        <f t="shared" si="13"/>
        <v>219892.970521542</v>
      </c>
      <c r="L77">
        <v>16</v>
      </c>
      <c r="M77">
        <f t="shared" si="14"/>
        <v>12979.9845916704</v>
      </c>
      <c r="O77">
        <f t="shared" si="15"/>
        <v>2560</v>
      </c>
    </row>
    <row r="78" spans="2:15">
      <c r="B78" t="s">
        <v>32</v>
      </c>
      <c r="C78" s="31">
        <f t="shared" si="6"/>
        <v>561600</v>
      </c>
      <c r="D78">
        <f t="shared" si="7"/>
        <v>4616326.53061225</v>
      </c>
      <c r="E78">
        <f t="shared" si="8"/>
        <v>587141.725235387</v>
      </c>
      <c r="F78">
        <f t="shared" si="9"/>
        <v>4826278.35369224</v>
      </c>
      <c r="G78">
        <f t="shared" si="10"/>
        <v>10800</v>
      </c>
      <c r="H78">
        <f t="shared" si="11"/>
        <v>91578.9473684211</v>
      </c>
      <c r="I78">
        <f t="shared" si="12"/>
        <v>15550.144</v>
      </c>
      <c r="J78">
        <f t="shared" si="13"/>
        <v>127821.47845805</v>
      </c>
      <c r="L78">
        <v>17</v>
      </c>
      <c r="M78">
        <f t="shared" si="14"/>
        <v>9915.26600752597</v>
      </c>
      <c r="O78">
        <f t="shared" si="15"/>
        <v>1844</v>
      </c>
    </row>
    <row r="79" spans="2:15">
      <c r="B79" t="s">
        <v>33</v>
      </c>
      <c r="C79" s="31">
        <f t="shared" si="6"/>
        <v>920400</v>
      </c>
      <c r="D79">
        <f t="shared" si="7"/>
        <v>6522108.84353741</v>
      </c>
      <c r="E79">
        <f t="shared" si="8"/>
        <v>959409.1803595</v>
      </c>
      <c r="F79">
        <f t="shared" si="9"/>
        <v>6798534.44132299</v>
      </c>
      <c r="G79">
        <f t="shared" si="10"/>
        <v>17700</v>
      </c>
      <c r="H79">
        <f t="shared" si="11"/>
        <v>129385.964912281</v>
      </c>
      <c r="I79">
        <f t="shared" si="12"/>
        <v>25610.896</v>
      </c>
      <c r="J79">
        <f t="shared" si="13"/>
        <v>181483.106575964</v>
      </c>
      <c r="L79">
        <v>18</v>
      </c>
      <c r="M79">
        <f t="shared" si="14"/>
        <v>15143.3153569488</v>
      </c>
      <c r="O79">
        <f t="shared" si="15"/>
        <v>3071</v>
      </c>
    </row>
    <row r="80" spans="2:15">
      <c r="B80" t="s">
        <v>34</v>
      </c>
      <c r="C80" s="31">
        <f t="shared" si="6"/>
        <v>1341600</v>
      </c>
      <c r="D80">
        <f t="shared" si="7"/>
        <v>15971428.5714286</v>
      </c>
      <c r="E80">
        <f t="shared" si="8"/>
        <v>1404293.32557777</v>
      </c>
      <c r="F80">
        <f t="shared" si="9"/>
        <v>16717777.6854496</v>
      </c>
      <c r="G80">
        <f t="shared" si="10"/>
        <v>25800</v>
      </c>
      <c r="H80">
        <f t="shared" si="11"/>
        <v>316842.105263158</v>
      </c>
      <c r="I80">
        <f t="shared" si="12"/>
        <v>36732.544</v>
      </c>
      <c r="J80">
        <f t="shared" si="13"/>
        <v>437292.19047619</v>
      </c>
      <c r="L80">
        <v>19</v>
      </c>
      <c r="M80">
        <f t="shared" si="14"/>
        <v>24337.4711093819</v>
      </c>
      <c r="O80">
        <f t="shared" si="15"/>
        <v>4244</v>
      </c>
    </row>
    <row r="81" spans="2:15">
      <c r="B81" t="s">
        <v>35</v>
      </c>
      <c r="C81" s="31">
        <f t="shared" si="6"/>
        <v>1097200</v>
      </c>
      <c r="D81">
        <f t="shared" si="7"/>
        <v>7152947.84580499</v>
      </c>
      <c r="E81">
        <f t="shared" si="8"/>
        <v>1146425.87045365</v>
      </c>
      <c r="F81">
        <f t="shared" si="9"/>
        <v>7473864.80171033</v>
      </c>
      <c r="G81">
        <f t="shared" si="10"/>
        <v>21100</v>
      </c>
      <c r="H81">
        <f t="shared" si="11"/>
        <v>141900.584795322</v>
      </c>
      <c r="I81">
        <f t="shared" si="12"/>
        <v>29621.408</v>
      </c>
      <c r="J81">
        <f t="shared" si="13"/>
        <v>193110.0861678</v>
      </c>
      <c r="L81">
        <v>20</v>
      </c>
      <c r="M81">
        <f t="shared" si="14"/>
        <v>19109.4217599591</v>
      </c>
      <c r="O81">
        <f t="shared" si="15"/>
        <v>3308</v>
      </c>
    </row>
    <row r="82" spans="2:10">
      <c r="B82" t="s">
        <v>56</v>
      </c>
      <c r="C82" s="31">
        <f t="shared" ref="C82:J82" si="16">SUM(C62:C81)</f>
        <v>15106000</v>
      </c>
      <c r="D82" s="31">
        <f t="shared" si="16"/>
        <v>134641383.219955</v>
      </c>
      <c r="E82" s="31">
        <f t="shared" si="16"/>
        <v>15806772.0614582</v>
      </c>
      <c r="F82" s="31">
        <f t="shared" si="16"/>
        <v>140889523.148568</v>
      </c>
      <c r="G82" s="31">
        <f t="shared" si="16"/>
        <v>290500</v>
      </c>
      <c r="H82" s="31">
        <f t="shared" si="16"/>
        <v>2671023.39181287</v>
      </c>
      <c r="I82" s="31">
        <f t="shared" si="16"/>
        <v>417411.792</v>
      </c>
      <c r="J82" s="31">
        <f t="shared" si="16"/>
        <v>3721669.30612245</v>
      </c>
    </row>
    <row r="85" spans="2:6">
      <c r="B85" t="s">
        <v>47</v>
      </c>
      <c r="C85" t="s">
        <v>50</v>
      </c>
      <c r="E85" t="s">
        <v>47</v>
      </c>
      <c r="F85" t="s">
        <v>51</v>
      </c>
    </row>
    <row r="86" spans="2:6">
      <c r="B86" t="s">
        <v>16</v>
      </c>
      <c r="C86">
        <v>3897840</v>
      </c>
      <c r="E86" t="s">
        <v>16</v>
      </c>
      <c r="F86">
        <v>56346326.5306122</v>
      </c>
    </row>
    <row r="87" spans="2:6">
      <c r="B87" t="s">
        <v>34</v>
      </c>
      <c r="C87">
        <v>3719040</v>
      </c>
      <c r="E87" t="s">
        <v>34</v>
      </c>
      <c r="F87">
        <v>44274285.7142857</v>
      </c>
    </row>
    <row r="88" spans="2:6">
      <c r="B88" t="s">
        <v>29</v>
      </c>
      <c r="C88">
        <v>3361440</v>
      </c>
      <c r="E88" t="s">
        <v>22</v>
      </c>
      <c r="F88">
        <v>29191836.7346939</v>
      </c>
    </row>
    <row r="89" spans="2:6">
      <c r="B89" t="s">
        <v>35</v>
      </c>
      <c r="C89">
        <v>2753520</v>
      </c>
      <c r="E89" t="s">
        <v>31</v>
      </c>
      <c r="F89">
        <v>25137414.9659864</v>
      </c>
    </row>
    <row r="90" spans="2:6">
      <c r="B90" t="s">
        <v>22</v>
      </c>
      <c r="C90">
        <v>2574720</v>
      </c>
      <c r="E90" t="s">
        <v>17</v>
      </c>
      <c r="F90">
        <v>18224625.8503401</v>
      </c>
    </row>
    <row r="91" spans="2:6">
      <c r="B91" t="s">
        <v>31</v>
      </c>
      <c r="C91">
        <v>2217120</v>
      </c>
      <c r="E91" t="s">
        <v>29</v>
      </c>
      <c r="F91">
        <v>18102993.1972789</v>
      </c>
    </row>
    <row r="92" spans="2:6">
      <c r="B92" t="s">
        <v>33</v>
      </c>
      <c r="C92">
        <v>2217120</v>
      </c>
      <c r="E92" t="s">
        <v>35</v>
      </c>
      <c r="F92">
        <v>17950952.3809524</v>
      </c>
    </row>
    <row r="93" spans="2:6">
      <c r="B93" t="s">
        <v>17</v>
      </c>
      <c r="C93">
        <v>2074080</v>
      </c>
      <c r="E93" t="s">
        <v>24</v>
      </c>
      <c r="F93">
        <v>15852789.1156463</v>
      </c>
    </row>
    <row r="94" spans="2:6">
      <c r="B94" t="s">
        <v>27</v>
      </c>
      <c r="C94">
        <v>1859520</v>
      </c>
      <c r="E94" t="s">
        <v>33</v>
      </c>
      <c r="F94">
        <v>15710884.3537415</v>
      </c>
    </row>
    <row r="95" spans="2:6">
      <c r="B95" t="s">
        <v>19</v>
      </c>
      <c r="C95">
        <v>1716480</v>
      </c>
      <c r="E95" t="s">
        <v>19</v>
      </c>
      <c r="F95">
        <v>14595918.3673469</v>
      </c>
    </row>
    <row r="96" spans="2:6">
      <c r="B96" t="s">
        <v>24</v>
      </c>
      <c r="C96">
        <v>1644960</v>
      </c>
      <c r="E96" t="s">
        <v>27</v>
      </c>
      <c r="F96">
        <v>12649795.9183673</v>
      </c>
    </row>
    <row r="97" spans="2:6">
      <c r="B97" t="s">
        <v>26</v>
      </c>
      <c r="C97">
        <v>1501920</v>
      </c>
      <c r="E97" t="s">
        <v>18</v>
      </c>
      <c r="F97">
        <v>12325442.1768707</v>
      </c>
    </row>
    <row r="98" spans="2:6">
      <c r="B98" t="s">
        <v>20</v>
      </c>
      <c r="C98">
        <v>1287360</v>
      </c>
      <c r="E98" t="s">
        <v>20</v>
      </c>
      <c r="F98">
        <v>10946938.7755102</v>
      </c>
    </row>
    <row r="99" spans="2:6">
      <c r="B99" t="s">
        <v>18</v>
      </c>
      <c r="C99">
        <v>1144320</v>
      </c>
      <c r="E99" t="s">
        <v>21</v>
      </c>
      <c r="F99">
        <v>8940000</v>
      </c>
    </row>
    <row r="100" spans="2:6">
      <c r="B100" t="s">
        <v>28</v>
      </c>
      <c r="C100">
        <v>929760</v>
      </c>
      <c r="E100" t="s">
        <v>28</v>
      </c>
      <c r="F100">
        <v>7906122.44897959</v>
      </c>
    </row>
    <row r="101" spans="2:6">
      <c r="B101" t="s">
        <v>32</v>
      </c>
      <c r="C101">
        <v>929760</v>
      </c>
      <c r="E101" t="s">
        <v>32</v>
      </c>
      <c r="F101">
        <v>7642585.03401361</v>
      </c>
    </row>
    <row r="102" spans="2:6">
      <c r="B102" t="s">
        <v>23</v>
      </c>
      <c r="C102">
        <v>858240</v>
      </c>
      <c r="E102" t="s">
        <v>26</v>
      </c>
      <c r="F102">
        <v>6811428.57142857</v>
      </c>
    </row>
    <row r="103" spans="2:6">
      <c r="B103" t="s">
        <v>25</v>
      </c>
      <c r="C103">
        <v>858240</v>
      </c>
      <c r="E103" t="s">
        <v>25</v>
      </c>
      <c r="F103">
        <v>6324897.95918367</v>
      </c>
    </row>
    <row r="104" spans="2:6">
      <c r="B104" t="s">
        <v>21</v>
      </c>
      <c r="C104">
        <v>750960</v>
      </c>
      <c r="E104" t="s">
        <v>23</v>
      </c>
      <c r="F104">
        <v>4622040.81632653</v>
      </c>
    </row>
    <row r="105" spans="2:6">
      <c r="B105" t="s">
        <v>30</v>
      </c>
      <c r="C105">
        <v>429120</v>
      </c>
      <c r="E105" t="s">
        <v>30</v>
      </c>
      <c r="F105">
        <v>3648979.59183673</v>
      </c>
    </row>
  </sheetData>
  <mergeCells count="6">
    <mergeCell ref="C3:I3"/>
    <mergeCell ref="M3:T3"/>
    <mergeCell ref="B29:K29"/>
    <mergeCell ref="B37:K37"/>
    <mergeCell ref="B45:K45"/>
    <mergeCell ref="B53:K5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Year 1</vt:lpstr>
      <vt:lpstr>Year 2</vt:lpstr>
      <vt:lpstr>Year 3</vt:lpstr>
      <vt:lpstr>Year 4</vt:lpstr>
      <vt:lpstr>Year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Wenting</dc:creator>
  <cp:lastModifiedBy>凯昕</cp:lastModifiedBy>
  <dcterms:created xsi:type="dcterms:W3CDTF">2025-11-01T12:41:00Z</dcterms:created>
  <dcterms:modified xsi:type="dcterms:W3CDTF">2025-11-12T16:11:59Z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1033-6.0.1.8148</vt:lpwstr>
  </property>
  <property fmtid="{D5CDD505-2E9C-101B-9397-08002B2CF9AE}" pid="3" name="ICV">
    <vt:lpwstr>8A592C1FF49F66BCEBE81469027772D7_42</vt:lpwstr>
  </property>
</Properties>
</file>
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_Yang\Desktop\美國留學\Georgia_Tech\課程\Warehouse\Casework3\"/>
    </mc:Choice>
  </mc:AlternateContent>
  <xr:revisionPtr revIDLastSave="0" documentId="13_ncr:1_{4E231D4B-225B-4D0E-9355-44CD2D5248DC}" xr6:coauthVersionLast="47" xr6:coauthVersionMax="47" xr10:uidLastSave="{00000000-0000-0000-0000-000000000000}"/>
  <bookViews>
    <workbookView xWindow="-28920" yWindow="555" windowWidth="29040" windowHeight="15720" xr2:uid="{AEFDE3CB-B5A8-4972-A660-8EDC68B2F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1" i="1"/>
  <c r="Q20" i="1"/>
  <c r="Q19" i="1"/>
  <c r="Q18" i="1"/>
  <c r="Q17" i="1"/>
  <c r="L35" i="1" l="1"/>
  <c r="L37" i="1" s="1"/>
  <c r="L51" i="1"/>
  <c r="L53" i="1" s="1"/>
  <c r="L67" i="1"/>
  <c r="L69" i="1"/>
  <c r="E78" i="1"/>
  <c r="E77" i="1"/>
  <c r="E76" i="1"/>
  <c r="E75" i="1"/>
  <c r="I70" i="1"/>
  <c r="J70" i="1" s="1"/>
  <c r="E73" i="1"/>
  <c r="E67" i="1"/>
  <c r="I68" i="1"/>
  <c r="I54" i="1"/>
  <c r="J54" i="1" s="1"/>
  <c r="I53" i="1"/>
  <c r="J53" i="1" s="1"/>
  <c r="I52" i="1"/>
  <c r="J52" i="1" s="1"/>
  <c r="J55" i="1" s="1"/>
  <c r="L19" i="1"/>
  <c r="L21" i="1"/>
  <c r="E79" i="1"/>
  <c r="E74" i="1"/>
  <c r="E72" i="1"/>
  <c r="E71" i="1"/>
  <c r="E70" i="1"/>
  <c r="E69" i="1"/>
  <c r="E68" i="1"/>
  <c r="E63" i="1"/>
  <c r="E62" i="1"/>
  <c r="E61" i="1"/>
  <c r="J57" i="1" s="1"/>
  <c r="E60" i="1"/>
  <c r="E59" i="1"/>
  <c r="E58" i="1"/>
  <c r="E57" i="1"/>
  <c r="E56" i="1"/>
  <c r="E55" i="1"/>
  <c r="E54" i="1"/>
  <c r="E53" i="1"/>
  <c r="E52" i="1"/>
  <c r="E51" i="1"/>
  <c r="I50" i="1"/>
  <c r="E47" i="1"/>
  <c r="E46" i="1"/>
  <c r="E45" i="1"/>
  <c r="E44" i="1"/>
  <c r="E43" i="1"/>
  <c r="E42" i="1"/>
  <c r="J41" i="1"/>
  <c r="E41" i="1"/>
  <c r="E40" i="1"/>
  <c r="E39" i="1"/>
  <c r="J38" i="1"/>
  <c r="I38" i="1"/>
  <c r="E38" i="1"/>
  <c r="I37" i="1"/>
  <c r="J37" i="1" s="1"/>
  <c r="E37" i="1"/>
  <c r="I36" i="1"/>
  <c r="J36" i="1" s="1"/>
  <c r="J39" i="1" s="1"/>
  <c r="E36" i="1"/>
  <c r="E35" i="1"/>
  <c r="E31" i="1"/>
  <c r="E30" i="1"/>
  <c r="E29" i="1"/>
  <c r="E28" i="1"/>
  <c r="E27" i="1"/>
  <c r="E26" i="1"/>
  <c r="E25" i="1"/>
  <c r="J25" i="1" s="1"/>
  <c r="E24" i="1"/>
  <c r="E23" i="1"/>
  <c r="I22" i="1"/>
  <c r="J22" i="1" s="1"/>
  <c r="E22" i="1"/>
  <c r="I21" i="1"/>
  <c r="J21" i="1" s="1"/>
  <c r="E21" i="1"/>
  <c r="I20" i="1"/>
  <c r="J20" i="1" s="1"/>
  <c r="J23" i="1" s="1"/>
  <c r="E20" i="1"/>
  <c r="E19" i="1"/>
  <c r="E15" i="1"/>
  <c r="E14" i="1"/>
  <c r="E13" i="1"/>
  <c r="E12" i="1"/>
  <c r="E11" i="1"/>
  <c r="E10" i="1"/>
  <c r="J9" i="1"/>
  <c r="E9" i="1"/>
  <c r="E8" i="1"/>
  <c r="E7" i="1"/>
  <c r="J6" i="1"/>
  <c r="E6" i="1"/>
  <c r="L5" i="1"/>
  <c r="J5" i="1"/>
  <c r="E5" i="1"/>
  <c r="J4" i="1"/>
  <c r="E4" i="1"/>
  <c r="L3" i="1"/>
  <c r="E3" i="1"/>
  <c r="I69" i="1" l="1"/>
  <c r="J69" i="1" s="1"/>
  <c r="J73" i="1"/>
  <c r="J45" i="1"/>
  <c r="J68" i="1"/>
  <c r="J61" i="1"/>
  <c r="J29" i="1"/>
  <c r="J7" i="1"/>
  <c r="J13" i="1" s="1"/>
  <c r="J71" i="1" l="1"/>
  <c r="J77" i="1" s="1"/>
</calcChain>
</file>

<file path=xl/sharedStrings.xml><?xml version="1.0" encoding="utf-8"?>
<sst xmlns="http://schemas.openxmlformats.org/spreadsheetml/2006/main" count="192" uniqueCount="42">
  <si>
    <t>Equipment</t>
    <phoneticPr fontId="2" type="noConversion"/>
  </si>
  <si>
    <t>Amount</t>
    <phoneticPr fontId="2" type="noConversion"/>
  </si>
  <si>
    <t>Installed Price</t>
    <phoneticPr fontId="2" type="noConversion"/>
  </si>
  <si>
    <t>Useful life</t>
    <phoneticPr fontId="2" type="noConversion"/>
  </si>
  <si>
    <t>Equipment Cost</t>
  </si>
  <si>
    <t>utilization</t>
    <phoneticPr fontId="2" type="noConversion"/>
  </si>
  <si>
    <t>Work minutes</t>
    <phoneticPr fontId="2" type="noConversion"/>
  </si>
  <si>
    <t>2 Shift</t>
    <phoneticPr fontId="2" type="noConversion"/>
  </si>
  <si>
    <t>A</t>
    <phoneticPr fontId="2" type="noConversion"/>
  </si>
  <si>
    <t>Operator cost</t>
    <phoneticPr fontId="2" type="noConversion"/>
  </si>
  <si>
    <t>Area</t>
  </si>
  <si>
    <t>B</t>
    <phoneticPr fontId="2" type="noConversion"/>
  </si>
  <si>
    <t>C1</t>
    <phoneticPr fontId="2" type="noConversion"/>
  </si>
  <si>
    <t>Per_SQFT</t>
  </si>
  <si>
    <t>C</t>
    <phoneticPr fontId="2" type="noConversion"/>
  </si>
  <si>
    <t>C2</t>
    <phoneticPr fontId="2" type="noConversion"/>
  </si>
  <si>
    <t>Total Land Fee</t>
  </si>
  <si>
    <t>D</t>
    <phoneticPr fontId="2" type="noConversion"/>
  </si>
  <si>
    <t>C3</t>
    <phoneticPr fontId="2" type="noConversion"/>
  </si>
  <si>
    <t>E</t>
    <phoneticPr fontId="2" type="noConversion"/>
  </si>
  <si>
    <t>total</t>
    <phoneticPr fontId="2" type="noConversion"/>
  </si>
  <si>
    <t>F</t>
    <phoneticPr fontId="2" type="noConversion"/>
  </si>
  <si>
    <t>Operator</t>
  </si>
  <si>
    <t>Hourly Cost</t>
  </si>
  <si>
    <t>G</t>
    <phoneticPr fontId="2" type="noConversion"/>
  </si>
  <si>
    <t>C1</t>
  </si>
  <si>
    <t>H</t>
    <phoneticPr fontId="2" type="noConversion"/>
  </si>
  <si>
    <t>C2</t>
  </si>
  <si>
    <t>I</t>
    <phoneticPr fontId="2" type="noConversion"/>
  </si>
  <si>
    <t>C3</t>
  </si>
  <si>
    <t>J</t>
    <phoneticPr fontId="2" type="noConversion"/>
  </si>
  <si>
    <t>K</t>
    <phoneticPr fontId="2" type="noConversion"/>
  </si>
  <si>
    <t>Total</t>
    <phoneticPr fontId="2" type="noConversion"/>
  </si>
  <si>
    <t>L</t>
    <phoneticPr fontId="2" type="noConversion"/>
  </si>
  <si>
    <t>M</t>
    <phoneticPr fontId="2" type="noConversion"/>
  </si>
  <si>
    <t>Year1</t>
    <phoneticPr fontId="2" type="noConversion"/>
  </si>
  <si>
    <t>Year2</t>
    <phoneticPr fontId="2" type="noConversion"/>
  </si>
  <si>
    <t>Year3</t>
    <phoneticPr fontId="2" type="noConversion"/>
  </si>
  <si>
    <t>Year4</t>
    <phoneticPr fontId="2" type="noConversion"/>
  </si>
  <si>
    <t>Year5</t>
    <phoneticPr fontId="2" type="noConversion"/>
  </si>
  <si>
    <t>Year</t>
    <phoneticPr fontId="2" type="noConversion"/>
  </si>
  <si>
    <t>Area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</si>
</sst>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([$$-409]* #,##0_);_([$$-409]* \(#,##0\);_([$$-409]* &quot;-&quot;_);_(@_)"/>
    <numFmt numFmtId="177" formatCode="_(* #,##0_);_(* \(#,##0\);_(* &quot;-&quot;??_);_(@_)"/>
    <numFmt numFmtId="178" formatCode="_(&quot;$&quot;* #,##0_);_(&quot;$&quot;* \(#,##0\);_(&quot;$&quot;* &quot;-&quot;??_);_(@_)"/>
  </numFmts>
  <fonts count="7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scheme val="minor"/>
    </font>
    <font>
      <sz val="1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0" fillId="3" borderId="0" xfId="0" applyFill="1">
      <alignment vertical="center"/>
    </xf>
    <xf numFmtId="0" fontId="0" fillId="2" borderId="5" xfId="0" applyFill="1" applyBorder="1">
      <alignment vertical="center"/>
    </xf>
    <xf numFmtId="0" fontId="0" fillId="4" borderId="4" xfId="0" applyFill="1" applyBorder="1">
      <alignment vertical="center"/>
    </xf>
    <xf numFmtId="176" fontId="0" fillId="4" borderId="6" xfId="0" applyNumberFormat="1" applyFill="1" applyBorder="1" applyAlignment="1">
      <alignment horizontal="center"/>
    </xf>
    <xf numFmtId="0" fontId="0" fillId="4" borderId="6" xfId="0" applyFill="1" applyBorder="1">
      <alignment vertical="center"/>
    </xf>
    <xf numFmtId="176" fontId="0" fillId="4" borderId="7" xfId="0" applyNumberFormat="1" applyFill="1" applyBorder="1">
      <alignment vertical="center"/>
    </xf>
    <xf numFmtId="10" fontId="0" fillId="4" borderId="3" xfId="0" applyNumberFormat="1" applyFill="1" applyBorder="1">
      <alignment vertical="center"/>
    </xf>
    <xf numFmtId="0" fontId="0" fillId="4" borderId="5" xfId="0" applyFill="1" applyBorder="1">
      <alignment vertical="center"/>
    </xf>
    <xf numFmtId="0" fontId="4" fillId="5" borderId="2" xfId="0" applyFont="1" applyFill="1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177" fontId="3" fillId="5" borderId="8" xfId="1" applyNumberFormat="1" applyFont="1" applyFill="1" applyBorder="1" applyAlignment="1">
      <alignment vertical="center"/>
    </xf>
    <xf numFmtId="176" fontId="0" fillId="4" borderId="0" xfId="0" applyNumberFormat="1" applyFill="1" applyAlignment="1">
      <alignment horizontal="center"/>
    </xf>
    <xf numFmtId="0" fontId="0" fillId="4" borderId="0" xfId="0" applyFill="1">
      <alignment vertical="center"/>
    </xf>
    <xf numFmtId="176" fontId="0" fillId="4" borderId="9" xfId="0" applyNumberFormat="1" applyFill="1" applyBorder="1">
      <alignment vertical="center"/>
    </xf>
    <xf numFmtId="10" fontId="0" fillId="4" borderId="5" xfId="0" applyNumberFormat="1" applyFill="1" applyBorder="1">
      <alignment vertical="center"/>
    </xf>
    <xf numFmtId="0" fontId="0" fillId="6" borderId="7" xfId="0" applyFill="1" applyBorder="1">
      <alignment vertical="center"/>
    </xf>
    <xf numFmtId="0" fontId="0" fillId="7" borderId="0" xfId="0" applyFill="1">
      <alignment vertical="center"/>
    </xf>
    <xf numFmtId="176" fontId="0" fillId="7" borderId="9" xfId="0" applyNumberFormat="1" applyFill="1" applyBorder="1">
      <alignment vertical="center"/>
    </xf>
    <xf numFmtId="0" fontId="0" fillId="7" borderId="4" xfId="0" applyFill="1" applyBorder="1">
      <alignment vertical="center"/>
    </xf>
    <xf numFmtId="177" fontId="0" fillId="7" borderId="7" xfId="1" applyNumberFormat="1" applyFont="1" applyFill="1" applyBorder="1" applyAlignment="1">
      <alignment vertical="center"/>
    </xf>
    <xf numFmtId="0" fontId="0" fillId="6" borderId="9" xfId="0" applyFill="1" applyBorder="1">
      <alignment vertical="center"/>
    </xf>
    <xf numFmtId="0" fontId="5" fillId="7" borderId="10" xfId="0" applyFont="1" applyFill="1" applyBorder="1">
      <alignment vertical="center"/>
    </xf>
    <xf numFmtId="177" fontId="5" fillId="7" borderId="11" xfId="1" applyNumberFormat="1" applyFont="1" applyFill="1" applyBorder="1" applyAlignment="1">
      <alignment vertical="center"/>
    </xf>
    <xf numFmtId="0" fontId="0" fillId="6" borderId="11" xfId="0" applyFill="1" applyBorder="1">
      <alignment vertical="center"/>
    </xf>
    <xf numFmtId="0" fontId="0" fillId="7" borderId="12" xfId="0" applyFill="1" applyBorder="1">
      <alignment vertical="center"/>
    </xf>
    <xf numFmtId="0" fontId="0" fillId="7" borderId="11" xfId="0" applyFill="1" applyBorder="1">
      <alignment vertical="center"/>
    </xf>
    <xf numFmtId="0" fontId="5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>
      <alignment vertical="center"/>
    </xf>
    <xf numFmtId="0" fontId="0" fillId="6" borderId="9" xfId="0" applyFill="1" applyBorder="1" applyAlignment="1">
      <alignment horizontal="center"/>
    </xf>
    <xf numFmtId="176" fontId="0" fillId="7" borderId="5" xfId="0" applyNumberFormat="1" applyFill="1" applyBorder="1" applyAlignment="1">
      <alignment horizontal="center"/>
    </xf>
    <xf numFmtId="178" fontId="0" fillId="7" borderId="10" xfId="0" applyNumberFormat="1" applyFill="1" applyBorder="1">
      <alignment vertical="center"/>
    </xf>
    <xf numFmtId="0" fontId="0" fillId="6" borderId="11" xfId="0" applyFill="1" applyBorder="1" applyAlignment="1">
      <alignment horizontal="center"/>
    </xf>
    <xf numFmtId="176" fontId="0" fillId="7" borderId="13" xfId="0" applyNumberFormat="1" applyFill="1" applyBorder="1" applyAlignment="1">
      <alignment horizontal="center"/>
    </xf>
    <xf numFmtId="0" fontId="0" fillId="8" borderId="0" xfId="0" applyFill="1">
      <alignment vertical="center"/>
    </xf>
    <xf numFmtId="178" fontId="0" fillId="8" borderId="0" xfId="0" applyNumberFormat="1" applyFill="1">
      <alignment vertical="center"/>
    </xf>
    <xf numFmtId="178" fontId="0" fillId="0" borderId="0" xfId="0" applyNumberFormat="1">
      <alignment vertical="center"/>
    </xf>
    <xf numFmtId="0" fontId="0" fillId="2" borderId="13" xfId="0" applyFill="1" applyBorder="1">
      <alignment vertical="center"/>
    </xf>
    <xf numFmtId="0" fontId="0" fillId="4" borderId="14" xfId="0" applyFill="1" applyBorder="1">
      <alignment vertical="center"/>
    </xf>
    <xf numFmtId="176" fontId="0" fillId="4" borderId="12" xfId="0" applyNumberFormat="1" applyFill="1" applyBorder="1" applyAlignment="1">
      <alignment horizontal="center"/>
    </xf>
    <xf numFmtId="0" fontId="0" fillId="4" borderId="12" xfId="0" applyFill="1" applyBorder="1">
      <alignment vertical="center"/>
    </xf>
    <xf numFmtId="176" fontId="0" fillId="4" borderId="11" xfId="0" applyNumberFormat="1" applyFill="1" applyBorder="1">
      <alignment vertical="center"/>
    </xf>
    <xf numFmtId="10" fontId="0" fillId="4" borderId="13" xfId="0" applyNumberFormat="1" applyFill="1" applyBorder="1">
      <alignment vertical="center"/>
    </xf>
    <xf numFmtId="0" fontId="0" fillId="4" borderId="13" xfId="0" applyFill="1" applyBorder="1">
      <alignment vertical="center"/>
    </xf>
    <xf numFmtId="0" fontId="6" fillId="9" borderId="0" xfId="0" applyFont="1" applyFill="1">
      <alignment vertical="center"/>
    </xf>
    <xf numFmtId="0" fontId="0" fillId="4" borderId="3" xfId="0" applyFill="1" applyBorder="1">
      <alignment vertical="center"/>
    </xf>
    <xf numFmtId="0" fontId="0" fillId="4" borderId="15" xfId="0" applyFill="1" applyBorder="1">
      <alignment vertical="center"/>
    </xf>
    <xf numFmtId="0" fontId="0" fillId="4" borderId="10" xfId="0" applyFill="1" applyBorder="1">
      <alignment vertical="center"/>
    </xf>
    <xf numFmtId="0" fontId="3" fillId="2" borderId="14" xfId="0" applyFont="1" applyFill="1" applyBorder="1">
      <alignment vertical="center"/>
    </xf>
    <xf numFmtId="176" fontId="0" fillId="4" borderId="6" xfId="0" applyNumberFormat="1" applyFill="1" applyBorder="1">
      <alignment vertical="center"/>
    </xf>
    <xf numFmtId="176" fontId="0" fillId="4" borderId="0" xfId="0" applyNumberFormat="1" applyFill="1">
      <alignment vertical="center"/>
    </xf>
    <xf numFmtId="176" fontId="0" fillId="4" borderId="12" xfId="0" applyNumberFormat="1" applyFill="1" applyBorder="1">
      <alignment vertical="center"/>
    </xf>
    <xf numFmtId="177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Sheet1!$Q$16</c:f>
              <c:strCache>
                <c:ptCount val="1"/>
                <c:pt idx="0">
                  <c:v>Area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Sheet1!$P$17:$P$20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Sheet1!$Q$17:$Q$20</c:f>
              <c:numCache>
                <c:formatCode>_(* #,##0_);_(* \(#,##0\);_(* "-"??_);_(@_)</c:formatCode>
                <c:ptCount val="4"/>
                <c:pt idx="0">
                  <c:v>712800</c:v>
                </c:pt>
                <c:pt idx="1">
                  <c:v>908250</c:v>
                </c:pt>
                <c:pt idx="2">
                  <c:v>994400</c:v>
                </c:pt>
                <c:pt idx="3">
                  <c:v>1197800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0-4A37-ABCB-D0B0A216C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460400"/>
        <c:axId val="1404464720"/>
      </c:lineChart>
      <c:catAx>
        <c:axId val="14044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Year</a:t>
                </a:r>
              </a:p>
            </c:rich>
          </c:tx>
          <c:layout>
            <c:manualLayout>
              <c:xMode val="edge"/>
              <c:yMode val="edge"/>
              <c:x val="0.476611550869874"/>
              <c:y val="0.894113517248267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4464720"/>
        <c:crosses val="autoZero"/>
        <c:auto val="1"/>
        <c:lblAlgn val="ctr"/>
        <c:lblOffset val="100"/>
        <c:noMultiLvlLbl val="0"/>
      </c:catAx>
      <c:valAx>
        <c:axId val="14044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(ft^2)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446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42333</xdr:colOff>
      <xdr:row>14</xdr:row>
      <xdr:rowOff>110066</xdr:rowOff>
    </xdr:from>
    <xdr:to>
      <xdr:col>26</xdr:col>
      <xdr:colOff>127000</xdr:colOff>
      <xdr:row>28</xdr:row>
      <xdr:rowOff>143932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A2B3E-79BC-338A-75F1-E65F22ECE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534B0-3752-45AB-974A-93277800F9BE}">
  <dimension ref="A1:Q79"/>
  <sheetViews>
    <sheetView tabSelected="1" topLeftCell="B1" zoomScale="91" workbookViewId="0">
      <selection activeCell="N13" sqref="N13"/>
    </sheetView>
  </sheetViews>
  <sheetFormatPr defaultRowHeight="14.5" x14ac:dyDescent="0.3"/>
  <cols>
    <col min="1" max="1" width="13.8984375" customWidth="1"/>
    <col min="3" max="3" width="14.3984375" customWidth="1"/>
    <col min="4" max="4" width="11.59765625" customWidth="1"/>
    <col min="5" max="5" width="15.19921875" customWidth="1"/>
    <col min="6" max="6" width="14.09765625" customWidth="1"/>
    <col min="7" max="7" width="25.296875" customWidth="1"/>
    <col min="10" max="10" width="21.59765625" customWidth="1"/>
    <col min="12" max="12" width="19.09765625" customWidth="1"/>
    <col min="14" max="14" width="14.69921875" bestFit="1" customWidth="1"/>
    <col min="17" max="17" width="13.5" customWidth="1"/>
  </cols>
  <sheetData>
    <row r="1" spans="1:17" x14ac:dyDescent="0.3">
      <c r="A1" s="51" t="s">
        <v>35</v>
      </c>
    </row>
    <row r="2" spans="1:17" ht="17" x14ac:dyDescent="0.3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4" t="s">
        <v>5</v>
      </c>
      <c r="G2" s="5" t="s">
        <v>6</v>
      </c>
      <c r="H2" s="6" t="s">
        <v>7</v>
      </c>
      <c r="I2">
        <v>4800</v>
      </c>
    </row>
    <row r="3" spans="1:17" ht="17" x14ac:dyDescent="0.3">
      <c r="A3" s="7" t="s">
        <v>8</v>
      </c>
      <c r="B3" s="8">
        <v>20</v>
      </c>
      <c r="C3" s="9">
        <v>150000</v>
      </c>
      <c r="D3" s="10">
        <v>10</v>
      </c>
      <c r="E3" s="11">
        <f>B3*C3/D3</f>
        <v>300000</v>
      </c>
      <c r="F3" s="12">
        <v>0.66197137188499178</v>
      </c>
      <c r="G3" s="13">
        <v>63549.251700959212</v>
      </c>
      <c r="H3" s="14"/>
      <c r="I3" s="15" t="s">
        <v>1</v>
      </c>
      <c r="J3" s="16" t="s">
        <v>9</v>
      </c>
      <c r="K3" s="14" t="s">
        <v>10</v>
      </c>
      <c r="L3" s="17">
        <f>550*880</f>
        <v>484000</v>
      </c>
    </row>
    <row r="4" spans="1:17" x14ac:dyDescent="0.3">
      <c r="A4" s="7" t="s">
        <v>11</v>
      </c>
      <c r="B4" s="8">
        <v>60</v>
      </c>
      <c r="C4" s="18">
        <v>200000</v>
      </c>
      <c r="D4" s="19">
        <v>10</v>
      </c>
      <c r="E4" s="20">
        <f t="shared" ref="E4:E15" si="0">B4*C4/D4</f>
        <v>1200000</v>
      </c>
      <c r="F4" s="21">
        <v>0.70659227051564799</v>
      </c>
      <c r="G4" s="13">
        <v>203498.57390850663</v>
      </c>
      <c r="H4" s="22" t="s">
        <v>12</v>
      </c>
      <c r="I4" s="23">
        <v>560</v>
      </c>
      <c r="J4" s="24">
        <f>I4*5*8*49*I9</f>
        <v>21952000</v>
      </c>
      <c r="K4" s="25" t="s">
        <v>13</v>
      </c>
      <c r="L4" s="26">
        <v>250</v>
      </c>
    </row>
    <row r="5" spans="1:17" ht="17" x14ac:dyDescent="0.3">
      <c r="A5" s="7" t="s">
        <v>14</v>
      </c>
      <c r="B5" s="8">
        <v>20</v>
      </c>
      <c r="C5" s="18">
        <v>250000</v>
      </c>
      <c r="D5" s="19">
        <v>10</v>
      </c>
      <c r="E5" s="20">
        <f t="shared" si="0"/>
        <v>500000</v>
      </c>
      <c r="F5" s="21">
        <v>0.54401320465304615</v>
      </c>
      <c r="G5" s="13">
        <v>52225.267646692431</v>
      </c>
      <c r="H5" s="27" t="s">
        <v>15</v>
      </c>
      <c r="I5" s="23">
        <v>240</v>
      </c>
      <c r="J5" s="24">
        <f>I5*5*8*49*I10</f>
        <v>18816000</v>
      </c>
      <c r="K5" s="28" t="s">
        <v>16</v>
      </c>
      <c r="L5" s="29">
        <f>L3*L4</f>
        <v>121000000</v>
      </c>
    </row>
    <row r="6" spans="1:17" x14ac:dyDescent="0.3">
      <c r="A6" s="7" t="s">
        <v>17</v>
      </c>
      <c r="B6" s="8">
        <v>80</v>
      </c>
      <c r="C6" s="18">
        <v>300000</v>
      </c>
      <c r="D6" s="19">
        <v>10</v>
      </c>
      <c r="E6" s="20">
        <f t="shared" si="0"/>
        <v>2400000</v>
      </c>
      <c r="F6" s="21">
        <v>0.74920638786701432</v>
      </c>
      <c r="G6" s="13">
        <v>287695.25294093351</v>
      </c>
      <c r="H6" s="27" t="s">
        <v>18</v>
      </c>
      <c r="I6" s="23">
        <v>820</v>
      </c>
      <c r="J6" s="24">
        <f>I6*5*8*49*I11</f>
        <v>96432000</v>
      </c>
    </row>
    <row r="7" spans="1:17" x14ac:dyDescent="0.3">
      <c r="A7" s="7" t="s">
        <v>19</v>
      </c>
      <c r="B7" s="8">
        <v>40</v>
      </c>
      <c r="C7" s="18">
        <v>400000</v>
      </c>
      <c r="D7" s="19">
        <v>10</v>
      </c>
      <c r="E7" s="20">
        <f t="shared" si="0"/>
        <v>1600000</v>
      </c>
      <c r="F7" s="21">
        <v>0.6574515311692718</v>
      </c>
      <c r="G7" s="13">
        <v>126230.69398450019</v>
      </c>
      <c r="H7" s="30" t="s">
        <v>20</v>
      </c>
      <c r="I7" s="31"/>
      <c r="J7" s="32">
        <f>SUM(J4:J6)</f>
        <v>137200000</v>
      </c>
    </row>
    <row r="8" spans="1:17" ht="17" x14ac:dyDescent="0.4">
      <c r="A8" s="7" t="s">
        <v>21</v>
      </c>
      <c r="B8" s="8">
        <v>40</v>
      </c>
      <c r="C8" s="18">
        <v>400000</v>
      </c>
      <c r="D8" s="19">
        <v>10</v>
      </c>
      <c r="E8" s="20">
        <f t="shared" si="0"/>
        <v>1600000</v>
      </c>
      <c r="F8" s="21">
        <v>0.77598033762809271</v>
      </c>
      <c r="G8" s="13">
        <v>148988.22482459381</v>
      </c>
      <c r="H8" s="33" t="s">
        <v>22</v>
      </c>
      <c r="I8" s="34" t="s">
        <v>23</v>
      </c>
      <c r="J8" s="35" t="s">
        <v>4</v>
      </c>
    </row>
    <row r="9" spans="1:17" x14ac:dyDescent="0.3">
      <c r="A9" s="7" t="s">
        <v>24</v>
      </c>
      <c r="B9" s="8">
        <v>20</v>
      </c>
      <c r="C9" s="18">
        <v>400000</v>
      </c>
      <c r="D9" s="19">
        <v>10</v>
      </c>
      <c r="E9" s="20">
        <f t="shared" si="0"/>
        <v>800000</v>
      </c>
      <c r="F9" s="21">
        <v>0.53422660212633488</v>
      </c>
      <c r="G9" s="13">
        <v>51285.753804128151</v>
      </c>
      <c r="H9" s="36" t="s">
        <v>25</v>
      </c>
      <c r="I9" s="37">
        <v>20</v>
      </c>
      <c r="J9" s="38">
        <f>SUM(E3:E15)</f>
        <v>17391666.666666664</v>
      </c>
    </row>
    <row r="10" spans="1:17" x14ac:dyDescent="0.3">
      <c r="A10" s="7" t="s">
        <v>26</v>
      </c>
      <c r="B10" s="8">
        <v>50</v>
      </c>
      <c r="C10" s="18">
        <v>1000000</v>
      </c>
      <c r="D10" s="19">
        <v>15</v>
      </c>
      <c r="E10" s="20">
        <f t="shared" si="0"/>
        <v>3333333.3333333335</v>
      </c>
      <c r="F10" s="21">
        <v>0.83546228136989209</v>
      </c>
      <c r="G10" s="13">
        <v>200510.94752877409</v>
      </c>
      <c r="H10" s="36" t="s">
        <v>27</v>
      </c>
      <c r="I10" s="37">
        <v>40</v>
      </c>
      <c r="N10" s="43"/>
    </row>
    <row r="11" spans="1:17" x14ac:dyDescent="0.3">
      <c r="A11" s="7" t="s">
        <v>28</v>
      </c>
      <c r="B11" s="8">
        <v>50</v>
      </c>
      <c r="C11" s="18">
        <v>500000</v>
      </c>
      <c r="D11" s="19">
        <v>15</v>
      </c>
      <c r="E11" s="20">
        <f t="shared" si="0"/>
        <v>1666666.6666666667</v>
      </c>
      <c r="F11" s="21">
        <v>0.74907497798820477</v>
      </c>
      <c r="G11" s="13">
        <v>179777.99471716915</v>
      </c>
      <c r="H11" s="39" t="s">
        <v>29</v>
      </c>
      <c r="I11" s="40">
        <v>60</v>
      </c>
      <c r="N11" s="43">
        <f>AVERAGE(J29,J45,J61,J77)</f>
        <v>520457916.66666669</v>
      </c>
    </row>
    <row r="12" spans="1:17" x14ac:dyDescent="0.3">
      <c r="A12" s="7" t="s">
        <v>30</v>
      </c>
      <c r="B12" s="8">
        <v>80</v>
      </c>
      <c r="C12" s="18">
        <v>500000</v>
      </c>
      <c r="D12" s="19">
        <v>15</v>
      </c>
      <c r="E12" s="20">
        <f t="shared" si="0"/>
        <v>2666666.6666666665</v>
      </c>
      <c r="F12" s="21">
        <v>0.82441110682577756</v>
      </c>
      <c r="G12" s="13">
        <v>316573.86502109858</v>
      </c>
    </row>
    <row r="13" spans="1:17" x14ac:dyDescent="0.3">
      <c r="A13" s="7" t="s">
        <v>31</v>
      </c>
      <c r="B13" s="8">
        <v>20</v>
      </c>
      <c r="C13" s="18">
        <v>80000</v>
      </c>
      <c r="D13" s="19">
        <v>8</v>
      </c>
      <c r="E13" s="20">
        <f t="shared" si="0"/>
        <v>200000</v>
      </c>
      <c r="F13" s="21">
        <v>0.40705128877692626</v>
      </c>
      <c r="G13" s="13">
        <v>39076.923722584921</v>
      </c>
      <c r="I13" s="41" t="s">
        <v>32</v>
      </c>
      <c r="J13" s="42">
        <f>J7+J9+L5</f>
        <v>275591666.66666663</v>
      </c>
      <c r="N13" s="59">
        <f>AVERAGE(L19,L35,L51,L67)</f>
        <v>953312.5</v>
      </c>
    </row>
    <row r="14" spans="1:17" x14ac:dyDescent="0.3">
      <c r="A14" s="7" t="s">
        <v>33</v>
      </c>
      <c r="B14" s="8">
        <v>50</v>
      </c>
      <c r="C14" s="18">
        <v>100000</v>
      </c>
      <c r="D14" s="19">
        <v>8</v>
      </c>
      <c r="E14" s="20">
        <f t="shared" si="0"/>
        <v>625000</v>
      </c>
      <c r="F14" s="21">
        <v>0.80781774722955146</v>
      </c>
      <c r="G14" s="13">
        <v>193876.25933509236</v>
      </c>
      <c r="K14" s="43"/>
    </row>
    <row r="15" spans="1:17" x14ac:dyDescent="0.3">
      <c r="A15" s="44" t="s">
        <v>34</v>
      </c>
      <c r="B15" s="45">
        <v>80</v>
      </c>
      <c r="C15" s="46">
        <v>50000</v>
      </c>
      <c r="D15" s="47">
        <v>8</v>
      </c>
      <c r="E15" s="48">
        <f t="shared" si="0"/>
        <v>500000</v>
      </c>
      <c r="F15" s="49">
        <v>0.80617071096727988</v>
      </c>
      <c r="G15" s="50">
        <v>309569.55301143549</v>
      </c>
    </row>
    <row r="16" spans="1:17" x14ac:dyDescent="0.3">
      <c r="P16" t="s">
        <v>40</v>
      </c>
      <c r="Q16" t="s">
        <v>41</v>
      </c>
    </row>
    <row r="17" spans="1:17" ht="17" x14ac:dyDescent="0.3">
      <c r="A17" s="51" t="s">
        <v>36</v>
      </c>
      <c r="P17">
        <v>2</v>
      </c>
      <c r="Q17" s="17">
        <f>810*880</f>
        <v>712800</v>
      </c>
    </row>
    <row r="18" spans="1:17" ht="17" x14ac:dyDescent="0.3">
      <c r="A18" s="1" t="s">
        <v>0</v>
      </c>
      <c r="B18" s="2" t="s">
        <v>1</v>
      </c>
      <c r="C18" s="2" t="s">
        <v>2</v>
      </c>
      <c r="D18" s="2" t="s">
        <v>3</v>
      </c>
      <c r="E18" s="3" t="s">
        <v>4</v>
      </c>
      <c r="F18" s="4" t="s">
        <v>5</v>
      </c>
      <c r="G18" s="5" t="s">
        <v>6</v>
      </c>
      <c r="H18" s="6" t="s">
        <v>7</v>
      </c>
      <c r="I18">
        <v>4800</v>
      </c>
      <c r="P18">
        <v>3</v>
      </c>
      <c r="Q18" s="17">
        <f>865*1050</f>
        <v>908250</v>
      </c>
    </row>
    <row r="19" spans="1:17" ht="17" x14ac:dyDescent="0.3">
      <c r="A19" s="7" t="s">
        <v>8</v>
      </c>
      <c r="B19" s="8">
        <v>30</v>
      </c>
      <c r="C19" s="9">
        <v>150000</v>
      </c>
      <c r="D19" s="10">
        <v>10</v>
      </c>
      <c r="E19" s="11">
        <f>B19*C19/D19</f>
        <v>450000</v>
      </c>
      <c r="F19" s="12">
        <v>0.58551606666650313</v>
      </c>
      <c r="G19" s="52">
        <v>84314.313599976449</v>
      </c>
      <c r="H19" s="14"/>
      <c r="I19" s="15" t="s">
        <v>1</v>
      </c>
      <c r="J19" s="16" t="s">
        <v>9</v>
      </c>
      <c r="K19" s="14" t="s">
        <v>10</v>
      </c>
      <c r="L19" s="17">
        <f>810*880</f>
        <v>712800</v>
      </c>
      <c r="P19">
        <v>4</v>
      </c>
      <c r="Q19" s="17">
        <f>1130*880</f>
        <v>994400</v>
      </c>
    </row>
    <row r="20" spans="1:17" ht="17" x14ac:dyDescent="0.3">
      <c r="A20" s="7" t="s">
        <v>11</v>
      </c>
      <c r="B20" s="53">
        <v>90</v>
      </c>
      <c r="C20" s="18">
        <v>200000</v>
      </c>
      <c r="D20" s="19">
        <v>10</v>
      </c>
      <c r="E20" s="20">
        <f t="shared" ref="E20:E31" si="1">B20*C20/D20</f>
        <v>1800000</v>
      </c>
      <c r="F20" s="21">
        <v>0.61690160537886929</v>
      </c>
      <c r="G20" s="13">
        <v>266501.49352367152</v>
      </c>
      <c r="H20" s="22" t="s">
        <v>12</v>
      </c>
      <c r="I20" s="23">
        <f>420*2</f>
        <v>840</v>
      </c>
      <c r="J20" s="24">
        <f>I20*5*8*49*I25</f>
        <v>32928000</v>
      </c>
      <c r="K20" s="25" t="s">
        <v>13</v>
      </c>
      <c r="L20" s="26">
        <v>250</v>
      </c>
      <c r="P20">
        <v>5</v>
      </c>
      <c r="Q20" s="17">
        <f>1130*1060</f>
        <v>1197800</v>
      </c>
    </row>
    <row r="21" spans="1:17" ht="17" x14ac:dyDescent="0.3">
      <c r="A21" s="7" t="s">
        <v>14</v>
      </c>
      <c r="B21" s="53">
        <v>30</v>
      </c>
      <c r="C21" s="18">
        <v>250000</v>
      </c>
      <c r="D21" s="19">
        <v>10</v>
      </c>
      <c r="E21" s="20">
        <f t="shared" si="1"/>
        <v>750000</v>
      </c>
      <c r="F21" s="21">
        <v>0.51183391804183687</v>
      </c>
      <c r="G21" s="13">
        <v>73704.084198024502</v>
      </c>
      <c r="H21" s="27" t="s">
        <v>15</v>
      </c>
      <c r="I21" s="23">
        <f>180*2</f>
        <v>360</v>
      </c>
      <c r="J21" s="24">
        <f>I21*5*8*49*I26</f>
        <v>28224000</v>
      </c>
      <c r="K21" s="28" t="s">
        <v>16</v>
      </c>
      <c r="L21" s="29">
        <f>L19*L20</f>
        <v>178200000</v>
      </c>
    </row>
    <row r="22" spans="1:17" x14ac:dyDescent="0.3">
      <c r="A22" s="7" t="s">
        <v>17</v>
      </c>
      <c r="B22" s="53">
        <v>120</v>
      </c>
      <c r="C22" s="18">
        <v>300000</v>
      </c>
      <c r="D22" s="19">
        <v>10</v>
      </c>
      <c r="E22" s="20">
        <f t="shared" si="1"/>
        <v>3600000</v>
      </c>
      <c r="F22" s="21">
        <v>0.6862259972197664</v>
      </c>
      <c r="G22" s="13">
        <v>395266.17439858546</v>
      </c>
      <c r="H22" s="27" t="s">
        <v>18</v>
      </c>
      <c r="I22" s="23">
        <f>615*2</f>
        <v>1230</v>
      </c>
      <c r="J22" s="24">
        <f>I22*5*8*49*I27</f>
        <v>144648000</v>
      </c>
    </row>
    <row r="23" spans="1:17" x14ac:dyDescent="0.3">
      <c r="A23" s="7" t="s">
        <v>19</v>
      </c>
      <c r="B23" s="53">
        <v>60</v>
      </c>
      <c r="C23" s="18">
        <v>400000</v>
      </c>
      <c r="D23" s="19">
        <v>10</v>
      </c>
      <c r="E23" s="20">
        <f t="shared" si="1"/>
        <v>2400000</v>
      </c>
      <c r="F23" s="21">
        <v>0.72509522575461938</v>
      </c>
      <c r="G23" s="13">
        <v>208827.42501733039</v>
      </c>
      <c r="H23" s="30" t="s">
        <v>20</v>
      </c>
      <c r="I23" s="31"/>
      <c r="J23" s="32">
        <f>SUM(J20:J22)</f>
        <v>205800000</v>
      </c>
    </row>
    <row r="24" spans="1:17" ht="17" x14ac:dyDescent="0.4">
      <c r="A24" s="7" t="s">
        <v>21</v>
      </c>
      <c r="B24" s="53">
        <v>60</v>
      </c>
      <c r="C24" s="18">
        <v>400000</v>
      </c>
      <c r="D24" s="19">
        <v>10</v>
      </c>
      <c r="E24" s="20">
        <f t="shared" si="1"/>
        <v>2400000</v>
      </c>
      <c r="F24" s="21">
        <v>0.74455788117998201</v>
      </c>
      <c r="G24" s="13">
        <v>214432.6697798348</v>
      </c>
      <c r="H24" s="33" t="s">
        <v>22</v>
      </c>
      <c r="I24" s="34" t="s">
        <v>23</v>
      </c>
      <c r="J24" s="35" t="s">
        <v>4</v>
      </c>
    </row>
    <row r="25" spans="1:17" x14ac:dyDescent="0.3">
      <c r="A25" s="7" t="s">
        <v>24</v>
      </c>
      <c r="B25" s="53">
        <v>30</v>
      </c>
      <c r="C25" s="18">
        <v>400000</v>
      </c>
      <c r="D25" s="19">
        <v>10</v>
      </c>
      <c r="E25" s="20">
        <f t="shared" si="1"/>
        <v>1200000</v>
      </c>
      <c r="F25" s="21">
        <v>0.56164250382306802</v>
      </c>
      <c r="G25" s="13">
        <v>80876.520550521789</v>
      </c>
      <c r="H25" s="36" t="s">
        <v>25</v>
      </c>
      <c r="I25" s="37">
        <v>20</v>
      </c>
      <c r="J25" s="38">
        <f>SUM(E19:E31)</f>
        <v>26087500</v>
      </c>
    </row>
    <row r="26" spans="1:17" x14ac:dyDescent="0.3">
      <c r="A26" s="7" t="s">
        <v>26</v>
      </c>
      <c r="B26" s="53">
        <v>75</v>
      </c>
      <c r="C26" s="18">
        <v>1000000</v>
      </c>
      <c r="D26" s="19">
        <v>15</v>
      </c>
      <c r="E26" s="20">
        <f t="shared" si="1"/>
        <v>5000000</v>
      </c>
      <c r="F26" s="21">
        <v>0.78168076926224395</v>
      </c>
      <c r="G26" s="13">
        <v>281405.07693440781</v>
      </c>
      <c r="H26" s="36" t="s">
        <v>27</v>
      </c>
      <c r="I26" s="37">
        <v>40</v>
      </c>
    </row>
    <row r="27" spans="1:17" x14ac:dyDescent="0.3">
      <c r="A27" s="7" t="s">
        <v>28</v>
      </c>
      <c r="B27" s="53">
        <v>75</v>
      </c>
      <c r="C27" s="18">
        <v>500000</v>
      </c>
      <c r="D27" s="19">
        <v>15</v>
      </c>
      <c r="E27" s="20">
        <f t="shared" si="1"/>
        <v>2500000</v>
      </c>
      <c r="F27" s="21">
        <v>0.74684278867168019</v>
      </c>
      <c r="G27" s="13">
        <v>268863.40392180486</v>
      </c>
      <c r="H27" s="39" t="s">
        <v>29</v>
      </c>
      <c r="I27" s="40">
        <v>60</v>
      </c>
    </row>
    <row r="28" spans="1:17" x14ac:dyDescent="0.3">
      <c r="A28" s="7" t="s">
        <v>30</v>
      </c>
      <c r="B28" s="53">
        <v>120</v>
      </c>
      <c r="C28" s="18">
        <v>500000</v>
      </c>
      <c r="D28" s="19">
        <v>15</v>
      </c>
      <c r="E28" s="20">
        <f t="shared" si="1"/>
        <v>4000000</v>
      </c>
      <c r="F28" s="21">
        <v>0.79828273399079486</v>
      </c>
      <c r="G28" s="13">
        <v>459810.85477869783</v>
      </c>
    </row>
    <row r="29" spans="1:17" x14ac:dyDescent="0.3">
      <c r="A29" s="7" t="s">
        <v>31</v>
      </c>
      <c r="B29" s="53">
        <v>30</v>
      </c>
      <c r="C29" s="18">
        <v>80000</v>
      </c>
      <c r="D29" s="19">
        <v>8</v>
      </c>
      <c r="E29" s="20">
        <f t="shared" si="1"/>
        <v>300000</v>
      </c>
      <c r="F29" s="21">
        <v>0.43142427773096381</v>
      </c>
      <c r="G29" s="13">
        <v>62125.095993258787</v>
      </c>
      <c r="I29" s="41" t="s">
        <v>32</v>
      </c>
      <c r="J29" s="42">
        <f>J23+J25+L21</f>
        <v>410087500</v>
      </c>
    </row>
    <row r="30" spans="1:17" x14ac:dyDescent="0.3">
      <c r="A30" s="7" t="s">
        <v>33</v>
      </c>
      <c r="B30" s="53">
        <v>75</v>
      </c>
      <c r="C30" s="18">
        <v>100000</v>
      </c>
      <c r="D30" s="19">
        <v>8</v>
      </c>
      <c r="E30" s="20">
        <f t="shared" si="1"/>
        <v>937500</v>
      </c>
      <c r="F30" s="21">
        <v>0.7707200395212499</v>
      </c>
      <c r="G30" s="13">
        <v>277459.21422764997</v>
      </c>
    </row>
    <row r="31" spans="1:17" x14ac:dyDescent="0.3">
      <c r="A31" s="44" t="s">
        <v>34</v>
      </c>
      <c r="B31" s="54">
        <v>120</v>
      </c>
      <c r="C31" s="46">
        <v>50000</v>
      </c>
      <c r="D31" s="47">
        <v>8</v>
      </c>
      <c r="E31" s="48">
        <f t="shared" si="1"/>
        <v>750000</v>
      </c>
      <c r="F31" s="49">
        <v>0.7681979304621307</v>
      </c>
      <c r="G31" s="50">
        <v>442482.00794618728</v>
      </c>
    </row>
    <row r="33" spans="1:12" x14ac:dyDescent="0.3">
      <c r="A33" s="51" t="s">
        <v>37</v>
      </c>
    </row>
    <row r="34" spans="1:12" ht="17" x14ac:dyDescent="0.3">
      <c r="A34" s="1" t="s">
        <v>0</v>
      </c>
      <c r="B34" s="2" t="s">
        <v>1</v>
      </c>
      <c r="C34" s="2" t="s">
        <v>2</v>
      </c>
      <c r="D34" s="2" t="s">
        <v>3</v>
      </c>
      <c r="E34" s="3" t="s">
        <v>4</v>
      </c>
      <c r="F34" s="4" t="s">
        <v>5</v>
      </c>
      <c r="G34" s="5" t="s">
        <v>6</v>
      </c>
      <c r="H34" s="6" t="s">
        <v>7</v>
      </c>
      <c r="I34">
        <v>4800</v>
      </c>
    </row>
    <row r="35" spans="1:12" ht="17" x14ac:dyDescent="0.3">
      <c r="A35" s="7" t="s">
        <v>8</v>
      </c>
      <c r="B35" s="8">
        <v>34</v>
      </c>
      <c r="C35" s="9">
        <v>150000</v>
      </c>
      <c r="D35" s="10">
        <v>10</v>
      </c>
      <c r="E35" s="11">
        <f>B35*C35/D35</f>
        <v>510000</v>
      </c>
      <c r="F35" s="12">
        <v>0.53641850276207137</v>
      </c>
      <c r="G35" s="52">
        <v>87543.499650770042</v>
      </c>
      <c r="H35" s="14"/>
      <c r="I35" s="15" t="s">
        <v>1</v>
      </c>
      <c r="J35" s="16" t="s">
        <v>9</v>
      </c>
      <c r="K35" s="14" t="s">
        <v>10</v>
      </c>
      <c r="L35" s="17">
        <f>865*1050</f>
        <v>908250</v>
      </c>
    </row>
    <row r="36" spans="1:12" x14ac:dyDescent="0.3">
      <c r="A36" s="7" t="s">
        <v>11</v>
      </c>
      <c r="B36" s="53">
        <v>102</v>
      </c>
      <c r="C36" s="18">
        <v>200000</v>
      </c>
      <c r="D36" s="19">
        <v>10</v>
      </c>
      <c r="E36" s="20">
        <f t="shared" ref="E36:E47" si="2">B36*C36/D36</f>
        <v>2040000</v>
      </c>
      <c r="F36" s="21">
        <v>0.59253963281975353</v>
      </c>
      <c r="G36" s="13">
        <v>290107.40422855131</v>
      </c>
      <c r="H36" s="22" t="s">
        <v>12</v>
      </c>
      <c r="I36" s="23">
        <f>476*2</f>
        <v>952</v>
      </c>
      <c r="J36" s="24">
        <f>I36*5*8*49*I41</f>
        <v>37318400</v>
      </c>
      <c r="K36" s="25" t="s">
        <v>13</v>
      </c>
      <c r="L36" s="26">
        <v>250</v>
      </c>
    </row>
    <row r="37" spans="1:12" ht="17" x14ac:dyDescent="0.3">
      <c r="A37" s="7" t="s">
        <v>14</v>
      </c>
      <c r="B37" s="53">
        <v>34</v>
      </c>
      <c r="C37" s="18">
        <v>250000</v>
      </c>
      <c r="D37" s="19">
        <v>10</v>
      </c>
      <c r="E37" s="20">
        <f t="shared" si="2"/>
        <v>850000</v>
      </c>
      <c r="F37" s="21">
        <v>0.49268809794802076</v>
      </c>
      <c r="G37" s="13">
        <v>80406.697585116985</v>
      </c>
      <c r="H37" s="27" t="s">
        <v>15</v>
      </c>
      <c r="I37" s="23">
        <f>204*2</f>
        <v>408</v>
      </c>
      <c r="J37" s="24">
        <f>I37*5*8*49*I42</f>
        <v>31987200</v>
      </c>
      <c r="K37" s="28" t="s">
        <v>16</v>
      </c>
      <c r="L37" s="29">
        <f>L35*L36</f>
        <v>227062500</v>
      </c>
    </row>
    <row r="38" spans="1:12" x14ac:dyDescent="0.3">
      <c r="A38" s="7" t="s">
        <v>17</v>
      </c>
      <c r="B38" s="53">
        <v>136</v>
      </c>
      <c r="C38" s="18">
        <v>300000</v>
      </c>
      <c r="D38" s="19">
        <v>10</v>
      </c>
      <c r="E38" s="20">
        <f t="shared" si="2"/>
        <v>4080000</v>
      </c>
      <c r="F38" s="21">
        <v>0.65345482407780719</v>
      </c>
      <c r="G38" s="13">
        <v>426575.30915799254</v>
      </c>
      <c r="H38" s="27" t="s">
        <v>18</v>
      </c>
      <c r="I38" s="23">
        <f>697*2</f>
        <v>1394</v>
      </c>
      <c r="J38" s="24">
        <f>I38*5*8*49*I43</f>
        <v>163934400</v>
      </c>
    </row>
    <row r="39" spans="1:12" x14ac:dyDescent="0.3">
      <c r="A39" s="7" t="s">
        <v>19</v>
      </c>
      <c r="B39" s="53">
        <v>68</v>
      </c>
      <c r="C39" s="18">
        <v>400000</v>
      </c>
      <c r="D39" s="19">
        <v>10</v>
      </c>
      <c r="E39" s="20">
        <f t="shared" si="2"/>
        <v>2720000</v>
      </c>
      <c r="F39" s="21">
        <v>0.73046454482248202</v>
      </c>
      <c r="G39" s="13">
        <v>238423.62743005814</v>
      </c>
      <c r="H39" s="30" t="s">
        <v>20</v>
      </c>
      <c r="I39" s="31"/>
      <c r="J39" s="32">
        <f>SUM(J36:J38)</f>
        <v>233240000</v>
      </c>
    </row>
    <row r="40" spans="1:12" ht="17" x14ac:dyDescent="0.4">
      <c r="A40" s="7" t="s">
        <v>21</v>
      </c>
      <c r="B40" s="53">
        <v>68</v>
      </c>
      <c r="C40" s="18">
        <v>400000</v>
      </c>
      <c r="D40" s="19">
        <v>10</v>
      </c>
      <c r="E40" s="20">
        <f t="shared" si="2"/>
        <v>2720000</v>
      </c>
      <c r="F40" s="21">
        <v>0.70654275618366202</v>
      </c>
      <c r="G40" s="13">
        <v>230615.55561834728</v>
      </c>
      <c r="H40" s="33" t="s">
        <v>22</v>
      </c>
      <c r="I40" s="34" t="s">
        <v>23</v>
      </c>
      <c r="J40" s="35" t="s">
        <v>4</v>
      </c>
    </row>
    <row r="41" spans="1:12" x14ac:dyDescent="0.3">
      <c r="A41" s="7" t="s">
        <v>24</v>
      </c>
      <c r="B41" s="53">
        <v>34</v>
      </c>
      <c r="C41" s="18">
        <v>400000</v>
      </c>
      <c r="D41" s="19">
        <v>10</v>
      </c>
      <c r="E41" s="20">
        <f t="shared" si="2"/>
        <v>1360000</v>
      </c>
      <c r="F41" s="21">
        <v>0.55885618174929219</v>
      </c>
      <c r="G41" s="13">
        <v>91205.328861484479</v>
      </c>
      <c r="H41" s="36" t="s">
        <v>25</v>
      </c>
      <c r="I41" s="37">
        <v>20</v>
      </c>
      <c r="J41" s="38">
        <f>SUM(E35:E47)</f>
        <v>29565833.333333332</v>
      </c>
    </row>
    <row r="42" spans="1:12" x14ac:dyDescent="0.3">
      <c r="A42" s="7" t="s">
        <v>26</v>
      </c>
      <c r="B42" s="53">
        <v>85</v>
      </c>
      <c r="C42" s="18">
        <v>1000000</v>
      </c>
      <c r="D42" s="19">
        <v>15</v>
      </c>
      <c r="E42" s="20">
        <f t="shared" si="2"/>
        <v>5666666.666666667</v>
      </c>
      <c r="F42" s="21">
        <v>0.75295332475704746</v>
      </c>
      <c r="G42" s="13">
        <v>307204.95650087536</v>
      </c>
      <c r="H42" s="36" t="s">
        <v>27</v>
      </c>
      <c r="I42" s="37">
        <v>40</v>
      </c>
    </row>
    <row r="43" spans="1:12" x14ac:dyDescent="0.3">
      <c r="A43" s="7" t="s">
        <v>28</v>
      </c>
      <c r="B43" s="53">
        <v>85</v>
      </c>
      <c r="C43" s="18">
        <v>500000</v>
      </c>
      <c r="D43" s="19">
        <v>15</v>
      </c>
      <c r="E43" s="20">
        <f t="shared" si="2"/>
        <v>2833333.3333333335</v>
      </c>
      <c r="F43" s="21">
        <v>0.74293497873368319</v>
      </c>
      <c r="G43" s="13">
        <v>303117.47132334276</v>
      </c>
      <c r="H43" s="39" t="s">
        <v>29</v>
      </c>
      <c r="I43" s="40">
        <v>60</v>
      </c>
    </row>
    <row r="44" spans="1:12" x14ac:dyDescent="0.3">
      <c r="A44" s="7" t="s">
        <v>30</v>
      </c>
      <c r="B44" s="53">
        <v>136</v>
      </c>
      <c r="C44" s="18">
        <v>500000</v>
      </c>
      <c r="D44" s="19">
        <v>15</v>
      </c>
      <c r="E44" s="20">
        <f t="shared" si="2"/>
        <v>4533333.333333333</v>
      </c>
      <c r="F44" s="21">
        <v>0.7761834996917224</v>
      </c>
      <c r="G44" s="13">
        <v>506692.58859875635</v>
      </c>
    </row>
    <row r="45" spans="1:12" x14ac:dyDescent="0.3">
      <c r="A45" s="7" t="s">
        <v>31</v>
      </c>
      <c r="B45" s="53">
        <v>34</v>
      </c>
      <c r="C45" s="18">
        <v>80000</v>
      </c>
      <c r="D45" s="19">
        <v>8</v>
      </c>
      <c r="E45" s="20">
        <f t="shared" si="2"/>
        <v>340000</v>
      </c>
      <c r="F45" s="21">
        <v>0.41821014342092772</v>
      </c>
      <c r="G45" s="13">
        <v>68251.8954062954</v>
      </c>
      <c r="I45" s="41" t="s">
        <v>32</v>
      </c>
      <c r="J45" s="42">
        <f>J39+J41+L37</f>
        <v>489868333.33333337</v>
      </c>
    </row>
    <row r="46" spans="1:12" x14ac:dyDescent="0.3">
      <c r="A46" s="7" t="s">
        <v>33</v>
      </c>
      <c r="B46" s="53">
        <v>85</v>
      </c>
      <c r="C46" s="18">
        <v>100000</v>
      </c>
      <c r="D46" s="19">
        <v>8</v>
      </c>
      <c r="E46" s="20">
        <f t="shared" si="2"/>
        <v>1062500</v>
      </c>
      <c r="F46" s="21">
        <v>0.74308706556431903</v>
      </c>
      <c r="G46" s="13">
        <v>303179.52275024215</v>
      </c>
    </row>
    <row r="47" spans="1:12" x14ac:dyDescent="0.3">
      <c r="A47" s="44" t="s">
        <v>34</v>
      </c>
      <c r="B47" s="54">
        <v>136</v>
      </c>
      <c r="C47" s="46">
        <v>50000</v>
      </c>
      <c r="D47" s="47">
        <v>8</v>
      </c>
      <c r="E47" s="48">
        <f t="shared" si="2"/>
        <v>850000</v>
      </c>
      <c r="F47" s="49">
        <v>0.73748470486914741</v>
      </c>
      <c r="G47" s="50">
        <v>481430.01533857943</v>
      </c>
    </row>
    <row r="49" spans="1:12" x14ac:dyDescent="0.3">
      <c r="A49" s="51" t="s">
        <v>38</v>
      </c>
    </row>
    <row r="50" spans="1:12" ht="17" x14ac:dyDescent="0.3">
      <c r="A50" s="1" t="s">
        <v>0</v>
      </c>
      <c r="B50" s="2" t="s">
        <v>1</v>
      </c>
      <c r="C50" s="2" t="s">
        <v>2</v>
      </c>
      <c r="D50" s="2" t="s">
        <v>3</v>
      </c>
      <c r="E50" s="3" t="s">
        <v>4</v>
      </c>
      <c r="F50" s="4" t="s">
        <v>5</v>
      </c>
      <c r="G50" s="55" t="s">
        <v>6</v>
      </c>
      <c r="H50" s="6" t="s">
        <v>7</v>
      </c>
      <c r="I50">
        <f>249600/52</f>
        <v>4800</v>
      </c>
    </row>
    <row r="51" spans="1:12" ht="17" x14ac:dyDescent="0.3">
      <c r="A51" s="7" t="s">
        <v>8</v>
      </c>
      <c r="B51" s="8">
        <v>38</v>
      </c>
      <c r="C51" s="9">
        <v>150000</v>
      </c>
      <c r="D51" s="10">
        <v>10</v>
      </c>
      <c r="E51" s="11">
        <f>B51*C51/D51</f>
        <v>570000</v>
      </c>
      <c r="F51" s="12">
        <v>0.47211910160322451</v>
      </c>
      <c r="G51" s="52">
        <v>95179.210883210064</v>
      </c>
      <c r="H51" s="14"/>
      <c r="I51" s="15" t="s">
        <v>1</v>
      </c>
      <c r="J51" s="16" t="s">
        <v>9</v>
      </c>
      <c r="K51" s="14" t="s">
        <v>10</v>
      </c>
      <c r="L51" s="17">
        <f>1130*880</f>
        <v>994400</v>
      </c>
    </row>
    <row r="52" spans="1:12" x14ac:dyDescent="0.3">
      <c r="A52" s="7" t="s">
        <v>11</v>
      </c>
      <c r="B52" s="53">
        <v>114</v>
      </c>
      <c r="C52" s="18">
        <v>200000</v>
      </c>
      <c r="D52" s="19">
        <v>10</v>
      </c>
      <c r="E52" s="20">
        <f t="shared" ref="E52:E63" si="3">B52*C52/D52</f>
        <v>2280000</v>
      </c>
      <c r="F52" s="21">
        <v>0.65808107327569687</v>
      </c>
      <c r="G52" s="13">
        <v>331672.8609309512</v>
      </c>
      <c r="H52" s="22" t="s">
        <v>12</v>
      </c>
      <c r="I52" s="23">
        <f>532*2</f>
        <v>1064</v>
      </c>
      <c r="J52" s="24">
        <f>I52*5*8*49*I57</f>
        <v>41708800</v>
      </c>
      <c r="K52" s="25" t="s">
        <v>13</v>
      </c>
      <c r="L52" s="26">
        <v>250</v>
      </c>
    </row>
    <row r="53" spans="1:12" ht="17" x14ac:dyDescent="0.3">
      <c r="A53" s="7" t="s">
        <v>14</v>
      </c>
      <c r="B53" s="53">
        <v>38</v>
      </c>
      <c r="C53" s="18">
        <v>250000</v>
      </c>
      <c r="D53" s="19">
        <v>10</v>
      </c>
      <c r="E53" s="20">
        <f t="shared" si="3"/>
        <v>950000</v>
      </c>
      <c r="F53" s="21">
        <v>0.44585344291153828</v>
      </c>
      <c r="G53" s="13">
        <v>89884.054090966121</v>
      </c>
      <c r="H53" s="27" t="s">
        <v>15</v>
      </c>
      <c r="I53" s="23">
        <f>228*2</f>
        <v>456</v>
      </c>
      <c r="J53" s="24">
        <f>I53*5*8*49*I58</f>
        <v>35750400</v>
      </c>
      <c r="K53" s="28" t="s">
        <v>16</v>
      </c>
      <c r="L53" s="29">
        <f>L51*L52</f>
        <v>248600000</v>
      </c>
    </row>
    <row r="54" spans="1:12" x14ac:dyDescent="0.3">
      <c r="A54" s="7" t="s">
        <v>17</v>
      </c>
      <c r="B54" s="53">
        <v>152</v>
      </c>
      <c r="C54" s="18">
        <v>300000</v>
      </c>
      <c r="D54" s="19">
        <v>10</v>
      </c>
      <c r="E54" s="20">
        <f t="shared" si="3"/>
        <v>4560000</v>
      </c>
      <c r="F54" s="21">
        <v>0.78358063343703233</v>
      </c>
      <c r="G54" s="13">
        <v>473909.56710271718</v>
      </c>
      <c r="H54" s="27" t="s">
        <v>18</v>
      </c>
      <c r="I54" s="23">
        <f>1558</f>
        <v>1558</v>
      </c>
      <c r="J54" s="24">
        <f>I54*5*8*49*I59</f>
        <v>183220800</v>
      </c>
    </row>
    <row r="55" spans="1:12" x14ac:dyDescent="0.3">
      <c r="A55" s="7" t="s">
        <v>19</v>
      </c>
      <c r="B55" s="53">
        <v>76</v>
      </c>
      <c r="C55" s="18">
        <v>400000</v>
      </c>
      <c r="D55" s="19">
        <v>10</v>
      </c>
      <c r="E55" s="20">
        <f t="shared" si="3"/>
        <v>3040000</v>
      </c>
      <c r="F55" s="21">
        <v>0.90623209405234684</v>
      </c>
      <c r="G55" s="13">
        <v>274044.58524142968</v>
      </c>
      <c r="H55" s="30" t="s">
        <v>20</v>
      </c>
      <c r="I55" s="31"/>
      <c r="J55" s="32">
        <f>SUM(J52:J54)</f>
        <v>260680000</v>
      </c>
    </row>
    <row r="56" spans="1:12" ht="17" x14ac:dyDescent="0.4">
      <c r="A56" s="7" t="s">
        <v>21</v>
      </c>
      <c r="B56" s="53">
        <v>76</v>
      </c>
      <c r="C56" s="18">
        <v>400000</v>
      </c>
      <c r="D56" s="19">
        <v>10</v>
      </c>
      <c r="E56" s="20">
        <f t="shared" si="3"/>
        <v>3040000</v>
      </c>
      <c r="F56" s="21">
        <v>0.6293469060239002</v>
      </c>
      <c r="G56" s="13">
        <v>253752.67250883655</v>
      </c>
      <c r="H56" s="33" t="s">
        <v>22</v>
      </c>
      <c r="I56" s="34" t="s">
        <v>23</v>
      </c>
      <c r="J56" s="35" t="s">
        <v>4</v>
      </c>
    </row>
    <row r="57" spans="1:12" x14ac:dyDescent="0.3">
      <c r="A57" s="7" t="s">
        <v>24</v>
      </c>
      <c r="B57" s="53">
        <v>38</v>
      </c>
      <c r="C57" s="18">
        <v>400000</v>
      </c>
      <c r="D57" s="19">
        <v>10</v>
      </c>
      <c r="E57" s="20">
        <f t="shared" si="3"/>
        <v>1520000</v>
      </c>
      <c r="F57" s="21">
        <v>0.51869268634209753</v>
      </c>
      <c r="G57" s="13">
        <v>104568.44556656686</v>
      </c>
      <c r="H57" s="36" t="s">
        <v>25</v>
      </c>
      <c r="I57" s="37">
        <v>20</v>
      </c>
      <c r="J57" s="38">
        <f>SUM(E51:E63)</f>
        <v>33044166.666666668</v>
      </c>
    </row>
    <row r="58" spans="1:12" x14ac:dyDescent="0.3">
      <c r="A58" s="7" t="s">
        <v>26</v>
      </c>
      <c r="B58" s="53">
        <v>95</v>
      </c>
      <c r="C58" s="18">
        <v>1000000</v>
      </c>
      <c r="D58" s="19">
        <v>15</v>
      </c>
      <c r="E58" s="20">
        <f t="shared" si="3"/>
        <v>6333333.333333333</v>
      </c>
      <c r="F58" s="21">
        <v>0.69682763956595772</v>
      </c>
      <c r="G58" s="13">
        <v>351201.13034124271</v>
      </c>
      <c r="H58" s="36" t="s">
        <v>27</v>
      </c>
      <c r="I58" s="37">
        <v>40</v>
      </c>
    </row>
    <row r="59" spans="1:12" x14ac:dyDescent="0.3">
      <c r="A59" s="7" t="s">
        <v>28</v>
      </c>
      <c r="B59" s="53">
        <v>95</v>
      </c>
      <c r="C59" s="18">
        <v>500000</v>
      </c>
      <c r="D59" s="19">
        <v>15</v>
      </c>
      <c r="E59" s="20">
        <f t="shared" si="3"/>
        <v>3166666.6666666665</v>
      </c>
      <c r="F59" s="21">
        <v>0.86608283513002482</v>
      </c>
      <c r="G59" s="13">
        <v>349204.59912442602</v>
      </c>
      <c r="H59" s="39" t="s">
        <v>29</v>
      </c>
      <c r="I59" s="40">
        <v>60</v>
      </c>
    </row>
    <row r="60" spans="1:12" x14ac:dyDescent="0.3">
      <c r="A60" s="7" t="s">
        <v>30</v>
      </c>
      <c r="B60" s="53">
        <v>152</v>
      </c>
      <c r="C60" s="18">
        <v>500000</v>
      </c>
      <c r="D60" s="19">
        <v>15</v>
      </c>
      <c r="E60" s="20">
        <f t="shared" si="3"/>
        <v>5066666.666666667</v>
      </c>
      <c r="F60" s="21">
        <v>0.81499408029757425</v>
      </c>
      <c r="G60" s="13">
        <v>575059.8230579684</v>
      </c>
    </row>
    <row r="61" spans="1:12" x14ac:dyDescent="0.3">
      <c r="A61" s="7" t="s">
        <v>31</v>
      </c>
      <c r="B61" s="53">
        <v>38</v>
      </c>
      <c r="C61" s="18">
        <v>80000</v>
      </c>
      <c r="D61" s="19">
        <v>8</v>
      </c>
      <c r="E61" s="20">
        <f t="shared" si="3"/>
        <v>380000</v>
      </c>
      <c r="F61" s="21">
        <v>0.74135870218179012</v>
      </c>
      <c r="G61" s="13">
        <v>74728.957179924444</v>
      </c>
      <c r="I61" s="41" t="s">
        <v>32</v>
      </c>
      <c r="J61" s="42">
        <f>J55+J57+L53</f>
        <v>542324166.66666675</v>
      </c>
    </row>
    <row r="62" spans="1:12" x14ac:dyDescent="0.3">
      <c r="A62" s="7" t="s">
        <v>33</v>
      </c>
      <c r="B62" s="53">
        <v>95</v>
      </c>
      <c r="C62" s="18">
        <v>100000</v>
      </c>
      <c r="D62" s="19">
        <v>8</v>
      </c>
      <c r="E62" s="20">
        <f t="shared" si="3"/>
        <v>1187500</v>
      </c>
      <c r="F62" s="21">
        <v>0.67672272900406472</v>
      </c>
      <c r="G62" s="13">
        <v>341068.25541804859</v>
      </c>
    </row>
    <row r="63" spans="1:12" x14ac:dyDescent="0.3">
      <c r="A63" s="44" t="s">
        <v>34</v>
      </c>
      <c r="B63" s="54">
        <v>152</v>
      </c>
      <c r="C63" s="46">
        <v>50000</v>
      </c>
      <c r="D63" s="47">
        <v>8</v>
      </c>
      <c r="E63" s="48">
        <f t="shared" si="3"/>
        <v>950000</v>
      </c>
      <c r="F63" s="49">
        <v>0.7610305834987896</v>
      </c>
      <c r="G63" s="50">
        <v>536983.17971674597</v>
      </c>
    </row>
    <row r="65" spans="1:12" x14ac:dyDescent="0.3">
      <c r="A65" s="51" t="s">
        <v>39</v>
      </c>
    </row>
    <row r="66" spans="1:12" ht="17" x14ac:dyDescent="0.3">
      <c r="A66" s="1" t="s">
        <v>0</v>
      </c>
      <c r="B66" s="2" t="s">
        <v>1</v>
      </c>
      <c r="C66" s="2" t="s">
        <v>2</v>
      </c>
      <c r="D66" s="2" t="s">
        <v>3</v>
      </c>
      <c r="E66" s="3" t="s">
        <v>4</v>
      </c>
      <c r="F66" s="4" t="s">
        <v>5</v>
      </c>
      <c r="G66" s="3" t="s">
        <v>6</v>
      </c>
      <c r="H66" s="6" t="s">
        <v>7</v>
      </c>
      <c r="I66">
        <v>4800</v>
      </c>
    </row>
    <row r="67" spans="1:12" ht="17" x14ac:dyDescent="0.3">
      <c r="A67" s="7" t="s">
        <v>8</v>
      </c>
      <c r="B67" s="8">
        <v>44</v>
      </c>
      <c r="C67" s="9">
        <v>150000</v>
      </c>
      <c r="D67" s="10">
        <v>10</v>
      </c>
      <c r="E67" s="56">
        <f>B67*C67/D67</f>
        <v>660000</v>
      </c>
      <c r="F67" s="12">
        <v>0.45871382637563407</v>
      </c>
      <c r="G67" s="13">
        <v>101284.01286374</v>
      </c>
      <c r="H67" s="14"/>
      <c r="I67" s="15" t="s">
        <v>1</v>
      </c>
      <c r="J67" s="16" t="s">
        <v>9</v>
      </c>
      <c r="K67" s="14" t="s">
        <v>10</v>
      </c>
      <c r="L67" s="17">
        <f>1130*1060</f>
        <v>1197800</v>
      </c>
    </row>
    <row r="68" spans="1:12" x14ac:dyDescent="0.3">
      <c r="A68" s="7" t="s">
        <v>11</v>
      </c>
      <c r="B68" s="53">
        <v>132</v>
      </c>
      <c r="C68" s="18">
        <v>200000</v>
      </c>
      <c r="D68" s="19">
        <v>10</v>
      </c>
      <c r="E68" s="57">
        <f t="shared" ref="E68:E79" si="4">B68*C68/D68</f>
        <v>2640000</v>
      </c>
      <c r="F68" s="21">
        <v>0.6672608757105668</v>
      </c>
      <c r="G68" s="13">
        <v>368328.00339223287</v>
      </c>
      <c r="H68" s="22" t="s">
        <v>12</v>
      </c>
      <c r="I68" s="23">
        <f>SUM(B67:B67:B73)*2</f>
        <v>1232</v>
      </c>
      <c r="J68" s="24">
        <f>I68*5*8*49*I73</f>
        <v>48294400</v>
      </c>
      <c r="K68" s="25" t="s">
        <v>13</v>
      </c>
      <c r="L68" s="26">
        <v>250</v>
      </c>
    </row>
    <row r="69" spans="1:12" ht="17" x14ac:dyDescent="0.3">
      <c r="A69" s="7" t="s">
        <v>14</v>
      </c>
      <c r="B69" s="53">
        <v>44</v>
      </c>
      <c r="C69" s="18">
        <v>250000</v>
      </c>
      <c r="D69" s="19">
        <v>10</v>
      </c>
      <c r="E69" s="57">
        <f t="shared" si="4"/>
        <v>1100000</v>
      </c>
      <c r="F69" s="21">
        <v>0.45380314895311624</v>
      </c>
      <c r="G69" s="13">
        <v>100199.73528884807</v>
      </c>
      <c r="H69" s="27" t="s">
        <v>15</v>
      </c>
      <c r="I69" s="23">
        <f>(SUM(B67:B70)*1/4+SUM(B77:B79)*1/2)*2</f>
        <v>528</v>
      </c>
      <c r="J69" s="24">
        <f>I69*5*8*49*I74</f>
        <v>41395200</v>
      </c>
      <c r="K69" s="28" t="s">
        <v>16</v>
      </c>
      <c r="L69" s="29">
        <f>L67*L68</f>
        <v>299450000</v>
      </c>
    </row>
    <row r="70" spans="1:12" x14ac:dyDescent="0.3">
      <c r="A70" s="7" t="s">
        <v>17</v>
      </c>
      <c r="B70" s="53">
        <v>176</v>
      </c>
      <c r="C70" s="18">
        <v>300000</v>
      </c>
      <c r="D70" s="19">
        <v>10</v>
      </c>
      <c r="E70" s="57">
        <f t="shared" si="4"/>
        <v>5280000</v>
      </c>
      <c r="F70" s="21">
        <v>0.79040392871392473</v>
      </c>
      <c r="G70" s="13">
        <v>523563.56238010374</v>
      </c>
      <c r="H70" s="27" t="s">
        <v>18</v>
      </c>
      <c r="I70" s="23">
        <f>(SUM(B71:B73)*1/2+SUM(B74:B76)*2)*2</f>
        <v>1804</v>
      </c>
      <c r="J70" s="24">
        <f>I70*5*8*49*I75</f>
        <v>212150400</v>
      </c>
    </row>
    <row r="71" spans="1:12" x14ac:dyDescent="0.3">
      <c r="A71" s="7" t="s">
        <v>19</v>
      </c>
      <c r="B71" s="53">
        <v>88</v>
      </c>
      <c r="C71" s="18">
        <v>400000</v>
      </c>
      <c r="D71" s="19">
        <v>10</v>
      </c>
      <c r="E71" s="57">
        <f t="shared" si="4"/>
        <v>3520000</v>
      </c>
      <c r="F71" s="21">
        <v>0.96890807575593796</v>
      </c>
      <c r="G71" s="13">
        <v>320902.35469036666</v>
      </c>
      <c r="H71" s="30" t="s">
        <v>20</v>
      </c>
      <c r="I71" s="31"/>
      <c r="J71" s="32">
        <f>SUM(J68:J70)</f>
        <v>301840000</v>
      </c>
    </row>
    <row r="72" spans="1:12" ht="17" x14ac:dyDescent="0.4">
      <c r="A72" s="7" t="s">
        <v>21</v>
      </c>
      <c r="B72" s="53">
        <v>88</v>
      </c>
      <c r="C72" s="18">
        <v>400000</v>
      </c>
      <c r="D72" s="19">
        <v>10</v>
      </c>
      <c r="E72" s="57">
        <f t="shared" si="4"/>
        <v>3520000</v>
      </c>
      <c r="F72" s="21">
        <v>0.64061381053358668</v>
      </c>
      <c r="G72" s="13">
        <v>282895.0587316319</v>
      </c>
      <c r="H72" s="33" t="s">
        <v>22</v>
      </c>
      <c r="I72" s="34" t="s">
        <v>23</v>
      </c>
      <c r="J72" s="35" t="s">
        <v>4</v>
      </c>
    </row>
    <row r="73" spans="1:12" x14ac:dyDescent="0.3">
      <c r="A73" s="7" t="s">
        <v>24</v>
      </c>
      <c r="B73" s="53">
        <v>44</v>
      </c>
      <c r="C73" s="18">
        <v>400000</v>
      </c>
      <c r="D73" s="19">
        <v>10</v>
      </c>
      <c r="E73" s="57">
        <f t="shared" si="4"/>
        <v>1760000</v>
      </c>
      <c r="F73" s="21">
        <v>0.55081867638281568</v>
      </c>
      <c r="G73" s="13">
        <v>121620.7637453257</v>
      </c>
      <c r="H73" s="36" t="s">
        <v>25</v>
      </c>
      <c r="I73" s="37">
        <v>20</v>
      </c>
      <c r="J73" s="38">
        <f>SUM(E67:E79)</f>
        <v>38261666.666666664</v>
      </c>
    </row>
    <row r="74" spans="1:12" x14ac:dyDescent="0.3">
      <c r="A74" s="7" t="s">
        <v>26</v>
      </c>
      <c r="B74" s="53">
        <v>110</v>
      </c>
      <c r="C74" s="18">
        <v>1000000</v>
      </c>
      <c r="D74" s="19">
        <v>15</v>
      </c>
      <c r="E74" s="57">
        <f t="shared" si="4"/>
        <v>7333333.333333333</v>
      </c>
      <c r="F74" s="21">
        <v>0.71761715998524556</v>
      </c>
      <c r="G74" s="13">
        <v>396124.67231185554</v>
      </c>
      <c r="H74" s="36" t="s">
        <v>27</v>
      </c>
      <c r="I74" s="37">
        <v>40</v>
      </c>
    </row>
    <row r="75" spans="1:12" x14ac:dyDescent="0.3">
      <c r="A75" s="7" t="s">
        <v>28</v>
      </c>
      <c r="B75" s="53">
        <v>110</v>
      </c>
      <c r="C75" s="18">
        <v>500000</v>
      </c>
      <c r="D75" s="19">
        <v>15</v>
      </c>
      <c r="E75" s="57">
        <f t="shared" si="4"/>
        <v>3666666.6666666665</v>
      </c>
      <c r="F75" s="21">
        <v>0.90872763909566789</v>
      </c>
      <c r="G75" s="13">
        <v>401294.12542464695</v>
      </c>
      <c r="H75" s="39" t="s">
        <v>29</v>
      </c>
      <c r="I75" s="40">
        <v>60</v>
      </c>
    </row>
    <row r="76" spans="1:12" x14ac:dyDescent="0.3">
      <c r="A76" s="7" t="s">
        <v>30</v>
      </c>
      <c r="B76" s="53">
        <v>176</v>
      </c>
      <c r="C76" s="18">
        <v>500000</v>
      </c>
      <c r="D76" s="19">
        <v>15</v>
      </c>
      <c r="E76" s="57">
        <f t="shared" si="4"/>
        <v>5866666.666666667</v>
      </c>
      <c r="F76" s="21">
        <v>0.83877734675188054</v>
      </c>
      <c r="G76" s="13">
        <v>648207.13356985326</v>
      </c>
    </row>
    <row r="77" spans="1:12" x14ac:dyDescent="0.3">
      <c r="A77" s="7" t="s">
        <v>31</v>
      </c>
      <c r="B77" s="53">
        <v>44</v>
      </c>
      <c r="C77" s="18">
        <v>80000</v>
      </c>
      <c r="D77" s="19">
        <v>8</v>
      </c>
      <c r="E77" s="57">
        <f t="shared" si="4"/>
        <v>440000</v>
      </c>
      <c r="F77" s="21">
        <v>0.75552306930484181</v>
      </c>
      <c r="G77" s="13">
        <v>83409.746851254531</v>
      </c>
      <c r="I77" s="41" t="s">
        <v>32</v>
      </c>
      <c r="J77" s="42">
        <f>J71+J73+L69</f>
        <v>639551666.66666675</v>
      </c>
    </row>
    <row r="78" spans="1:12" x14ac:dyDescent="0.3">
      <c r="A78" s="7" t="s">
        <v>33</v>
      </c>
      <c r="B78" s="53">
        <v>110</v>
      </c>
      <c r="C78" s="18">
        <v>100000</v>
      </c>
      <c r="D78" s="19">
        <v>8</v>
      </c>
      <c r="E78" s="57">
        <f t="shared" si="4"/>
        <v>1375000</v>
      </c>
      <c r="F78" s="21">
        <v>0.68917475776475445</v>
      </c>
      <c r="G78" s="13">
        <v>380424.46628614445</v>
      </c>
    </row>
    <row r="79" spans="1:12" x14ac:dyDescent="0.3">
      <c r="A79" s="44" t="s">
        <v>34</v>
      </c>
      <c r="B79" s="54">
        <v>176</v>
      </c>
      <c r="C79" s="46">
        <v>50000</v>
      </c>
      <c r="D79" s="47">
        <v>8</v>
      </c>
      <c r="E79" s="58">
        <f t="shared" si="4"/>
        <v>1100000</v>
      </c>
      <c r="F79" s="49">
        <v>0.77096365730902949</v>
      </c>
      <c r="G79" s="50">
        <v>595800.71436841798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Yu-Chun</dc:creator>
  <cp:lastModifiedBy>Yang, Yu-Chun</cp:lastModifiedBy>
  <dcterms:created xsi:type="dcterms:W3CDTF">2025-11-14T01:07:00Z</dcterms:created>
  <dcterms:modified xsi:type="dcterms:W3CDTF">2025-11-15T02:11:01Z</dcterms:modified>
</cp:coreProperties>
</file>